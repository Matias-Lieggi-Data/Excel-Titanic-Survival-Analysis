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mati\OneDrive\Desktop\Portfolio DATA\Proyecto Excel\"/>
    </mc:Choice>
  </mc:AlternateContent>
  <xr:revisionPtr revIDLastSave="0" documentId="8_{BE8339B0-E7B9-4C1D-AD97-1671BA400405}" xr6:coauthVersionLast="47" xr6:coauthVersionMax="47" xr10:uidLastSave="{00000000-0000-0000-0000-000000000000}"/>
  <bookViews>
    <workbookView xWindow="-120" yWindow="-120" windowWidth="29040" windowHeight="15840" activeTab="8" xr2:uid="{F94E703D-4934-4DD3-A473-061BCAD6D03F}"/>
  </bookViews>
  <sheets>
    <sheet name="PORTADA" sheetId="9" r:id="rId1"/>
    <sheet name="README" sheetId="3" r:id="rId2"/>
    <sheet name="DATASET_ORIGINAL" sheetId="2" r:id="rId3"/>
    <sheet name="DATASET" sheetId="1" r:id="rId4"/>
    <sheet name="DATASET_CLEAN" sheetId="6" r:id="rId5"/>
    <sheet name="Preguntas y Respuestas" sheetId="4" r:id="rId6"/>
    <sheet name="AUXILIAR" sheetId="7" r:id="rId7"/>
    <sheet name="Chequeo_Fare" sheetId="8" state="hidden" r:id="rId8"/>
    <sheet name="DASHBOARD" sheetId="10" r:id="rId9"/>
  </sheets>
  <definedNames>
    <definedName name="_xlcn.WorksheetConnection_PF_Lieggi.Final.xlsxINFO_Pasajeros" hidden="1">INFO_Pasajeros[]</definedName>
    <definedName name="SegmentaciónDeDatos_Clase_Del_Pasaje">#N/A</definedName>
    <definedName name="SegmentaciónDeDatos_Embarque">#N/A</definedName>
    <definedName name="SegmentaciónDeDatos_Sexo">#N/A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INFO_Pasajeros" name="INFO_Pasajeros" connection="WorksheetConnection_PF_Lieggi.Final.xlsx!INFO_Pasajero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7" l="1"/>
  <c r="C6" i="4"/>
  <c r="E6" i="7" s="1"/>
  <c r="N12" i="10" s="1"/>
  <c r="C5" i="4"/>
  <c r="M4" i="6" a="1"/>
  <c r="M5" i="6" a="1"/>
  <c r="M6" i="6" a="1"/>
  <c r="M7" i="6" a="1"/>
  <c r="M8" i="6" a="1"/>
  <c r="M9" i="6" a="1"/>
  <c r="M10" i="6" a="1"/>
  <c r="M11" i="6" a="1"/>
  <c r="M12" i="6" a="1"/>
  <c r="M13" i="6" a="1"/>
  <c r="M14" i="6" a="1"/>
  <c r="M15" i="6" a="1"/>
  <c r="M16" i="6" a="1"/>
  <c r="M17" i="6" a="1"/>
  <c r="M18" i="6" a="1"/>
  <c r="M19" i="6" a="1"/>
  <c r="M20" i="6" a="1"/>
  <c r="M21" i="6" a="1"/>
  <c r="M22" i="6" a="1"/>
  <c r="M23" i="6" a="1"/>
  <c r="M24" i="6" a="1"/>
  <c r="M25" i="6" a="1"/>
  <c r="M26" i="6" a="1"/>
  <c r="M27" i="6" a="1"/>
  <c r="M28" i="6" a="1"/>
  <c r="M29" i="6" a="1"/>
  <c r="M30" i="6" a="1"/>
  <c r="M31" i="6" a="1"/>
  <c r="M32" i="6" a="1"/>
  <c r="M33" i="6" a="1"/>
  <c r="M34" i="6" a="1"/>
  <c r="M35" i="6" a="1"/>
  <c r="M36" i="6" a="1"/>
  <c r="M37" i="6" a="1"/>
  <c r="M38" i="6" a="1"/>
  <c r="M39" i="6" a="1"/>
  <c r="M40" i="6" a="1"/>
  <c r="M41" i="6" a="1"/>
  <c r="M42" i="6" a="1"/>
  <c r="M43" i="6" a="1"/>
  <c r="M44" i="6" a="1"/>
  <c r="M45" i="6" a="1"/>
  <c r="M46" i="6" a="1"/>
  <c r="M47" i="6" a="1"/>
  <c r="M48" i="6" a="1"/>
  <c r="M49" i="6" a="1"/>
  <c r="M50" i="6" a="1"/>
  <c r="M51" i="6" a="1"/>
  <c r="M52" i="6" a="1"/>
  <c r="M53" i="6" a="1"/>
  <c r="M54" i="6" a="1"/>
  <c r="M55" i="6" a="1"/>
  <c r="M56" i="6" a="1"/>
  <c r="M57" i="6" a="1"/>
  <c r="M58" i="6" a="1"/>
  <c r="M59" i="6" a="1"/>
  <c r="M60" i="6" a="1"/>
  <c r="M61" i="6" a="1"/>
  <c r="M62" i="6" a="1"/>
  <c r="M63" i="6" a="1"/>
  <c r="M64" i="6" a="1"/>
  <c r="M65" i="6" a="1"/>
  <c r="M66" i="6" a="1"/>
  <c r="M67" i="6" a="1"/>
  <c r="M68" i="6" a="1"/>
  <c r="M69" i="6" a="1"/>
  <c r="M70" i="6" a="1"/>
  <c r="M71" i="6" a="1"/>
  <c r="M72" i="6" a="1"/>
  <c r="M73" i="6" a="1"/>
  <c r="M74" i="6" a="1"/>
  <c r="M75" i="6" a="1"/>
  <c r="M76" i="6" a="1"/>
  <c r="M77" i="6" a="1"/>
  <c r="M78" i="6" a="1"/>
  <c r="M79" i="6" a="1"/>
  <c r="M80" i="6" a="1"/>
  <c r="M81" i="6" a="1"/>
  <c r="M82" i="6" a="1"/>
  <c r="M83" i="6" a="1"/>
  <c r="M84" i="6" a="1"/>
  <c r="M85" i="6" a="1"/>
  <c r="M86" i="6" a="1"/>
  <c r="M87" i="6" a="1"/>
  <c r="M88" i="6" a="1"/>
  <c r="M89" i="6" a="1"/>
  <c r="M90" i="6" a="1"/>
  <c r="M91" i="6" a="1"/>
  <c r="M92" i="6" a="1"/>
  <c r="M93" i="6" a="1"/>
  <c r="M94" i="6" a="1"/>
  <c r="M95" i="6" a="1"/>
  <c r="M96" i="6" a="1"/>
  <c r="M97" i="6" a="1"/>
  <c r="M98" i="6" a="1"/>
  <c r="M99" i="6" a="1"/>
  <c r="M100" i="6" a="1"/>
  <c r="M101" i="6" a="1"/>
  <c r="M102" i="6" a="1"/>
  <c r="M103" i="6" a="1"/>
  <c r="M104" i="6" a="1"/>
  <c r="M105" i="6" a="1"/>
  <c r="M106" i="6" a="1"/>
  <c r="M107" i="6" a="1"/>
  <c r="M108" i="6" a="1"/>
  <c r="M109" i="6" a="1"/>
  <c r="M110" i="6" a="1"/>
  <c r="M111" i="6" a="1"/>
  <c r="M112" i="6" a="1"/>
  <c r="M113" i="6" a="1"/>
  <c r="M114" i="6" a="1"/>
  <c r="M115" i="6" a="1"/>
  <c r="M116" i="6" a="1"/>
  <c r="M117" i="6" a="1"/>
  <c r="M118" i="6" a="1"/>
  <c r="M119" i="6" a="1"/>
  <c r="M120" i="6" a="1"/>
  <c r="M121" i="6" a="1"/>
  <c r="M122" i="6" a="1"/>
  <c r="M123" i="6" a="1"/>
  <c r="M124" i="6" a="1"/>
  <c r="M125" i="6" a="1"/>
  <c r="M126" i="6" a="1"/>
  <c r="M127" i="6" a="1"/>
  <c r="M128" i="6" a="1"/>
  <c r="M129" i="6" a="1"/>
  <c r="M130" i="6" a="1"/>
  <c r="M131" i="6" a="1"/>
  <c r="M132" i="6" a="1"/>
  <c r="M133" i="6" a="1"/>
  <c r="M134" i="6" a="1"/>
  <c r="M135" i="6" a="1"/>
  <c r="M136" i="6" a="1"/>
  <c r="M137" i="6" a="1"/>
  <c r="M138" i="6" a="1"/>
  <c r="M139" i="6" a="1"/>
  <c r="M140" i="6" a="1"/>
  <c r="M141" i="6" a="1"/>
  <c r="M142" i="6" a="1"/>
  <c r="M143" i="6" a="1"/>
  <c r="M144" i="6" a="1"/>
  <c r="M145" i="6" a="1"/>
  <c r="M146" i="6" a="1"/>
  <c r="M147" i="6" a="1"/>
  <c r="M148" i="6" a="1"/>
  <c r="M149" i="6" a="1"/>
  <c r="M150" i="6" a="1"/>
  <c r="M151" i="6" a="1"/>
  <c r="M152" i="6" a="1"/>
  <c r="M153" i="6" a="1"/>
  <c r="M154" i="6" a="1"/>
  <c r="M155" i="6" a="1"/>
  <c r="M156" i="6" a="1"/>
  <c r="M157" i="6" a="1"/>
  <c r="M158" i="6" a="1"/>
  <c r="M159" i="6" a="1"/>
  <c r="M160" i="6" a="1"/>
  <c r="M161" i="6" a="1"/>
  <c r="M162" i="6" a="1"/>
  <c r="M163" i="6" a="1"/>
  <c r="M164" i="6" a="1"/>
  <c r="M165" i="6" a="1"/>
  <c r="M166" i="6" a="1"/>
  <c r="M167" i="6" a="1"/>
  <c r="M168" i="6" a="1"/>
  <c r="M169" i="6" a="1"/>
  <c r="M170" i="6" a="1"/>
  <c r="M171" i="6" a="1"/>
  <c r="M172" i="6" a="1"/>
  <c r="M173" i="6" a="1"/>
  <c r="M174" i="6" a="1"/>
  <c r="M175" i="6" a="1"/>
  <c r="M176" i="6" a="1"/>
  <c r="M177" i="6" a="1"/>
  <c r="M178" i="6" a="1"/>
  <c r="M179" i="6" a="1"/>
  <c r="M180" i="6" a="1"/>
  <c r="M181" i="6" a="1"/>
  <c r="M182" i="6" a="1"/>
  <c r="M183" i="6" a="1"/>
  <c r="M184" i="6" a="1"/>
  <c r="M185" i="6" a="1"/>
  <c r="M186" i="6" a="1"/>
  <c r="M187" i="6" a="1"/>
  <c r="M188" i="6" a="1"/>
  <c r="M189" i="6" a="1"/>
  <c r="M190" i="6" a="1"/>
  <c r="M191" i="6" a="1"/>
  <c r="M192" i="6" a="1"/>
  <c r="M193" i="6" a="1"/>
  <c r="M194" i="6" a="1"/>
  <c r="M195" i="6" a="1"/>
  <c r="M196" i="6" a="1"/>
  <c r="M197" i="6" a="1"/>
  <c r="M198" i="6" a="1"/>
  <c r="M199" i="6" a="1"/>
  <c r="M200" i="6" a="1"/>
  <c r="M201" i="6" a="1"/>
  <c r="M202" i="6" a="1"/>
  <c r="M203" i="6" a="1"/>
  <c r="M204" i="6" a="1"/>
  <c r="M205" i="6" a="1"/>
  <c r="M206" i="6" a="1"/>
  <c r="M207" i="6" a="1"/>
  <c r="M208" i="6" a="1"/>
  <c r="M209" i="6" a="1"/>
  <c r="M210" i="6" a="1"/>
  <c r="M211" i="6" a="1"/>
  <c r="M212" i="6" a="1"/>
  <c r="M213" i="6" a="1"/>
  <c r="M214" i="6" a="1"/>
  <c r="M215" i="6" a="1"/>
  <c r="M216" i="6" a="1"/>
  <c r="M217" i="6" a="1"/>
  <c r="M218" i="6" a="1"/>
  <c r="M219" i="6" a="1"/>
  <c r="M220" i="6" a="1"/>
  <c r="M221" i="6" a="1"/>
  <c r="M222" i="6" a="1"/>
  <c r="M223" i="6" a="1"/>
  <c r="M224" i="6" a="1"/>
  <c r="M225" i="6" a="1"/>
  <c r="M226" i="6" a="1"/>
  <c r="M227" i="6" a="1"/>
  <c r="M228" i="6" a="1"/>
  <c r="M229" i="6" a="1"/>
  <c r="M230" i="6" a="1"/>
  <c r="M231" i="6" a="1"/>
  <c r="M232" i="6" a="1"/>
  <c r="M233" i="6" a="1"/>
  <c r="M234" i="6" a="1"/>
  <c r="M235" i="6" a="1"/>
  <c r="M236" i="6" a="1"/>
  <c r="M237" i="6" a="1"/>
  <c r="M238" i="6" a="1"/>
  <c r="M239" i="6" a="1"/>
  <c r="M240" i="6" a="1"/>
  <c r="M241" i="6" a="1"/>
  <c r="M242" i="6" a="1"/>
  <c r="M243" i="6" a="1"/>
  <c r="M244" i="6" a="1"/>
  <c r="M245" i="6" a="1"/>
  <c r="M246" i="6" a="1"/>
  <c r="M247" i="6" a="1"/>
  <c r="M248" i="6" a="1"/>
  <c r="M249" i="6" a="1"/>
  <c r="M250" i="6" a="1"/>
  <c r="M251" i="6" a="1"/>
  <c r="M252" i="6" a="1"/>
  <c r="M253" i="6" a="1"/>
  <c r="M254" i="6" a="1"/>
  <c r="M255" i="6" a="1"/>
  <c r="M256" i="6" a="1"/>
  <c r="M257" i="6" a="1"/>
  <c r="M258" i="6" a="1"/>
  <c r="M259" i="6" a="1"/>
  <c r="M260" i="6" a="1"/>
  <c r="M261" i="6" a="1"/>
  <c r="M262" i="6" a="1"/>
  <c r="M263" i="6" a="1"/>
  <c r="M264" i="6" a="1"/>
  <c r="M265" i="6" a="1"/>
  <c r="M266" i="6" a="1"/>
  <c r="M267" i="6" a="1"/>
  <c r="M268" i="6" a="1"/>
  <c r="M269" i="6" a="1"/>
  <c r="M270" i="6" a="1"/>
  <c r="M271" i="6" a="1"/>
  <c r="M272" i="6" a="1"/>
  <c r="M273" i="6" a="1"/>
  <c r="M274" i="6" a="1"/>
  <c r="M275" i="6" a="1"/>
  <c r="M276" i="6" a="1"/>
  <c r="M277" i="6" a="1"/>
  <c r="M278" i="6" a="1"/>
  <c r="M279" i="6" a="1"/>
  <c r="M280" i="6" a="1"/>
  <c r="M281" i="6" a="1"/>
  <c r="M282" i="6" a="1"/>
  <c r="M283" i="6" a="1"/>
  <c r="M284" i="6" a="1"/>
  <c r="M285" i="6" a="1"/>
  <c r="M286" i="6" a="1"/>
  <c r="M287" i="6" a="1"/>
  <c r="M288" i="6" a="1"/>
  <c r="M289" i="6" a="1"/>
  <c r="M290" i="6" a="1"/>
  <c r="M291" i="6" a="1"/>
  <c r="M292" i="6" a="1"/>
  <c r="M293" i="6" a="1"/>
  <c r="M294" i="6" a="1"/>
  <c r="M295" i="6" a="1"/>
  <c r="M296" i="6" a="1"/>
  <c r="M297" i="6" a="1"/>
  <c r="M298" i="6" a="1"/>
  <c r="M299" i="6" a="1"/>
  <c r="M300" i="6" a="1"/>
  <c r="M301" i="6" a="1"/>
  <c r="M302" i="6" a="1"/>
  <c r="M303" i="6" a="1"/>
  <c r="M304" i="6" a="1"/>
  <c r="M305" i="6" a="1"/>
  <c r="M306" i="6" a="1"/>
  <c r="M307" i="6" a="1"/>
  <c r="M308" i="6" a="1"/>
  <c r="M309" i="6" a="1"/>
  <c r="M310" i="6" a="1"/>
  <c r="M311" i="6" a="1"/>
  <c r="M312" i="6" a="1"/>
  <c r="M313" i="6" a="1"/>
  <c r="M314" i="6" a="1"/>
  <c r="M315" i="6" a="1"/>
  <c r="M316" i="6" a="1"/>
  <c r="M317" i="6" a="1"/>
  <c r="M318" i="6" a="1"/>
  <c r="M319" i="6" a="1"/>
  <c r="M320" i="6" a="1"/>
  <c r="M321" i="6" a="1"/>
  <c r="M322" i="6" a="1"/>
  <c r="M323" i="6" a="1"/>
  <c r="M324" i="6" a="1"/>
  <c r="M325" i="6" a="1"/>
  <c r="M326" i="6" a="1"/>
  <c r="M327" i="6" a="1"/>
  <c r="M328" i="6" a="1"/>
  <c r="M329" i="6" a="1"/>
  <c r="M330" i="6" a="1"/>
  <c r="M331" i="6" a="1"/>
  <c r="M332" i="6" a="1"/>
  <c r="M333" i="6" a="1"/>
  <c r="M334" i="6" a="1"/>
  <c r="M335" i="6" a="1"/>
  <c r="M336" i="6" a="1"/>
  <c r="M337" i="6" a="1"/>
  <c r="M338" i="6" a="1"/>
  <c r="M339" i="6" a="1"/>
  <c r="M340" i="6" a="1"/>
  <c r="M341" i="6" a="1"/>
  <c r="M342" i="6" a="1"/>
  <c r="M343" i="6" a="1"/>
  <c r="M344" i="6" a="1"/>
  <c r="M345" i="6" a="1"/>
  <c r="M346" i="6" a="1"/>
  <c r="M347" i="6" a="1"/>
  <c r="M348" i="6" a="1"/>
  <c r="M349" i="6" a="1"/>
  <c r="M350" i="6" a="1"/>
  <c r="M351" i="6" a="1"/>
  <c r="M352" i="6" a="1"/>
  <c r="M353" i="6" a="1"/>
  <c r="M354" i="6" a="1"/>
  <c r="M355" i="6" a="1"/>
  <c r="M356" i="6" a="1"/>
  <c r="M357" i="6" a="1"/>
  <c r="M358" i="6" a="1"/>
  <c r="M359" i="6" a="1"/>
  <c r="M360" i="6" a="1"/>
  <c r="M361" i="6" a="1"/>
  <c r="M362" i="6" a="1"/>
  <c r="M363" i="6" a="1"/>
  <c r="M364" i="6" a="1"/>
  <c r="M365" i="6" a="1"/>
  <c r="M366" i="6" a="1"/>
  <c r="M367" i="6" a="1"/>
  <c r="M368" i="6" a="1"/>
  <c r="M369" i="6" a="1"/>
  <c r="M370" i="6" a="1"/>
  <c r="M371" i="6" a="1"/>
  <c r="M372" i="6" a="1"/>
  <c r="M373" i="6" a="1"/>
  <c r="M374" i="6" a="1"/>
  <c r="M375" i="6" a="1"/>
  <c r="M376" i="6" a="1"/>
  <c r="M377" i="6" a="1"/>
  <c r="M378" i="6" a="1"/>
  <c r="M379" i="6" a="1"/>
  <c r="M380" i="6" a="1"/>
  <c r="M381" i="6" a="1"/>
  <c r="M382" i="6" a="1"/>
  <c r="M383" i="6" a="1"/>
  <c r="M384" i="6" a="1"/>
  <c r="M385" i="6" a="1"/>
  <c r="M386" i="6" a="1"/>
  <c r="M387" i="6" a="1"/>
  <c r="M388" i="6" a="1"/>
  <c r="M389" i="6" a="1"/>
  <c r="M390" i="6" a="1"/>
  <c r="M391" i="6" a="1"/>
  <c r="M392" i="6" a="1"/>
  <c r="M393" i="6" a="1"/>
  <c r="M394" i="6" a="1"/>
  <c r="M395" i="6" a="1"/>
  <c r="M396" i="6" a="1"/>
  <c r="M397" i="6" a="1"/>
  <c r="M398" i="6" a="1"/>
  <c r="M399" i="6" a="1"/>
  <c r="M400" i="6" a="1"/>
  <c r="M401" i="6" a="1"/>
  <c r="M402" i="6" a="1"/>
  <c r="M403" i="6" a="1"/>
  <c r="M404" i="6" a="1"/>
  <c r="M405" i="6" a="1"/>
  <c r="M406" i="6" a="1"/>
  <c r="M407" i="6" a="1"/>
  <c r="M408" i="6" a="1"/>
  <c r="M409" i="6" a="1"/>
  <c r="M410" i="6" a="1"/>
  <c r="M411" i="6" a="1"/>
  <c r="M412" i="6" a="1"/>
  <c r="M413" i="6" a="1"/>
  <c r="M414" i="6" a="1"/>
  <c r="M415" i="6" a="1"/>
  <c r="M416" i="6" a="1"/>
  <c r="M417" i="6" a="1"/>
  <c r="M418" i="6" a="1"/>
  <c r="M419" i="6" a="1"/>
  <c r="M420" i="6" a="1"/>
  <c r="M421" i="6" a="1"/>
  <c r="M422" i="6" a="1"/>
  <c r="M423" i="6" a="1"/>
  <c r="M424" i="6" a="1"/>
  <c r="M425" i="6" a="1"/>
  <c r="M426" i="6" a="1"/>
  <c r="M427" i="6" a="1"/>
  <c r="M428" i="6" a="1"/>
  <c r="M429" i="6" a="1"/>
  <c r="M430" i="6" a="1"/>
  <c r="M431" i="6" a="1"/>
  <c r="M432" i="6" a="1"/>
  <c r="M433" i="6" a="1"/>
  <c r="M434" i="6" a="1"/>
  <c r="M435" i="6" a="1"/>
  <c r="M436" i="6" a="1"/>
  <c r="M437" i="6" a="1"/>
  <c r="M438" i="6" a="1"/>
  <c r="M439" i="6" a="1"/>
  <c r="M440" i="6" a="1"/>
  <c r="M441" i="6" a="1"/>
  <c r="M442" i="6" a="1"/>
  <c r="M443" i="6" a="1"/>
  <c r="M444" i="6" a="1"/>
  <c r="M445" i="6" a="1"/>
  <c r="M446" i="6" a="1"/>
  <c r="M447" i="6" a="1"/>
  <c r="M448" i="6" a="1"/>
  <c r="M449" i="6" a="1"/>
  <c r="M450" i="6" a="1"/>
  <c r="M451" i="6" a="1"/>
  <c r="M452" i="6" a="1"/>
  <c r="M453" i="6" a="1"/>
  <c r="M454" i="6" a="1"/>
  <c r="M455" i="6" a="1"/>
  <c r="M456" i="6" a="1"/>
  <c r="M457" i="6" a="1"/>
  <c r="M458" i="6" a="1"/>
  <c r="M459" i="6" a="1"/>
  <c r="M460" i="6" a="1"/>
  <c r="M461" i="6" a="1"/>
  <c r="M462" i="6" a="1"/>
  <c r="M463" i="6" a="1"/>
  <c r="M464" i="6" a="1"/>
  <c r="M465" i="6" a="1"/>
  <c r="M466" i="6" a="1"/>
  <c r="M467" i="6" a="1"/>
  <c r="M468" i="6" a="1"/>
  <c r="M469" i="6" a="1"/>
  <c r="M470" i="6" a="1"/>
  <c r="M471" i="6" a="1"/>
  <c r="M472" i="6" a="1"/>
  <c r="M473" i="6" a="1"/>
  <c r="M474" i="6" a="1"/>
  <c r="M475" i="6" a="1"/>
  <c r="M476" i="6" a="1"/>
  <c r="M477" i="6" a="1"/>
  <c r="M478" i="6" a="1"/>
  <c r="M479" i="6" a="1"/>
  <c r="M480" i="6" a="1"/>
  <c r="M481" i="6" a="1"/>
  <c r="M482" i="6" a="1"/>
  <c r="M483" i="6" a="1"/>
  <c r="M484" i="6" a="1"/>
  <c r="M485" i="6" a="1"/>
  <c r="M486" i="6" a="1"/>
  <c r="M487" i="6" a="1"/>
  <c r="M488" i="6" a="1"/>
  <c r="M489" i="6" a="1"/>
  <c r="M490" i="6" a="1"/>
  <c r="M491" i="6" a="1"/>
  <c r="M492" i="6" a="1"/>
  <c r="M493" i="6" a="1"/>
  <c r="M494" i="6" a="1"/>
  <c r="M495" i="6" a="1"/>
  <c r="M496" i="6" a="1"/>
  <c r="M497" i="6" a="1"/>
  <c r="M498" i="6" a="1"/>
  <c r="M499" i="6" a="1"/>
  <c r="M500" i="6" a="1"/>
  <c r="M501" i="6" a="1"/>
  <c r="M502" i="6" a="1"/>
  <c r="M503" i="6" a="1"/>
  <c r="M504" i="6" a="1"/>
  <c r="M505" i="6" a="1"/>
  <c r="M506" i="6" a="1"/>
  <c r="M507" i="6" a="1"/>
  <c r="M508" i="6" a="1"/>
  <c r="M509" i="6" a="1"/>
  <c r="M510" i="6" a="1"/>
  <c r="M511" i="6" a="1"/>
  <c r="M512" i="6" a="1"/>
  <c r="M513" i="6" a="1"/>
  <c r="M514" i="6" a="1"/>
  <c r="M515" i="6" a="1"/>
  <c r="M516" i="6" a="1"/>
  <c r="M517" i="6" a="1"/>
  <c r="M518" i="6" a="1"/>
  <c r="M519" i="6" a="1"/>
  <c r="M520" i="6" a="1"/>
  <c r="M521" i="6" a="1"/>
  <c r="M522" i="6" a="1"/>
  <c r="M523" i="6" a="1"/>
  <c r="M524" i="6" a="1"/>
  <c r="M525" i="6" a="1"/>
  <c r="M526" i="6" a="1"/>
  <c r="M527" i="6" a="1"/>
  <c r="M528" i="6" a="1"/>
  <c r="M529" i="6" a="1"/>
  <c r="M530" i="6" a="1"/>
  <c r="M531" i="6" a="1"/>
  <c r="M532" i="6" a="1"/>
  <c r="M533" i="6" a="1"/>
  <c r="M534" i="6" a="1"/>
  <c r="M535" i="6" a="1"/>
  <c r="M536" i="6" a="1"/>
  <c r="M537" i="6" a="1"/>
  <c r="M538" i="6" a="1"/>
  <c r="M539" i="6" a="1"/>
  <c r="M540" i="6" a="1"/>
  <c r="M541" i="6" a="1"/>
  <c r="M542" i="6" a="1"/>
  <c r="M543" i="6" a="1"/>
  <c r="M544" i="6" a="1"/>
  <c r="M545" i="6" a="1"/>
  <c r="M546" i="6" a="1"/>
  <c r="M547" i="6" a="1"/>
  <c r="M548" i="6" a="1"/>
  <c r="M549" i="6" a="1"/>
  <c r="M550" i="6" a="1"/>
  <c r="M551" i="6" a="1"/>
  <c r="M552" i="6" a="1"/>
  <c r="M553" i="6" a="1"/>
  <c r="M554" i="6" a="1"/>
  <c r="M555" i="6" a="1"/>
  <c r="M556" i="6" a="1"/>
  <c r="M557" i="6" a="1"/>
  <c r="M558" i="6" a="1"/>
  <c r="M559" i="6" a="1"/>
  <c r="M560" i="6" a="1"/>
  <c r="M561" i="6" a="1"/>
  <c r="M562" i="6" a="1"/>
  <c r="M563" i="6" a="1"/>
  <c r="M564" i="6" a="1"/>
  <c r="M565" i="6" a="1"/>
  <c r="M566" i="6" a="1"/>
  <c r="M567" i="6" a="1"/>
  <c r="M568" i="6" a="1"/>
  <c r="M569" i="6" a="1"/>
  <c r="M570" i="6" a="1"/>
  <c r="M571" i="6" a="1"/>
  <c r="M572" i="6" a="1"/>
  <c r="M573" i="6" a="1"/>
  <c r="M574" i="6" a="1"/>
  <c r="M575" i="6" a="1"/>
  <c r="M576" i="6" a="1"/>
  <c r="M577" i="6" a="1"/>
  <c r="M578" i="6" a="1"/>
  <c r="M579" i="6" a="1"/>
  <c r="M580" i="6" a="1"/>
  <c r="M581" i="6" a="1"/>
  <c r="M582" i="6" a="1"/>
  <c r="M583" i="6" a="1"/>
  <c r="M584" i="6" a="1"/>
  <c r="M585" i="6" a="1"/>
  <c r="M586" i="6" a="1"/>
  <c r="M587" i="6" a="1"/>
  <c r="M588" i="6" a="1"/>
  <c r="M589" i="6" a="1"/>
  <c r="M590" i="6" a="1"/>
  <c r="M591" i="6" a="1"/>
  <c r="M592" i="6" a="1"/>
  <c r="M593" i="6" a="1"/>
  <c r="M594" i="6" a="1"/>
  <c r="M595" i="6" a="1"/>
  <c r="M596" i="6" a="1"/>
  <c r="M597" i="6" a="1"/>
  <c r="M598" i="6" a="1"/>
  <c r="M599" i="6" a="1"/>
  <c r="M600" i="6" a="1"/>
  <c r="M601" i="6" a="1"/>
  <c r="M602" i="6" a="1"/>
  <c r="M603" i="6" a="1"/>
  <c r="M604" i="6" a="1"/>
  <c r="M605" i="6" a="1"/>
  <c r="M606" i="6" a="1"/>
  <c r="M607" i="6" a="1"/>
  <c r="M608" i="6" a="1"/>
  <c r="M609" i="6" a="1"/>
  <c r="M610" i="6" a="1"/>
  <c r="M611" i="6" a="1"/>
  <c r="M612" i="6" a="1"/>
  <c r="M613" i="6" a="1"/>
  <c r="M614" i="6" a="1"/>
  <c r="M615" i="6" a="1"/>
  <c r="M616" i="6" a="1"/>
  <c r="M617" i="6" a="1"/>
  <c r="M618" i="6" a="1"/>
  <c r="M619" i="6" a="1"/>
  <c r="M620" i="6" a="1"/>
  <c r="M621" i="6" a="1"/>
  <c r="M622" i="6" a="1"/>
  <c r="M623" i="6" a="1"/>
  <c r="M624" i="6" a="1"/>
  <c r="M625" i="6" a="1"/>
  <c r="M626" i="6" a="1"/>
  <c r="M627" i="6" a="1"/>
  <c r="M628" i="6" a="1"/>
  <c r="M629" i="6" a="1"/>
  <c r="M630" i="6" a="1"/>
  <c r="M631" i="6" a="1"/>
  <c r="M632" i="6" a="1"/>
  <c r="M633" i="6" a="1"/>
  <c r="M634" i="6" a="1"/>
  <c r="M635" i="6" a="1"/>
  <c r="M636" i="6" a="1"/>
  <c r="M637" i="6" a="1"/>
  <c r="M638" i="6" a="1"/>
  <c r="M639" i="6" a="1"/>
  <c r="M640" i="6" a="1"/>
  <c r="M641" i="6" a="1"/>
  <c r="M642" i="6" a="1"/>
  <c r="M643" i="6" a="1"/>
  <c r="M644" i="6" a="1"/>
  <c r="M645" i="6" a="1"/>
  <c r="M646" i="6" a="1"/>
  <c r="M647" i="6" a="1"/>
  <c r="M648" i="6" a="1"/>
  <c r="M649" i="6" a="1"/>
  <c r="M650" i="6" a="1"/>
  <c r="M651" i="6" a="1"/>
  <c r="M652" i="6" a="1"/>
  <c r="M653" i="6" a="1"/>
  <c r="M654" i="6" a="1"/>
  <c r="M655" i="6" a="1"/>
  <c r="M656" i="6" a="1"/>
  <c r="M657" i="6" a="1"/>
  <c r="M658" i="6" a="1"/>
  <c r="M659" i="6" a="1"/>
  <c r="M660" i="6" a="1"/>
  <c r="M661" i="6" a="1"/>
  <c r="M662" i="6" a="1"/>
  <c r="M663" i="6" a="1"/>
  <c r="M664" i="6" a="1"/>
  <c r="M665" i="6" a="1"/>
  <c r="M666" i="6" a="1"/>
  <c r="M667" i="6" a="1"/>
  <c r="M668" i="6" a="1"/>
  <c r="M669" i="6" a="1"/>
  <c r="M670" i="6" a="1"/>
  <c r="M671" i="6" a="1"/>
  <c r="M672" i="6" a="1"/>
  <c r="M673" i="6" a="1"/>
  <c r="M674" i="6" a="1"/>
  <c r="M675" i="6" a="1"/>
  <c r="M676" i="6" a="1"/>
  <c r="M677" i="6" a="1"/>
  <c r="M678" i="6" a="1"/>
  <c r="M679" i="6" a="1"/>
  <c r="M680" i="6" a="1"/>
  <c r="M681" i="6" a="1"/>
  <c r="M682" i="6" a="1"/>
  <c r="M683" i="6" a="1"/>
  <c r="M684" i="6" a="1"/>
  <c r="M685" i="6" a="1"/>
  <c r="M686" i="6" a="1"/>
  <c r="M687" i="6" a="1"/>
  <c r="M688" i="6" a="1"/>
  <c r="M689" i="6" a="1"/>
  <c r="M690" i="6" a="1"/>
  <c r="M691" i="6" a="1"/>
  <c r="M692" i="6" a="1"/>
  <c r="M693" i="6" a="1"/>
  <c r="M694" i="6" a="1"/>
  <c r="M695" i="6" a="1"/>
  <c r="M696" i="6" a="1"/>
  <c r="M697" i="6" a="1"/>
  <c r="M698" i="6" a="1"/>
  <c r="M699" i="6" a="1"/>
  <c r="M700" i="6" a="1"/>
  <c r="M701" i="6" a="1"/>
  <c r="M702" i="6" a="1"/>
  <c r="M703" i="6" a="1"/>
  <c r="M704" i="6" a="1"/>
  <c r="M705" i="6" a="1"/>
  <c r="M706" i="6" a="1"/>
  <c r="M707" i="6" a="1"/>
  <c r="M708" i="6" a="1"/>
  <c r="M709" i="6" a="1"/>
  <c r="M710" i="6" a="1"/>
  <c r="M711" i="6" a="1"/>
  <c r="M712" i="6" a="1"/>
  <c r="M713" i="6" a="1"/>
  <c r="M714" i="6" a="1"/>
  <c r="M715" i="6" a="1"/>
  <c r="M716" i="6" a="1"/>
  <c r="M717" i="6" a="1"/>
  <c r="M718" i="6" a="1"/>
  <c r="M719" i="6" a="1"/>
  <c r="M720" i="6" a="1"/>
  <c r="M721" i="6" a="1"/>
  <c r="M722" i="6" a="1"/>
  <c r="M723" i="6" a="1"/>
  <c r="M724" i="6" a="1"/>
  <c r="M725" i="6" a="1"/>
  <c r="M726" i="6" a="1"/>
  <c r="M727" i="6" a="1"/>
  <c r="M728" i="6" a="1"/>
  <c r="M729" i="6" a="1"/>
  <c r="M730" i="6" a="1"/>
  <c r="M731" i="6" a="1"/>
  <c r="M732" i="6" a="1"/>
  <c r="M733" i="6" a="1"/>
  <c r="M734" i="6" a="1"/>
  <c r="M735" i="6" a="1"/>
  <c r="M736" i="6" a="1"/>
  <c r="M737" i="6" a="1"/>
  <c r="M738" i="6" a="1"/>
  <c r="M739" i="6" a="1"/>
  <c r="M740" i="6" a="1"/>
  <c r="M741" i="6" a="1"/>
  <c r="M742" i="6" a="1"/>
  <c r="M743" i="6" a="1"/>
  <c r="M744" i="6" a="1"/>
  <c r="M745" i="6" a="1"/>
  <c r="M746" i="6" a="1"/>
  <c r="M747" i="6" a="1"/>
  <c r="M748" i="6" a="1"/>
  <c r="M749" i="6" a="1"/>
  <c r="M750" i="6" a="1"/>
  <c r="M751" i="6" a="1"/>
  <c r="M752" i="6" a="1"/>
  <c r="M753" i="6" a="1"/>
  <c r="M754" i="6" a="1"/>
  <c r="M755" i="6" a="1"/>
  <c r="M756" i="6" a="1"/>
  <c r="M757" i="6" a="1"/>
  <c r="M758" i="6" a="1"/>
  <c r="M759" i="6" a="1"/>
  <c r="M760" i="6" a="1"/>
  <c r="M761" i="6" a="1"/>
  <c r="M762" i="6" a="1"/>
  <c r="M763" i="6" a="1"/>
  <c r="M764" i="6" a="1"/>
  <c r="M765" i="6" a="1"/>
  <c r="M766" i="6" a="1"/>
  <c r="M767" i="6" a="1"/>
  <c r="M768" i="6" a="1"/>
  <c r="M769" i="6" a="1"/>
  <c r="M770" i="6" a="1"/>
  <c r="M771" i="6" a="1"/>
  <c r="M772" i="6" a="1"/>
  <c r="M773" i="6" a="1"/>
  <c r="M774" i="6" a="1"/>
  <c r="M775" i="6" a="1"/>
  <c r="M776" i="6" a="1"/>
  <c r="M777" i="6" a="1"/>
  <c r="M778" i="6" a="1"/>
  <c r="M779" i="6" a="1"/>
  <c r="M780" i="6" a="1"/>
  <c r="M781" i="6" a="1"/>
  <c r="M782" i="6" a="1"/>
  <c r="M783" i="6" a="1"/>
  <c r="M784" i="6" a="1"/>
  <c r="M785" i="6" a="1"/>
  <c r="M786" i="6" a="1"/>
  <c r="M787" i="6" a="1"/>
  <c r="M788" i="6" a="1"/>
  <c r="M789" i="6" a="1"/>
  <c r="M790" i="6" a="1"/>
  <c r="M791" i="6" a="1"/>
  <c r="M792" i="6" a="1"/>
  <c r="M793" i="6" a="1"/>
  <c r="M794" i="6" a="1"/>
  <c r="M795" i="6" a="1"/>
  <c r="M796" i="6" a="1"/>
  <c r="M797" i="6" a="1"/>
  <c r="M798" i="6" a="1"/>
  <c r="M799" i="6" a="1"/>
  <c r="M800" i="6" a="1"/>
  <c r="M801" i="6" a="1"/>
  <c r="M802" i="6" a="1"/>
  <c r="M803" i="6" a="1"/>
  <c r="M804" i="6" a="1"/>
  <c r="M805" i="6" a="1"/>
  <c r="M806" i="6" a="1"/>
  <c r="M807" i="6" a="1"/>
  <c r="M808" i="6" a="1"/>
  <c r="M809" i="6" a="1"/>
  <c r="M810" i="6" a="1"/>
  <c r="M811" i="6" a="1"/>
  <c r="M812" i="6" a="1"/>
  <c r="M813" i="6" a="1"/>
  <c r="M814" i="6" a="1"/>
  <c r="M815" i="6" a="1"/>
  <c r="M816" i="6" a="1"/>
  <c r="M817" i="6" a="1"/>
  <c r="M818" i="6" a="1"/>
  <c r="M819" i="6" a="1"/>
  <c r="M820" i="6" a="1"/>
  <c r="M821" i="6" a="1"/>
  <c r="M822" i="6" a="1"/>
  <c r="M823" i="6" a="1"/>
  <c r="M824" i="6" a="1"/>
  <c r="M825" i="6" a="1"/>
  <c r="M826" i="6" a="1"/>
  <c r="M827" i="6" a="1"/>
  <c r="M828" i="6" a="1"/>
  <c r="M829" i="6" a="1"/>
  <c r="M830" i="6" a="1"/>
  <c r="M831" i="6" a="1"/>
  <c r="M832" i="6" a="1"/>
  <c r="M833" i="6" a="1"/>
  <c r="M834" i="6" a="1"/>
  <c r="M835" i="6" a="1"/>
  <c r="M836" i="6" a="1"/>
  <c r="M837" i="6" a="1"/>
  <c r="M838" i="6" a="1"/>
  <c r="M839" i="6" a="1"/>
  <c r="M840" i="6" a="1"/>
  <c r="M841" i="6" a="1"/>
  <c r="M842" i="6" a="1"/>
  <c r="M843" i="6" a="1"/>
  <c r="M844" i="6" a="1"/>
  <c r="M845" i="6" a="1"/>
  <c r="M846" i="6" a="1"/>
  <c r="M847" i="6" a="1"/>
  <c r="M848" i="6" a="1"/>
  <c r="M849" i="6" a="1"/>
  <c r="M850" i="6" a="1"/>
  <c r="M851" i="6" a="1"/>
  <c r="M852" i="6" a="1"/>
  <c r="M853" i="6" a="1"/>
  <c r="M854" i="6" a="1"/>
  <c r="M855" i="6" a="1"/>
  <c r="M856" i="6" a="1"/>
  <c r="M857" i="6" a="1"/>
  <c r="M858" i="6" a="1"/>
  <c r="M859" i="6" a="1"/>
  <c r="M860" i="6" a="1"/>
  <c r="M861" i="6" a="1"/>
  <c r="M862" i="6" a="1"/>
  <c r="M863" i="6" a="1"/>
  <c r="M864" i="6" a="1"/>
  <c r="M865" i="6" a="1"/>
  <c r="M866" i="6" a="1"/>
  <c r="M867" i="6" a="1"/>
  <c r="M868" i="6" a="1"/>
  <c r="M869" i="6" a="1"/>
  <c r="M870" i="6" a="1"/>
  <c r="M871" i="6" a="1"/>
  <c r="M872" i="6" a="1"/>
  <c r="M873" i="6" a="1"/>
  <c r="M874" i="6" a="1"/>
  <c r="M875" i="6" a="1"/>
  <c r="M876" i="6" a="1"/>
  <c r="M877" i="6" a="1"/>
  <c r="M878" i="6" a="1"/>
  <c r="M879" i="6" a="1"/>
  <c r="M880" i="6" a="1"/>
  <c r="M881" i="6" a="1"/>
  <c r="M882" i="6" a="1"/>
  <c r="M883" i="6" a="1"/>
  <c r="M884" i="6" a="1"/>
  <c r="M885" i="6" a="1"/>
  <c r="M886" i="6" a="1"/>
  <c r="M887" i="6" a="1"/>
  <c r="M888" i="6" a="1"/>
  <c r="M889" i="6" a="1"/>
  <c r="M890" i="6" a="1"/>
  <c r="M891" i="6" a="1"/>
  <c r="M892" i="6" a="1"/>
  <c r="M893" i="6" a="1"/>
  <c r="M894" i="6" a="1"/>
  <c r="F14" i="7"/>
  <c r="F13" i="7"/>
  <c r="F12" i="7"/>
  <c r="C2" i="8"/>
  <c r="B2" i="8" s="1"/>
  <c r="C3" i="8"/>
  <c r="B3" i="8" s="1"/>
  <c r="A3" i="8" s="1"/>
  <c r="C4" i="8"/>
  <c r="B4" i="8" s="1"/>
  <c r="C5" i="8"/>
  <c r="B5" i="8" s="1"/>
  <c r="A5" i="8" s="1"/>
  <c r="C6" i="8"/>
  <c r="B6" i="8" s="1"/>
  <c r="A6" i="8" s="1"/>
  <c r="C7" i="8"/>
  <c r="B7" i="8" s="1"/>
  <c r="A7" i="8" s="1"/>
  <c r="C8" i="8"/>
  <c r="B8" i="8" s="1"/>
  <c r="A8" i="8" s="1"/>
  <c r="C9" i="8"/>
  <c r="B9" i="8" s="1"/>
  <c r="A9" i="8" s="1"/>
  <c r="C10" i="8"/>
  <c r="B10" i="8" s="1"/>
  <c r="A10" i="8" s="1"/>
  <c r="C11" i="8"/>
  <c r="B11" i="8" s="1"/>
  <c r="A11" i="8" s="1"/>
  <c r="C12" i="8"/>
  <c r="B12" i="8" s="1"/>
  <c r="C13" i="8"/>
  <c r="B13" i="8" s="1"/>
  <c r="A13" i="8" s="1"/>
  <c r="C14" i="8"/>
  <c r="B14" i="8" s="1"/>
  <c r="A14" i="8" s="1"/>
  <c r="C15" i="8"/>
  <c r="B15" i="8" s="1"/>
  <c r="A15" i="8" s="1"/>
  <c r="C16" i="8"/>
  <c r="B16" i="8" s="1"/>
  <c r="A16" i="8" s="1"/>
  <c r="C17" i="8"/>
  <c r="B17" i="8" s="1"/>
  <c r="A17" i="8" s="1"/>
  <c r="C18" i="8"/>
  <c r="B18" i="8" s="1"/>
  <c r="A18" i="8" s="1"/>
  <c r="C19" i="8"/>
  <c r="B19" i="8" s="1"/>
  <c r="A19" i="8" s="1"/>
  <c r="C20" i="8"/>
  <c r="B20" i="8" s="1"/>
  <c r="C21" i="8"/>
  <c r="B21" i="8" s="1"/>
  <c r="A21" i="8" s="1"/>
  <c r="C22" i="8"/>
  <c r="B22" i="8" s="1"/>
  <c r="A22" i="8" s="1"/>
  <c r="C23" i="8"/>
  <c r="B23" i="8" s="1"/>
  <c r="A23" i="8" s="1"/>
  <c r="C24" i="8"/>
  <c r="B24" i="8" s="1"/>
  <c r="A24" i="8" s="1"/>
  <c r="C25" i="8"/>
  <c r="B25" i="8" s="1"/>
  <c r="A25" i="8" s="1"/>
  <c r="C26" i="8"/>
  <c r="B26" i="8" s="1"/>
  <c r="A26" i="8" s="1"/>
  <c r="C27" i="8"/>
  <c r="B27" i="8" s="1"/>
  <c r="A27" i="8" s="1"/>
  <c r="C28" i="8"/>
  <c r="B28" i="8" s="1"/>
  <c r="C29" i="8"/>
  <c r="B29" i="8" s="1"/>
  <c r="A29" i="8" s="1"/>
  <c r="C30" i="8"/>
  <c r="B30" i="8" s="1"/>
  <c r="A30" i="8" s="1"/>
  <c r="C31" i="8"/>
  <c r="B31" i="8" s="1"/>
  <c r="A31" i="8" s="1"/>
  <c r="C32" i="8"/>
  <c r="B32" i="8" s="1"/>
  <c r="A32" i="8" s="1"/>
  <c r="C33" i="8"/>
  <c r="B33" i="8" s="1"/>
  <c r="A33" i="8" s="1"/>
  <c r="C34" i="8"/>
  <c r="B34" i="8" s="1"/>
  <c r="A34" i="8" s="1"/>
  <c r="C35" i="8"/>
  <c r="B35" i="8" s="1"/>
  <c r="A35" i="8" s="1"/>
  <c r="C36" i="8"/>
  <c r="B36" i="8" s="1"/>
  <c r="C37" i="8"/>
  <c r="B37" i="8" s="1"/>
  <c r="A37" i="8" s="1"/>
  <c r="C38" i="8"/>
  <c r="B38" i="8" s="1"/>
  <c r="A38" i="8" s="1"/>
  <c r="C39" i="8"/>
  <c r="B39" i="8" s="1"/>
  <c r="A39" i="8" s="1"/>
  <c r="C40" i="8"/>
  <c r="B40" i="8" s="1"/>
  <c r="A40" i="8" s="1"/>
  <c r="C41" i="8"/>
  <c r="B41" i="8" s="1"/>
  <c r="A41" i="8" s="1"/>
  <c r="C42" i="8"/>
  <c r="B42" i="8" s="1"/>
  <c r="A42" i="8" s="1"/>
  <c r="C43" i="8"/>
  <c r="B43" i="8" s="1"/>
  <c r="A43" i="8" s="1"/>
  <c r="C44" i="8"/>
  <c r="B44" i="8" s="1"/>
  <c r="C45" i="8"/>
  <c r="B45" i="8" s="1"/>
  <c r="A45" i="8" s="1"/>
  <c r="C46" i="8"/>
  <c r="B46" i="8" s="1"/>
  <c r="A46" i="8" s="1"/>
  <c r="C47" i="8"/>
  <c r="B47" i="8" s="1"/>
  <c r="A47" i="8" s="1"/>
  <c r="C48" i="8"/>
  <c r="B48" i="8" s="1"/>
  <c r="A48" i="8" s="1"/>
  <c r="C49" i="8"/>
  <c r="B49" i="8" s="1"/>
  <c r="A49" i="8" s="1"/>
  <c r="C50" i="8"/>
  <c r="B50" i="8" s="1"/>
  <c r="A50" i="8" s="1"/>
  <c r="C51" i="8"/>
  <c r="B51" i="8" s="1"/>
  <c r="A51" i="8" s="1"/>
  <c r="C52" i="8"/>
  <c r="B52" i="8" s="1"/>
  <c r="C53" i="8"/>
  <c r="B53" i="8" s="1"/>
  <c r="A53" i="8" s="1"/>
  <c r="C54" i="8"/>
  <c r="B54" i="8" s="1"/>
  <c r="A54" i="8" s="1"/>
  <c r="C55" i="8"/>
  <c r="B55" i="8" s="1"/>
  <c r="A55" i="8" s="1"/>
  <c r="C56" i="8"/>
  <c r="B56" i="8" s="1"/>
  <c r="A56" i="8" s="1"/>
  <c r="C57" i="8"/>
  <c r="B57" i="8" s="1"/>
  <c r="A57" i="8" s="1"/>
  <c r="C58" i="8"/>
  <c r="B58" i="8" s="1"/>
  <c r="A58" i="8" s="1"/>
  <c r="C59" i="8"/>
  <c r="B59" i="8" s="1"/>
  <c r="A59" i="8" s="1"/>
  <c r="C60" i="8"/>
  <c r="B60" i="8" s="1"/>
  <c r="C61" i="8"/>
  <c r="B61" i="8" s="1"/>
  <c r="A61" i="8" s="1"/>
  <c r="C62" i="8"/>
  <c r="B62" i="8" s="1"/>
  <c r="A62" i="8" s="1"/>
  <c r="C63" i="8"/>
  <c r="B63" i="8" s="1"/>
  <c r="A63" i="8" s="1"/>
  <c r="C64" i="8"/>
  <c r="B64" i="8" s="1"/>
  <c r="A64" i="8" s="1"/>
  <c r="C65" i="8"/>
  <c r="B65" i="8" s="1"/>
  <c r="A65" i="8" s="1"/>
  <c r="C66" i="8"/>
  <c r="B66" i="8" s="1"/>
  <c r="A66" i="8" s="1"/>
  <c r="C67" i="8"/>
  <c r="B67" i="8" s="1"/>
  <c r="A67" i="8" s="1"/>
  <c r="C68" i="8"/>
  <c r="B68" i="8" s="1"/>
  <c r="C69" i="8"/>
  <c r="B69" i="8" s="1"/>
  <c r="A69" i="8" s="1"/>
  <c r="C70" i="8"/>
  <c r="B70" i="8" s="1"/>
  <c r="A70" i="8" s="1"/>
  <c r="C71" i="8"/>
  <c r="B71" i="8" s="1"/>
  <c r="A71" i="8" s="1"/>
  <c r="C72" i="8"/>
  <c r="B72" i="8" s="1"/>
  <c r="A72" i="8" s="1"/>
  <c r="C73" i="8"/>
  <c r="B73" i="8" s="1"/>
  <c r="A73" i="8" s="1"/>
  <c r="C74" i="8"/>
  <c r="B74" i="8" s="1"/>
  <c r="A74" i="8" s="1"/>
  <c r="C75" i="8"/>
  <c r="B75" i="8" s="1"/>
  <c r="A75" i="8" s="1"/>
  <c r="C76" i="8"/>
  <c r="B76" i="8" s="1"/>
  <c r="C77" i="8"/>
  <c r="B77" i="8" s="1"/>
  <c r="A77" i="8" s="1"/>
  <c r="C78" i="8"/>
  <c r="B78" i="8" s="1"/>
  <c r="A78" i="8" s="1"/>
  <c r="C79" i="8"/>
  <c r="B79" i="8" s="1"/>
  <c r="A79" i="8" s="1"/>
  <c r="C80" i="8"/>
  <c r="B80" i="8" s="1"/>
  <c r="A80" i="8" s="1"/>
  <c r="C81" i="8"/>
  <c r="B81" i="8" s="1"/>
  <c r="A81" i="8" s="1"/>
  <c r="C82" i="8"/>
  <c r="B82" i="8" s="1"/>
  <c r="A82" i="8" s="1"/>
  <c r="C83" i="8"/>
  <c r="B83" i="8" s="1"/>
  <c r="A83" i="8" s="1"/>
  <c r="C84" i="8"/>
  <c r="B84" i="8" s="1"/>
  <c r="C85" i="8"/>
  <c r="B85" i="8" s="1"/>
  <c r="A85" i="8" s="1"/>
  <c r="C86" i="8"/>
  <c r="B86" i="8" s="1"/>
  <c r="A86" i="8" s="1"/>
  <c r="C87" i="8"/>
  <c r="B87" i="8" s="1"/>
  <c r="A87" i="8" s="1"/>
  <c r="C88" i="8"/>
  <c r="B88" i="8" s="1"/>
  <c r="A88" i="8" s="1"/>
  <c r="C89" i="8"/>
  <c r="B89" i="8" s="1"/>
  <c r="A89" i="8" s="1"/>
  <c r="C90" i="8"/>
  <c r="B90" i="8" s="1"/>
  <c r="A90" i="8" s="1"/>
  <c r="C91" i="8"/>
  <c r="B91" i="8" s="1"/>
  <c r="A91" i="8" s="1"/>
  <c r="C92" i="8"/>
  <c r="B92" i="8" s="1"/>
  <c r="C93" i="8"/>
  <c r="B93" i="8" s="1"/>
  <c r="A93" i="8" s="1"/>
  <c r="C94" i="8"/>
  <c r="B94" i="8" s="1"/>
  <c r="A94" i="8" s="1"/>
  <c r="C95" i="8"/>
  <c r="B95" i="8" s="1"/>
  <c r="A95" i="8" s="1"/>
  <c r="C96" i="8"/>
  <c r="B96" i="8" s="1"/>
  <c r="A96" i="8" s="1"/>
  <c r="C97" i="8"/>
  <c r="B97" i="8" s="1"/>
  <c r="A97" i="8" s="1"/>
  <c r="C98" i="8"/>
  <c r="B98" i="8" s="1"/>
  <c r="A98" i="8" s="1"/>
  <c r="C99" i="8"/>
  <c r="B99" i="8" s="1"/>
  <c r="A99" i="8" s="1"/>
  <c r="C100" i="8"/>
  <c r="B100" i="8" s="1"/>
  <c r="C101" i="8"/>
  <c r="B101" i="8" s="1"/>
  <c r="A101" i="8" s="1"/>
  <c r="C102" i="8"/>
  <c r="B102" i="8" s="1"/>
  <c r="A102" i="8" s="1"/>
  <c r="C103" i="8"/>
  <c r="B103" i="8" s="1"/>
  <c r="A103" i="8" s="1"/>
  <c r="C104" i="8"/>
  <c r="B104" i="8" s="1"/>
  <c r="A104" i="8" s="1"/>
  <c r="C105" i="8"/>
  <c r="B105" i="8" s="1"/>
  <c r="A105" i="8" s="1"/>
  <c r="C106" i="8"/>
  <c r="B106" i="8" s="1"/>
  <c r="A106" i="8" s="1"/>
  <c r="C107" i="8"/>
  <c r="B107" i="8" s="1"/>
  <c r="A107" i="8" s="1"/>
  <c r="C108" i="8"/>
  <c r="B108" i="8" s="1"/>
  <c r="C109" i="8"/>
  <c r="B109" i="8" s="1"/>
  <c r="A109" i="8" s="1"/>
  <c r="C110" i="8"/>
  <c r="B110" i="8" s="1"/>
  <c r="A110" i="8" s="1"/>
  <c r="C111" i="8"/>
  <c r="B111" i="8" s="1"/>
  <c r="A111" i="8" s="1"/>
  <c r="C112" i="8"/>
  <c r="B112" i="8" s="1"/>
  <c r="A112" i="8" s="1"/>
  <c r="C113" i="8"/>
  <c r="B113" i="8" s="1"/>
  <c r="A113" i="8" s="1"/>
  <c r="C114" i="8"/>
  <c r="B114" i="8" s="1"/>
  <c r="A114" i="8" s="1"/>
  <c r="C115" i="8"/>
  <c r="B115" i="8" s="1"/>
  <c r="A115" i="8" s="1"/>
  <c r="C116" i="8"/>
  <c r="B116" i="8" s="1"/>
  <c r="C117" i="8"/>
  <c r="B117" i="8" s="1"/>
  <c r="A117" i="8" s="1"/>
  <c r="C118" i="8"/>
  <c r="B118" i="8" s="1"/>
  <c r="A118" i="8" s="1"/>
  <c r="C119" i="8"/>
  <c r="B119" i="8" s="1"/>
  <c r="A119" i="8" s="1"/>
  <c r="C120" i="8"/>
  <c r="B120" i="8" s="1"/>
  <c r="A120" i="8" s="1"/>
  <c r="C121" i="8"/>
  <c r="B121" i="8" s="1"/>
  <c r="A121" i="8" s="1"/>
  <c r="C122" i="8"/>
  <c r="B122" i="8" s="1"/>
  <c r="A122" i="8" s="1"/>
  <c r="C123" i="8"/>
  <c r="B123" i="8" s="1"/>
  <c r="C124" i="8"/>
  <c r="B124" i="8" s="1"/>
  <c r="C125" i="8"/>
  <c r="B125" i="8" s="1"/>
  <c r="A125" i="8" s="1"/>
  <c r="C126" i="8"/>
  <c r="B126" i="8" s="1"/>
  <c r="A126" i="8" s="1"/>
  <c r="C127" i="8"/>
  <c r="B127" i="8" s="1"/>
  <c r="A127" i="8" s="1"/>
  <c r="C128" i="8"/>
  <c r="B128" i="8" s="1"/>
  <c r="A128" i="8" s="1"/>
  <c r="C129" i="8"/>
  <c r="B129" i="8" s="1"/>
  <c r="A129" i="8" s="1"/>
  <c r="C130" i="8"/>
  <c r="B130" i="8" s="1"/>
  <c r="A130" i="8" s="1"/>
  <c r="C131" i="8"/>
  <c r="B131" i="8" s="1"/>
  <c r="C132" i="8"/>
  <c r="B132" i="8" s="1"/>
  <c r="C133" i="8"/>
  <c r="B133" i="8" s="1"/>
  <c r="A133" i="8" s="1"/>
  <c r="C134" i="8"/>
  <c r="B134" i="8" s="1"/>
  <c r="A134" i="8" s="1"/>
  <c r="C135" i="8"/>
  <c r="B135" i="8" s="1"/>
  <c r="A135" i="8" s="1"/>
  <c r="C136" i="8"/>
  <c r="B136" i="8" s="1"/>
  <c r="A136" i="8" s="1"/>
  <c r="C137" i="8"/>
  <c r="B137" i="8" s="1"/>
  <c r="A137" i="8" s="1"/>
  <c r="C138" i="8"/>
  <c r="B138" i="8" s="1"/>
  <c r="A138" i="8" s="1"/>
  <c r="C139" i="8"/>
  <c r="B139" i="8" s="1"/>
  <c r="C140" i="8"/>
  <c r="B140" i="8" s="1"/>
  <c r="C141" i="8"/>
  <c r="B141" i="8" s="1"/>
  <c r="A141" i="8" s="1"/>
  <c r="C142" i="8"/>
  <c r="B142" i="8" s="1"/>
  <c r="A142" i="8" s="1"/>
  <c r="C143" i="8"/>
  <c r="B143" i="8" s="1"/>
  <c r="A143" i="8" s="1"/>
  <c r="C144" i="8"/>
  <c r="B144" i="8" s="1"/>
  <c r="A144" i="8" s="1"/>
  <c r="C145" i="8"/>
  <c r="B145" i="8" s="1"/>
  <c r="A145" i="8" s="1"/>
  <c r="C146" i="8"/>
  <c r="B146" i="8" s="1"/>
  <c r="A146" i="8" s="1"/>
  <c r="C147" i="8"/>
  <c r="B147" i="8" s="1"/>
  <c r="C148" i="8"/>
  <c r="B148" i="8" s="1"/>
  <c r="C149" i="8"/>
  <c r="B149" i="8" s="1"/>
  <c r="A149" i="8" s="1"/>
  <c r="C150" i="8"/>
  <c r="B150" i="8" s="1"/>
  <c r="A150" i="8" s="1"/>
  <c r="C151" i="8"/>
  <c r="B151" i="8" s="1"/>
  <c r="A151" i="8" s="1"/>
  <c r="C152" i="8"/>
  <c r="B152" i="8" s="1"/>
  <c r="A152" i="8" s="1"/>
  <c r="C153" i="8"/>
  <c r="B153" i="8" s="1"/>
  <c r="A153" i="8" s="1"/>
  <c r="C154" i="8"/>
  <c r="B154" i="8" s="1"/>
  <c r="A154" i="8" s="1"/>
  <c r="C155" i="8"/>
  <c r="B155" i="8" s="1"/>
  <c r="C156" i="8"/>
  <c r="B156" i="8" s="1"/>
  <c r="C157" i="8"/>
  <c r="B157" i="8" s="1"/>
  <c r="A157" i="8" s="1"/>
  <c r="C158" i="8"/>
  <c r="B158" i="8" s="1"/>
  <c r="A158" i="8" s="1"/>
  <c r="C159" i="8"/>
  <c r="B159" i="8" s="1"/>
  <c r="A159" i="8" s="1"/>
  <c r="C160" i="8"/>
  <c r="B160" i="8" s="1"/>
  <c r="A160" i="8" s="1"/>
  <c r="C161" i="8"/>
  <c r="B161" i="8" s="1"/>
  <c r="A161" i="8" s="1"/>
  <c r="C162" i="8"/>
  <c r="B162" i="8" s="1"/>
  <c r="A162" i="8" s="1"/>
  <c r="C163" i="8"/>
  <c r="B163" i="8" s="1"/>
  <c r="C164" i="8"/>
  <c r="B164" i="8" s="1"/>
  <c r="C165" i="8"/>
  <c r="B165" i="8" s="1"/>
  <c r="A165" i="8" s="1"/>
  <c r="C166" i="8"/>
  <c r="B166" i="8" s="1"/>
  <c r="A166" i="8" s="1"/>
  <c r="C167" i="8"/>
  <c r="B167" i="8" s="1"/>
  <c r="A167" i="8" s="1"/>
  <c r="C168" i="8"/>
  <c r="B168" i="8" s="1"/>
  <c r="A168" i="8" s="1"/>
  <c r="C169" i="8"/>
  <c r="B169" i="8" s="1"/>
  <c r="A169" i="8" s="1"/>
  <c r="C170" i="8"/>
  <c r="B170" i="8" s="1"/>
  <c r="A170" i="8" s="1"/>
  <c r="C171" i="8"/>
  <c r="B171" i="8" s="1"/>
  <c r="C172" i="8"/>
  <c r="B172" i="8" s="1"/>
  <c r="C173" i="8"/>
  <c r="B173" i="8" s="1"/>
  <c r="A173" i="8" s="1"/>
  <c r="C174" i="8"/>
  <c r="B174" i="8" s="1"/>
  <c r="A174" i="8" s="1"/>
  <c r="C175" i="8"/>
  <c r="B175" i="8" s="1"/>
  <c r="A175" i="8" s="1"/>
  <c r="C176" i="8"/>
  <c r="B176" i="8" s="1"/>
  <c r="A176" i="8" s="1"/>
  <c r="C177" i="8"/>
  <c r="B177" i="8" s="1"/>
  <c r="A177" i="8" s="1"/>
  <c r="C178" i="8"/>
  <c r="B178" i="8" s="1"/>
  <c r="A178" i="8" s="1"/>
  <c r="C179" i="8"/>
  <c r="B179" i="8" s="1"/>
  <c r="C180" i="8"/>
  <c r="B180" i="8" s="1"/>
  <c r="C181" i="8"/>
  <c r="B181" i="8" s="1"/>
  <c r="A181" i="8" s="1"/>
  <c r="C182" i="8"/>
  <c r="B182" i="8" s="1"/>
  <c r="A182" i="8" s="1"/>
  <c r="C183" i="8"/>
  <c r="B183" i="8" s="1"/>
  <c r="A183" i="8" s="1"/>
  <c r="C184" i="8"/>
  <c r="B184" i="8" s="1"/>
  <c r="A184" i="8" s="1"/>
  <c r="C185" i="8"/>
  <c r="B185" i="8" s="1"/>
  <c r="A185" i="8" s="1"/>
  <c r="C186" i="8"/>
  <c r="B186" i="8" s="1"/>
  <c r="A186" i="8" s="1"/>
  <c r="C187" i="8"/>
  <c r="B187" i="8" s="1"/>
  <c r="C188" i="8"/>
  <c r="B188" i="8" s="1"/>
  <c r="C189" i="8"/>
  <c r="B189" i="8" s="1"/>
  <c r="A189" i="8" s="1"/>
  <c r="C190" i="8"/>
  <c r="B190" i="8" s="1"/>
  <c r="A190" i="8" s="1"/>
  <c r="C191" i="8"/>
  <c r="B191" i="8" s="1"/>
  <c r="A191" i="8" s="1"/>
  <c r="C192" i="8"/>
  <c r="B192" i="8" s="1"/>
  <c r="A192" i="8" s="1"/>
  <c r="C193" i="8"/>
  <c r="B193" i="8" s="1"/>
  <c r="A193" i="8" s="1"/>
  <c r="C194" i="8"/>
  <c r="B194" i="8" s="1"/>
  <c r="A194" i="8" s="1"/>
  <c r="C195" i="8"/>
  <c r="B195" i="8" s="1"/>
  <c r="C196" i="8"/>
  <c r="B196" i="8" s="1"/>
  <c r="C197" i="8"/>
  <c r="B197" i="8" s="1"/>
  <c r="A197" i="8" s="1"/>
  <c r="C198" i="8"/>
  <c r="B198" i="8" s="1"/>
  <c r="A198" i="8" s="1"/>
  <c r="C199" i="8"/>
  <c r="B199" i="8" s="1"/>
  <c r="A199" i="8" s="1"/>
  <c r="C200" i="8"/>
  <c r="B200" i="8" s="1"/>
  <c r="A200" i="8" s="1"/>
  <c r="C201" i="8"/>
  <c r="B201" i="8" s="1"/>
  <c r="A201" i="8" s="1"/>
  <c r="C202" i="8"/>
  <c r="B202" i="8" s="1"/>
  <c r="A202" i="8" s="1"/>
  <c r="C203" i="8"/>
  <c r="B203" i="8" s="1"/>
  <c r="C204" i="8"/>
  <c r="B204" i="8" s="1"/>
  <c r="C205" i="8"/>
  <c r="B205" i="8" s="1"/>
  <c r="A205" i="8" s="1"/>
  <c r="C206" i="8"/>
  <c r="B206" i="8" s="1"/>
  <c r="A206" i="8" s="1"/>
  <c r="C207" i="8"/>
  <c r="B207" i="8" s="1"/>
  <c r="A207" i="8" s="1"/>
  <c r="C208" i="8"/>
  <c r="B208" i="8" s="1"/>
  <c r="A208" i="8" s="1"/>
  <c r="C209" i="8"/>
  <c r="B209" i="8" s="1"/>
  <c r="A209" i="8" s="1"/>
  <c r="C210" i="8"/>
  <c r="B210" i="8" s="1"/>
  <c r="A210" i="8" s="1"/>
  <c r="C211" i="8"/>
  <c r="B211" i="8" s="1"/>
  <c r="C212" i="8"/>
  <c r="B212" i="8" s="1"/>
  <c r="C213" i="8"/>
  <c r="B213" i="8" s="1"/>
  <c r="A213" i="8" s="1"/>
  <c r="C214" i="8"/>
  <c r="B214" i="8" s="1"/>
  <c r="A214" i="8" s="1"/>
  <c r="C215" i="8"/>
  <c r="B215" i="8" s="1"/>
  <c r="A215" i="8" s="1"/>
  <c r="C216" i="8"/>
  <c r="B216" i="8" s="1"/>
  <c r="C217" i="8"/>
  <c r="B217" i="8" s="1"/>
  <c r="A217" i="8" s="1"/>
  <c r="C218" i="8"/>
  <c r="B218" i="8" s="1"/>
  <c r="A218" i="8" s="1"/>
  <c r="C219" i="8"/>
  <c r="B219" i="8" s="1"/>
  <c r="A219" i="8" s="1"/>
  <c r="C220" i="8"/>
  <c r="B220" i="8" s="1"/>
  <c r="C221" i="8"/>
  <c r="B221" i="8" s="1"/>
  <c r="C222" i="8"/>
  <c r="B222" i="8" s="1"/>
  <c r="A222" i="8" s="1"/>
  <c r="C223" i="8"/>
  <c r="B223" i="8" s="1"/>
  <c r="A223" i="8" s="1"/>
  <c r="C224" i="8"/>
  <c r="B224" i="8" s="1"/>
  <c r="C225" i="8"/>
  <c r="B225" i="8" s="1"/>
  <c r="A225" i="8" s="1"/>
  <c r="C226" i="8"/>
  <c r="B226" i="8" s="1"/>
  <c r="A226" i="8" s="1"/>
  <c r="C227" i="8"/>
  <c r="B227" i="8" s="1"/>
  <c r="A227" i="8" s="1"/>
  <c r="C228" i="8"/>
  <c r="B228" i="8" s="1"/>
  <c r="A228" i="8" s="1"/>
  <c r="C229" i="8"/>
  <c r="B229" i="8" s="1"/>
  <c r="C230" i="8"/>
  <c r="B230" i="8" s="1"/>
  <c r="C231" i="8"/>
  <c r="B231" i="8" s="1"/>
  <c r="A231" i="8" s="1"/>
  <c r="C232" i="8"/>
  <c r="B232" i="8" s="1"/>
  <c r="C233" i="8"/>
  <c r="B233" i="8" s="1"/>
  <c r="A233" i="8" s="1"/>
  <c r="C234" i="8"/>
  <c r="B234" i="8" s="1"/>
  <c r="A234" i="8" s="1"/>
  <c r="C235" i="8"/>
  <c r="B235" i="8" s="1"/>
  <c r="A235" i="8" s="1"/>
  <c r="C236" i="8"/>
  <c r="B236" i="8" s="1"/>
  <c r="A236" i="8" s="1"/>
  <c r="C237" i="8"/>
  <c r="B237" i="8" s="1"/>
  <c r="A237" i="8" s="1"/>
  <c r="C238" i="8"/>
  <c r="B238" i="8" s="1"/>
  <c r="C239" i="8"/>
  <c r="B239" i="8" s="1"/>
  <c r="C240" i="8"/>
  <c r="B240" i="8" s="1"/>
  <c r="C241" i="8"/>
  <c r="B241" i="8" s="1"/>
  <c r="A241" i="8" s="1"/>
  <c r="C242" i="8"/>
  <c r="B242" i="8" s="1"/>
  <c r="A242" i="8" s="1"/>
  <c r="C243" i="8"/>
  <c r="B243" i="8" s="1"/>
  <c r="A243" i="8" s="1"/>
  <c r="C244" i="8"/>
  <c r="B244" i="8" s="1"/>
  <c r="A244" i="8" s="1"/>
  <c r="C245" i="8"/>
  <c r="B245" i="8" s="1"/>
  <c r="A245" i="8" s="1"/>
  <c r="C246" i="8"/>
  <c r="B246" i="8" s="1"/>
  <c r="A246" i="8" s="1"/>
  <c r="C247" i="8"/>
  <c r="B247" i="8" s="1"/>
  <c r="C248" i="8"/>
  <c r="B248" i="8" s="1"/>
  <c r="C249" i="8"/>
  <c r="B249" i="8" s="1"/>
  <c r="C250" i="8"/>
  <c r="B250" i="8" s="1"/>
  <c r="A250" i="8" s="1"/>
  <c r="C251" i="8"/>
  <c r="B251" i="8" s="1"/>
  <c r="A251" i="8" s="1"/>
  <c r="C252" i="8"/>
  <c r="B252" i="8" s="1"/>
  <c r="A252" i="8" s="1"/>
  <c r="C253" i="8"/>
  <c r="B253" i="8" s="1"/>
  <c r="A253" i="8" s="1"/>
  <c r="C254" i="8"/>
  <c r="B254" i="8" s="1"/>
  <c r="A254" i="8" s="1"/>
  <c r="C255" i="8"/>
  <c r="B255" i="8" s="1"/>
  <c r="A255" i="8" s="1"/>
  <c r="C256" i="8"/>
  <c r="B256" i="8" s="1"/>
  <c r="C257" i="8"/>
  <c r="B257" i="8" s="1"/>
  <c r="C258" i="8"/>
  <c r="B258" i="8" s="1"/>
  <c r="C259" i="8"/>
  <c r="B259" i="8" s="1"/>
  <c r="A259" i="8" s="1"/>
  <c r="C260" i="8"/>
  <c r="B260" i="8" s="1"/>
  <c r="A260" i="8" s="1"/>
  <c r="C261" i="8"/>
  <c r="B261" i="8" s="1"/>
  <c r="A261" i="8" s="1"/>
  <c r="C262" i="8"/>
  <c r="B262" i="8" s="1"/>
  <c r="A262" i="8" s="1"/>
  <c r="C263" i="8"/>
  <c r="B263" i="8" s="1"/>
  <c r="A263" i="8" s="1"/>
  <c r="C264" i="8"/>
  <c r="B264" i="8" s="1"/>
  <c r="C265" i="8"/>
  <c r="B265" i="8" s="1"/>
  <c r="A265" i="8" s="1"/>
  <c r="C266" i="8"/>
  <c r="B266" i="8" s="1"/>
  <c r="C267" i="8"/>
  <c r="B267" i="8" s="1"/>
  <c r="C268" i="8"/>
  <c r="B268" i="8" s="1"/>
  <c r="A268" i="8" s="1"/>
  <c r="C269" i="8"/>
  <c r="B269" i="8" s="1"/>
  <c r="A269" i="8" s="1"/>
  <c r="C270" i="8"/>
  <c r="B270" i="8" s="1"/>
  <c r="A270" i="8" s="1"/>
  <c r="C271" i="8"/>
  <c r="B271" i="8" s="1"/>
  <c r="A271" i="8" s="1"/>
  <c r="C272" i="8"/>
  <c r="B272" i="8" s="1"/>
  <c r="C273" i="8"/>
  <c r="B273" i="8" s="1"/>
  <c r="A273" i="8" s="1"/>
  <c r="C274" i="8"/>
  <c r="B274" i="8" s="1"/>
  <c r="A274" i="8" s="1"/>
  <c r="C275" i="8"/>
  <c r="B275" i="8" s="1"/>
  <c r="C276" i="8"/>
  <c r="B276" i="8" s="1"/>
  <c r="C277" i="8"/>
  <c r="B277" i="8" s="1"/>
  <c r="A277" i="8" s="1"/>
  <c r="C278" i="8"/>
  <c r="B278" i="8" s="1"/>
  <c r="A278" i="8" s="1"/>
  <c r="C279" i="8"/>
  <c r="B279" i="8" s="1"/>
  <c r="A279" i="8" s="1"/>
  <c r="C280" i="8"/>
  <c r="B280" i="8" s="1"/>
  <c r="C281" i="8"/>
  <c r="B281" i="8" s="1"/>
  <c r="A281" i="8" s="1"/>
  <c r="C282" i="8"/>
  <c r="B282" i="8" s="1"/>
  <c r="A282" i="8" s="1"/>
  <c r="C283" i="8"/>
  <c r="B283" i="8" s="1"/>
  <c r="A283" i="8" s="1"/>
  <c r="C284" i="8"/>
  <c r="B284" i="8" s="1"/>
  <c r="C285" i="8"/>
  <c r="B285" i="8" s="1"/>
  <c r="C286" i="8"/>
  <c r="B286" i="8" s="1"/>
  <c r="A286" i="8" s="1"/>
  <c r="C287" i="8"/>
  <c r="B287" i="8" s="1"/>
  <c r="A287" i="8" s="1"/>
  <c r="C288" i="8"/>
  <c r="B288" i="8" s="1"/>
  <c r="C289" i="8"/>
  <c r="B289" i="8" s="1"/>
  <c r="A289" i="8" s="1"/>
  <c r="C290" i="8"/>
  <c r="B290" i="8" s="1"/>
  <c r="A290" i="8" s="1"/>
  <c r="C291" i="8"/>
  <c r="B291" i="8" s="1"/>
  <c r="A291" i="8" s="1"/>
  <c r="C292" i="8"/>
  <c r="B292" i="8" s="1"/>
  <c r="A292" i="8" s="1"/>
  <c r="C293" i="8"/>
  <c r="B293" i="8" s="1"/>
  <c r="C294" i="8"/>
  <c r="B294" i="8" s="1"/>
  <c r="C295" i="8"/>
  <c r="B295" i="8" s="1"/>
  <c r="A295" i="8" s="1"/>
  <c r="C296" i="8"/>
  <c r="B296" i="8" s="1"/>
  <c r="C297" i="8"/>
  <c r="B297" i="8" s="1"/>
  <c r="A297" i="8" s="1"/>
  <c r="C298" i="8"/>
  <c r="B298" i="8" s="1"/>
  <c r="A298" i="8" s="1"/>
  <c r="C299" i="8"/>
  <c r="B299" i="8" s="1"/>
  <c r="A299" i="8" s="1"/>
  <c r="C300" i="8"/>
  <c r="B300" i="8" s="1"/>
  <c r="A300" i="8" s="1"/>
  <c r="C301" i="8"/>
  <c r="B301" i="8" s="1"/>
  <c r="A301" i="8" s="1"/>
  <c r="C302" i="8"/>
  <c r="B302" i="8" s="1"/>
  <c r="C303" i="8"/>
  <c r="B303" i="8" s="1"/>
  <c r="C304" i="8"/>
  <c r="B304" i="8" s="1"/>
  <c r="C305" i="8"/>
  <c r="B305" i="8" s="1"/>
  <c r="A305" i="8" s="1"/>
  <c r="C306" i="8"/>
  <c r="B306" i="8" s="1"/>
  <c r="A306" i="8" s="1"/>
  <c r="C307" i="8"/>
  <c r="B307" i="8" s="1"/>
  <c r="A307" i="8" s="1"/>
  <c r="C308" i="8"/>
  <c r="B308" i="8" s="1"/>
  <c r="A308" i="8" s="1"/>
  <c r="C309" i="8"/>
  <c r="B309" i="8" s="1"/>
  <c r="A309" i="8" s="1"/>
  <c r="C310" i="8"/>
  <c r="B310" i="8" s="1"/>
  <c r="A310" i="8" s="1"/>
  <c r="C311" i="8"/>
  <c r="B311" i="8" s="1"/>
  <c r="C312" i="8"/>
  <c r="B312" i="8" s="1"/>
  <c r="C313" i="8"/>
  <c r="B313" i="8" s="1"/>
  <c r="C314" i="8"/>
  <c r="B314" i="8" s="1"/>
  <c r="A314" i="8" s="1"/>
  <c r="C315" i="8"/>
  <c r="B315" i="8" s="1"/>
  <c r="A315" i="8" s="1"/>
  <c r="C316" i="8"/>
  <c r="B316" i="8" s="1"/>
  <c r="A316" i="8" s="1"/>
  <c r="C317" i="8"/>
  <c r="B317" i="8" s="1"/>
  <c r="A317" i="8" s="1"/>
  <c r="C318" i="8"/>
  <c r="B318" i="8" s="1"/>
  <c r="A318" i="8" s="1"/>
  <c r="C319" i="8"/>
  <c r="B319" i="8" s="1"/>
  <c r="A319" i="8" s="1"/>
  <c r="C320" i="8"/>
  <c r="B320" i="8" s="1"/>
  <c r="C321" i="8"/>
  <c r="B321" i="8" s="1"/>
  <c r="C322" i="8"/>
  <c r="B322" i="8" s="1"/>
  <c r="C323" i="8"/>
  <c r="B323" i="8" s="1"/>
  <c r="A323" i="8" s="1"/>
  <c r="C324" i="8"/>
  <c r="B324" i="8" s="1"/>
  <c r="A324" i="8" s="1"/>
  <c r="C325" i="8"/>
  <c r="B325" i="8" s="1"/>
  <c r="A325" i="8" s="1"/>
  <c r="C326" i="8"/>
  <c r="B326" i="8" s="1"/>
  <c r="A326" i="8" s="1"/>
  <c r="C327" i="8"/>
  <c r="B327" i="8" s="1"/>
  <c r="A327" i="8" s="1"/>
  <c r="C328" i="8"/>
  <c r="B328" i="8" s="1"/>
  <c r="C329" i="8"/>
  <c r="B329" i="8" s="1"/>
  <c r="A329" i="8" s="1"/>
  <c r="C330" i="8"/>
  <c r="B330" i="8" s="1"/>
  <c r="C331" i="8"/>
  <c r="B331" i="8" s="1"/>
  <c r="C332" i="8"/>
  <c r="B332" i="8" s="1"/>
  <c r="A332" i="8" s="1"/>
  <c r="C333" i="8"/>
  <c r="B333" i="8" s="1"/>
  <c r="A333" i="8" s="1"/>
  <c r="C334" i="8"/>
  <c r="B334" i="8" s="1"/>
  <c r="A334" i="8" s="1"/>
  <c r="C335" i="8"/>
  <c r="B335" i="8" s="1"/>
  <c r="A335" i="8" s="1"/>
  <c r="C336" i="8"/>
  <c r="B336" i="8" s="1"/>
  <c r="C337" i="8"/>
  <c r="B337" i="8" s="1"/>
  <c r="A337" i="8" s="1"/>
  <c r="C338" i="8"/>
  <c r="B338" i="8" s="1"/>
  <c r="A338" i="8" s="1"/>
  <c r="C339" i="8"/>
  <c r="B339" i="8" s="1"/>
  <c r="C340" i="8"/>
  <c r="B340" i="8" s="1"/>
  <c r="C341" i="8"/>
  <c r="B341" i="8" s="1"/>
  <c r="A341" i="8" s="1"/>
  <c r="C342" i="8"/>
  <c r="B342" i="8" s="1"/>
  <c r="A342" i="8" s="1"/>
  <c r="C343" i="8"/>
  <c r="B343" i="8" s="1"/>
  <c r="A343" i="8" s="1"/>
  <c r="C344" i="8"/>
  <c r="B344" i="8" s="1"/>
  <c r="C345" i="8"/>
  <c r="B345" i="8" s="1"/>
  <c r="A345" i="8" s="1"/>
  <c r="C346" i="8"/>
  <c r="B346" i="8" s="1"/>
  <c r="A346" i="8" s="1"/>
  <c r="C347" i="8"/>
  <c r="B347" i="8" s="1"/>
  <c r="A347" i="8" s="1"/>
  <c r="C348" i="8"/>
  <c r="B348" i="8" s="1"/>
  <c r="C349" i="8"/>
  <c r="B349" i="8" s="1"/>
  <c r="C350" i="8"/>
  <c r="B350" i="8" s="1"/>
  <c r="A350" i="8" s="1"/>
  <c r="C351" i="8"/>
  <c r="B351" i="8" s="1"/>
  <c r="A351" i="8" s="1"/>
  <c r="C352" i="8"/>
  <c r="B352" i="8" s="1"/>
  <c r="C353" i="8"/>
  <c r="B353" i="8" s="1"/>
  <c r="A353" i="8" s="1"/>
  <c r="C354" i="8"/>
  <c r="B354" i="8" s="1"/>
  <c r="A354" i="8" s="1"/>
  <c r="C355" i="8"/>
  <c r="B355" i="8" s="1"/>
  <c r="A355" i="8" s="1"/>
  <c r="C356" i="8"/>
  <c r="B356" i="8" s="1"/>
  <c r="A356" i="8" s="1"/>
  <c r="C357" i="8"/>
  <c r="B357" i="8" s="1"/>
  <c r="C358" i="8"/>
  <c r="B358" i="8" s="1"/>
  <c r="C359" i="8"/>
  <c r="B359" i="8" s="1"/>
  <c r="A359" i="8" s="1"/>
  <c r="C360" i="8"/>
  <c r="B360" i="8" s="1"/>
  <c r="C361" i="8"/>
  <c r="B361" i="8" s="1"/>
  <c r="A361" i="8" s="1"/>
  <c r="C362" i="8"/>
  <c r="B362" i="8" s="1"/>
  <c r="A362" i="8" s="1"/>
  <c r="C363" i="8"/>
  <c r="B363" i="8" s="1"/>
  <c r="A363" i="8" s="1"/>
  <c r="C364" i="8"/>
  <c r="B364" i="8" s="1"/>
  <c r="A364" i="8" s="1"/>
  <c r="C365" i="8"/>
  <c r="B365" i="8" s="1"/>
  <c r="A365" i="8" s="1"/>
  <c r="C366" i="8"/>
  <c r="B366" i="8" s="1"/>
  <c r="C367" i="8"/>
  <c r="B367" i="8" s="1"/>
  <c r="C368" i="8"/>
  <c r="B368" i="8" s="1"/>
  <c r="C369" i="8"/>
  <c r="B369" i="8" s="1"/>
  <c r="A369" i="8" s="1"/>
  <c r="C370" i="8"/>
  <c r="B370" i="8" s="1"/>
  <c r="A370" i="8" s="1"/>
  <c r="C371" i="8"/>
  <c r="B371" i="8" s="1"/>
  <c r="A371" i="8" s="1"/>
  <c r="C372" i="8"/>
  <c r="B372" i="8" s="1"/>
  <c r="A372" i="8" s="1"/>
  <c r="C373" i="8"/>
  <c r="B373" i="8" s="1"/>
  <c r="A373" i="8" s="1"/>
  <c r="C374" i="8"/>
  <c r="B374" i="8" s="1"/>
  <c r="A374" i="8" s="1"/>
  <c r="C375" i="8"/>
  <c r="B375" i="8" s="1"/>
  <c r="C376" i="8"/>
  <c r="B376" i="8" s="1"/>
  <c r="C377" i="8"/>
  <c r="B377" i="8" s="1"/>
  <c r="C378" i="8"/>
  <c r="B378" i="8" s="1"/>
  <c r="A378" i="8" s="1"/>
  <c r="C379" i="8"/>
  <c r="B379" i="8" s="1"/>
  <c r="A379" i="8" s="1"/>
  <c r="C380" i="8"/>
  <c r="B380" i="8" s="1"/>
  <c r="A380" i="8" s="1"/>
  <c r="C381" i="8"/>
  <c r="B381" i="8" s="1"/>
  <c r="A381" i="8" s="1"/>
  <c r="C382" i="8"/>
  <c r="B382" i="8" s="1"/>
  <c r="A382" i="8" s="1"/>
  <c r="C383" i="8"/>
  <c r="B383" i="8" s="1"/>
  <c r="A383" i="8" s="1"/>
  <c r="C384" i="8"/>
  <c r="B384" i="8" s="1"/>
  <c r="C385" i="8"/>
  <c r="B385" i="8" s="1"/>
  <c r="C386" i="8"/>
  <c r="B386" i="8" s="1"/>
  <c r="C387" i="8"/>
  <c r="B387" i="8" s="1"/>
  <c r="A387" i="8" s="1"/>
  <c r="C388" i="8"/>
  <c r="B388" i="8" s="1"/>
  <c r="A388" i="8" s="1"/>
  <c r="C389" i="8"/>
  <c r="B389" i="8" s="1"/>
  <c r="A389" i="8" s="1"/>
  <c r="C390" i="8"/>
  <c r="B390" i="8" s="1"/>
  <c r="A390" i="8" s="1"/>
  <c r="C391" i="8"/>
  <c r="B391" i="8" s="1"/>
  <c r="A391" i="8" s="1"/>
  <c r="C392" i="8"/>
  <c r="B392" i="8" s="1"/>
  <c r="C393" i="8"/>
  <c r="B393" i="8" s="1"/>
  <c r="A393" i="8" s="1"/>
  <c r="C394" i="8"/>
  <c r="B394" i="8" s="1"/>
  <c r="C395" i="8"/>
  <c r="B395" i="8" s="1"/>
  <c r="C396" i="8"/>
  <c r="B396" i="8" s="1"/>
  <c r="A396" i="8" s="1"/>
  <c r="C397" i="8"/>
  <c r="B397" i="8" s="1"/>
  <c r="A397" i="8" s="1"/>
  <c r="C398" i="8"/>
  <c r="B398" i="8" s="1"/>
  <c r="A398" i="8" s="1"/>
  <c r="C399" i="8"/>
  <c r="B399" i="8" s="1"/>
  <c r="A399" i="8" s="1"/>
  <c r="C400" i="8"/>
  <c r="B400" i="8" s="1"/>
  <c r="C401" i="8"/>
  <c r="B401" i="8" s="1"/>
  <c r="A401" i="8" s="1"/>
  <c r="C402" i="8"/>
  <c r="B402" i="8" s="1"/>
  <c r="A402" i="8" s="1"/>
  <c r="C403" i="8"/>
  <c r="B403" i="8" s="1"/>
  <c r="C404" i="8"/>
  <c r="B404" i="8" s="1"/>
  <c r="C405" i="8"/>
  <c r="B405" i="8" s="1"/>
  <c r="A405" i="8" s="1"/>
  <c r="C406" i="8"/>
  <c r="B406" i="8" s="1"/>
  <c r="A406" i="8" s="1"/>
  <c r="C407" i="8"/>
  <c r="B407" i="8" s="1"/>
  <c r="A407" i="8" s="1"/>
  <c r="C408" i="8"/>
  <c r="B408" i="8" s="1"/>
  <c r="C409" i="8"/>
  <c r="B409" i="8" s="1"/>
  <c r="A409" i="8" s="1"/>
  <c r="C410" i="8"/>
  <c r="B410" i="8" s="1"/>
  <c r="A410" i="8" s="1"/>
  <c r="C411" i="8"/>
  <c r="B411" i="8" s="1"/>
  <c r="A411" i="8" s="1"/>
  <c r="C412" i="8"/>
  <c r="B412" i="8" s="1"/>
  <c r="C413" i="8"/>
  <c r="B413" i="8" s="1"/>
  <c r="C414" i="8"/>
  <c r="B414" i="8" s="1"/>
  <c r="A414" i="8" s="1"/>
  <c r="C415" i="8"/>
  <c r="B415" i="8" s="1"/>
  <c r="A415" i="8" s="1"/>
  <c r="C416" i="8"/>
  <c r="B416" i="8" s="1"/>
  <c r="C417" i="8"/>
  <c r="B417" i="8" s="1"/>
  <c r="A417" i="8" s="1"/>
  <c r="C418" i="8"/>
  <c r="B418" i="8" s="1"/>
  <c r="A418" i="8" s="1"/>
  <c r="C419" i="8"/>
  <c r="B419" i="8" s="1"/>
  <c r="A419" i="8" s="1"/>
  <c r="C420" i="8"/>
  <c r="B420" i="8" s="1"/>
  <c r="A420" i="8" s="1"/>
  <c r="C421" i="8"/>
  <c r="B421" i="8" s="1"/>
  <c r="C422" i="8"/>
  <c r="B422" i="8" s="1"/>
  <c r="C423" i="8"/>
  <c r="B423" i="8" s="1"/>
  <c r="A423" i="8" s="1"/>
  <c r="C424" i="8"/>
  <c r="B424" i="8" s="1"/>
  <c r="C425" i="8"/>
  <c r="B425" i="8" s="1"/>
  <c r="A425" i="8" s="1"/>
  <c r="C426" i="8"/>
  <c r="B426" i="8" s="1"/>
  <c r="A426" i="8" s="1"/>
  <c r="C427" i="8"/>
  <c r="B427" i="8" s="1"/>
  <c r="A427" i="8" s="1"/>
  <c r="C428" i="8"/>
  <c r="B428" i="8" s="1"/>
  <c r="A428" i="8" s="1"/>
  <c r="C429" i="8"/>
  <c r="B429" i="8" s="1"/>
  <c r="A429" i="8" s="1"/>
  <c r="C430" i="8"/>
  <c r="B430" i="8" s="1"/>
  <c r="C431" i="8"/>
  <c r="B431" i="8" s="1"/>
  <c r="C432" i="8"/>
  <c r="B432" i="8" s="1"/>
  <c r="C433" i="8"/>
  <c r="B433" i="8" s="1"/>
  <c r="A433" i="8" s="1"/>
  <c r="C434" i="8"/>
  <c r="B434" i="8" s="1"/>
  <c r="A434" i="8" s="1"/>
  <c r="C435" i="8"/>
  <c r="B435" i="8" s="1"/>
  <c r="A435" i="8" s="1"/>
  <c r="C436" i="8"/>
  <c r="B436" i="8" s="1"/>
  <c r="A436" i="8" s="1"/>
  <c r="C437" i="8"/>
  <c r="B437" i="8" s="1"/>
  <c r="A437" i="8" s="1"/>
  <c r="C438" i="8"/>
  <c r="B438" i="8" s="1"/>
  <c r="A438" i="8" s="1"/>
  <c r="C439" i="8"/>
  <c r="B439" i="8" s="1"/>
  <c r="C440" i="8"/>
  <c r="B440" i="8" s="1"/>
  <c r="C441" i="8"/>
  <c r="B441" i="8" s="1"/>
  <c r="C442" i="8"/>
  <c r="B442" i="8" s="1"/>
  <c r="A442" i="8" s="1"/>
  <c r="C443" i="8"/>
  <c r="B443" i="8" s="1"/>
  <c r="A443" i="8" s="1"/>
  <c r="C444" i="8"/>
  <c r="B444" i="8" s="1"/>
  <c r="A444" i="8" s="1"/>
  <c r="C445" i="8"/>
  <c r="B445" i="8" s="1"/>
  <c r="A445" i="8" s="1"/>
  <c r="C446" i="8"/>
  <c r="B446" i="8" s="1"/>
  <c r="A446" i="8" s="1"/>
  <c r="C447" i="8"/>
  <c r="B447" i="8" s="1"/>
  <c r="A447" i="8" s="1"/>
  <c r="C448" i="8"/>
  <c r="B448" i="8" s="1"/>
  <c r="C449" i="8"/>
  <c r="B449" i="8" s="1"/>
  <c r="C450" i="8"/>
  <c r="B450" i="8" s="1"/>
  <c r="C451" i="8"/>
  <c r="B451" i="8" s="1"/>
  <c r="A451" i="8" s="1"/>
  <c r="C452" i="8"/>
  <c r="B452" i="8" s="1"/>
  <c r="A452" i="8" s="1"/>
  <c r="C453" i="8"/>
  <c r="B453" i="8" s="1"/>
  <c r="A453" i="8" s="1"/>
  <c r="C454" i="8"/>
  <c r="B454" i="8" s="1"/>
  <c r="A454" i="8" s="1"/>
  <c r="C455" i="8"/>
  <c r="B455" i="8" s="1"/>
  <c r="A455" i="8" s="1"/>
  <c r="C456" i="8"/>
  <c r="B456" i="8" s="1"/>
  <c r="C457" i="8"/>
  <c r="B457" i="8" s="1"/>
  <c r="A457" i="8" s="1"/>
  <c r="C458" i="8"/>
  <c r="B458" i="8" s="1"/>
  <c r="C459" i="8"/>
  <c r="B459" i="8" s="1"/>
  <c r="C460" i="8"/>
  <c r="B460" i="8" s="1"/>
  <c r="A460" i="8" s="1"/>
  <c r="C461" i="8"/>
  <c r="B461" i="8" s="1"/>
  <c r="A461" i="8" s="1"/>
  <c r="C462" i="8"/>
  <c r="B462" i="8" s="1"/>
  <c r="A462" i="8" s="1"/>
  <c r="C463" i="8"/>
  <c r="B463" i="8" s="1"/>
  <c r="A463" i="8" s="1"/>
  <c r="C464" i="8"/>
  <c r="B464" i="8" s="1"/>
  <c r="C465" i="8"/>
  <c r="B465" i="8" s="1"/>
  <c r="A465" i="8" s="1"/>
  <c r="C466" i="8"/>
  <c r="B466" i="8" s="1"/>
  <c r="A466" i="8" s="1"/>
  <c r="C467" i="8"/>
  <c r="B467" i="8" s="1"/>
  <c r="C468" i="8"/>
  <c r="B468" i="8" s="1"/>
  <c r="C469" i="8"/>
  <c r="B469" i="8" s="1"/>
  <c r="A469" i="8" s="1"/>
  <c r="C470" i="8"/>
  <c r="B470" i="8" s="1"/>
  <c r="A470" i="8" s="1"/>
  <c r="C471" i="8"/>
  <c r="B471" i="8" s="1"/>
  <c r="A471" i="8" s="1"/>
  <c r="C472" i="8"/>
  <c r="B472" i="8" s="1"/>
  <c r="C473" i="8"/>
  <c r="B473" i="8" s="1"/>
  <c r="A473" i="8" s="1"/>
  <c r="C474" i="8"/>
  <c r="B474" i="8" s="1"/>
  <c r="A474" i="8" s="1"/>
  <c r="C475" i="8"/>
  <c r="B475" i="8" s="1"/>
  <c r="A475" i="8" s="1"/>
  <c r="C476" i="8"/>
  <c r="B476" i="8" s="1"/>
  <c r="C477" i="8"/>
  <c r="B477" i="8" s="1"/>
  <c r="C478" i="8"/>
  <c r="B478" i="8" s="1"/>
  <c r="A478" i="8" s="1"/>
  <c r="C479" i="8"/>
  <c r="B479" i="8" s="1"/>
  <c r="A479" i="8" s="1"/>
  <c r="C480" i="8"/>
  <c r="B480" i="8" s="1"/>
  <c r="C481" i="8"/>
  <c r="B481" i="8" s="1"/>
  <c r="A481" i="8" s="1"/>
  <c r="C482" i="8"/>
  <c r="B482" i="8" s="1"/>
  <c r="A482" i="8" s="1"/>
  <c r="C483" i="8"/>
  <c r="B483" i="8" s="1"/>
  <c r="A483" i="8" s="1"/>
  <c r="C484" i="8"/>
  <c r="B484" i="8" s="1"/>
  <c r="A484" i="8" s="1"/>
  <c r="C485" i="8"/>
  <c r="B485" i="8" s="1"/>
  <c r="C486" i="8"/>
  <c r="B486" i="8" s="1"/>
  <c r="C487" i="8"/>
  <c r="B487" i="8" s="1"/>
  <c r="A487" i="8" s="1"/>
  <c r="C488" i="8"/>
  <c r="B488" i="8" s="1"/>
  <c r="C489" i="8"/>
  <c r="B489" i="8" s="1"/>
  <c r="A489" i="8" s="1"/>
  <c r="C490" i="8"/>
  <c r="B490" i="8" s="1"/>
  <c r="A490" i="8" s="1"/>
  <c r="C491" i="8"/>
  <c r="B491" i="8" s="1"/>
  <c r="A491" i="8" s="1"/>
  <c r="C492" i="8"/>
  <c r="B492" i="8" s="1"/>
  <c r="A492" i="8" s="1"/>
  <c r="C493" i="8"/>
  <c r="B493" i="8" s="1"/>
  <c r="A493" i="8" s="1"/>
  <c r="C494" i="8"/>
  <c r="B494" i="8" s="1"/>
  <c r="C495" i="8"/>
  <c r="B495" i="8" s="1"/>
  <c r="C496" i="8"/>
  <c r="B496" i="8" s="1"/>
  <c r="C497" i="8"/>
  <c r="B497" i="8" s="1"/>
  <c r="A497" i="8" s="1"/>
  <c r="C498" i="8"/>
  <c r="B498" i="8" s="1"/>
  <c r="A498" i="8" s="1"/>
  <c r="C499" i="8"/>
  <c r="B499" i="8" s="1"/>
  <c r="A499" i="8" s="1"/>
  <c r="C500" i="8"/>
  <c r="B500" i="8" s="1"/>
  <c r="A500" i="8" s="1"/>
  <c r="C501" i="8"/>
  <c r="B501" i="8" s="1"/>
  <c r="A501" i="8" s="1"/>
  <c r="C502" i="8"/>
  <c r="B502" i="8" s="1"/>
  <c r="A502" i="8" s="1"/>
  <c r="C503" i="8"/>
  <c r="B503" i="8" s="1"/>
  <c r="C504" i="8"/>
  <c r="B504" i="8" s="1"/>
  <c r="C505" i="8"/>
  <c r="B505" i="8" s="1"/>
  <c r="C506" i="8"/>
  <c r="B506" i="8" s="1"/>
  <c r="A506" i="8" s="1"/>
  <c r="C507" i="8"/>
  <c r="B507" i="8" s="1"/>
  <c r="A507" i="8" s="1"/>
  <c r="C508" i="8"/>
  <c r="B508" i="8" s="1"/>
  <c r="A508" i="8" s="1"/>
  <c r="C509" i="8"/>
  <c r="B509" i="8" s="1"/>
  <c r="A509" i="8" s="1"/>
  <c r="C510" i="8"/>
  <c r="B510" i="8" s="1"/>
  <c r="A510" i="8" s="1"/>
  <c r="C511" i="8"/>
  <c r="B511" i="8" s="1"/>
  <c r="A511" i="8" s="1"/>
  <c r="C512" i="8"/>
  <c r="B512" i="8" s="1"/>
  <c r="C513" i="8"/>
  <c r="B513" i="8" s="1"/>
  <c r="C514" i="8"/>
  <c r="B514" i="8" s="1"/>
  <c r="C515" i="8"/>
  <c r="B515" i="8" s="1"/>
  <c r="A515" i="8" s="1"/>
  <c r="C516" i="8"/>
  <c r="B516" i="8" s="1"/>
  <c r="A516" i="8" s="1"/>
  <c r="C517" i="8"/>
  <c r="B517" i="8" s="1"/>
  <c r="A517" i="8" s="1"/>
  <c r="C518" i="8"/>
  <c r="B518" i="8" s="1"/>
  <c r="A518" i="8" s="1"/>
  <c r="C519" i="8"/>
  <c r="B519" i="8" s="1"/>
  <c r="A519" i="8" s="1"/>
  <c r="C520" i="8"/>
  <c r="B520" i="8" s="1"/>
  <c r="C521" i="8"/>
  <c r="B521" i="8" s="1"/>
  <c r="A521" i="8" s="1"/>
  <c r="C522" i="8"/>
  <c r="B522" i="8" s="1"/>
  <c r="C523" i="8"/>
  <c r="B523" i="8" s="1"/>
  <c r="C524" i="8"/>
  <c r="B524" i="8" s="1"/>
  <c r="A524" i="8" s="1"/>
  <c r="C525" i="8"/>
  <c r="B525" i="8" s="1"/>
  <c r="A525" i="8" s="1"/>
  <c r="C526" i="8"/>
  <c r="B526" i="8" s="1"/>
  <c r="A526" i="8" s="1"/>
  <c r="C527" i="8"/>
  <c r="B527" i="8" s="1"/>
  <c r="A527" i="8" s="1"/>
  <c r="C528" i="8"/>
  <c r="B528" i="8" s="1"/>
  <c r="C529" i="8"/>
  <c r="B529" i="8" s="1"/>
  <c r="A529" i="8" s="1"/>
  <c r="C530" i="8"/>
  <c r="B530" i="8" s="1"/>
  <c r="A530" i="8" s="1"/>
  <c r="C531" i="8"/>
  <c r="B531" i="8" s="1"/>
  <c r="C532" i="8"/>
  <c r="B532" i="8" s="1"/>
  <c r="C533" i="8"/>
  <c r="B533" i="8" s="1"/>
  <c r="A533" i="8" s="1"/>
  <c r="C534" i="8"/>
  <c r="B534" i="8" s="1"/>
  <c r="A534" i="8" s="1"/>
  <c r="C535" i="8"/>
  <c r="B535" i="8" s="1"/>
  <c r="A535" i="8" s="1"/>
  <c r="C536" i="8"/>
  <c r="B536" i="8" s="1"/>
  <c r="C537" i="8"/>
  <c r="B537" i="8" s="1"/>
  <c r="A537" i="8" s="1"/>
  <c r="C538" i="8"/>
  <c r="B538" i="8" s="1"/>
  <c r="A538" i="8" s="1"/>
  <c r="C539" i="8"/>
  <c r="B539" i="8" s="1"/>
  <c r="A539" i="8" s="1"/>
  <c r="C540" i="8"/>
  <c r="B540" i="8" s="1"/>
  <c r="C541" i="8"/>
  <c r="B541" i="8" s="1"/>
  <c r="C542" i="8"/>
  <c r="B542" i="8" s="1"/>
  <c r="A542" i="8" s="1"/>
  <c r="C543" i="8"/>
  <c r="B543" i="8" s="1"/>
  <c r="A543" i="8" s="1"/>
  <c r="C544" i="8"/>
  <c r="B544" i="8" s="1"/>
  <c r="C545" i="8"/>
  <c r="B545" i="8" s="1"/>
  <c r="A545" i="8" s="1"/>
  <c r="C546" i="8"/>
  <c r="B546" i="8" s="1"/>
  <c r="A546" i="8" s="1"/>
  <c r="C547" i="8"/>
  <c r="B547" i="8" s="1"/>
  <c r="A547" i="8" s="1"/>
  <c r="C548" i="8"/>
  <c r="B548" i="8" s="1"/>
  <c r="A548" i="8" s="1"/>
  <c r="C549" i="8"/>
  <c r="B549" i="8" s="1"/>
  <c r="C550" i="8"/>
  <c r="B550" i="8" s="1"/>
  <c r="C551" i="8"/>
  <c r="B551" i="8" s="1"/>
  <c r="A551" i="8" s="1"/>
  <c r="C552" i="8"/>
  <c r="B552" i="8" s="1"/>
  <c r="C553" i="8"/>
  <c r="B553" i="8" s="1"/>
  <c r="A553" i="8" s="1"/>
  <c r="C554" i="8"/>
  <c r="B554" i="8" s="1"/>
  <c r="A554" i="8" s="1"/>
  <c r="C555" i="8"/>
  <c r="B555" i="8" s="1"/>
  <c r="A555" i="8" s="1"/>
  <c r="C556" i="8"/>
  <c r="B556" i="8" s="1"/>
  <c r="A556" i="8" s="1"/>
  <c r="C557" i="8"/>
  <c r="B557" i="8" s="1"/>
  <c r="A557" i="8" s="1"/>
  <c r="C558" i="8"/>
  <c r="B558" i="8" s="1"/>
  <c r="C559" i="8"/>
  <c r="B559" i="8" s="1"/>
  <c r="C560" i="8"/>
  <c r="B560" i="8" s="1"/>
  <c r="C561" i="8"/>
  <c r="B561" i="8" s="1"/>
  <c r="A561" i="8" s="1"/>
  <c r="C562" i="8"/>
  <c r="B562" i="8" s="1"/>
  <c r="A562" i="8" s="1"/>
  <c r="C563" i="8"/>
  <c r="B563" i="8" s="1"/>
  <c r="A563" i="8" s="1"/>
  <c r="C564" i="8"/>
  <c r="B564" i="8" s="1"/>
  <c r="A564" i="8" s="1"/>
  <c r="C565" i="8"/>
  <c r="B565" i="8" s="1"/>
  <c r="A565" i="8" s="1"/>
  <c r="C566" i="8"/>
  <c r="B566" i="8" s="1"/>
  <c r="A566" i="8" s="1"/>
  <c r="C567" i="8"/>
  <c r="B567" i="8" s="1"/>
  <c r="C568" i="8"/>
  <c r="B568" i="8" s="1"/>
  <c r="C569" i="8"/>
  <c r="B569" i="8" s="1"/>
  <c r="C570" i="8"/>
  <c r="B570" i="8" s="1"/>
  <c r="A570" i="8" s="1"/>
  <c r="C571" i="8"/>
  <c r="B571" i="8" s="1"/>
  <c r="A571" i="8" s="1"/>
  <c r="C572" i="8"/>
  <c r="B572" i="8" s="1"/>
  <c r="A572" i="8" s="1"/>
  <c r="C573" i="8"/>
  <c r="B573" i="8" s="1"/>
  <c r="A573" i="8" s="1"/>
  <c r="C574" i="8"/>
  <c r="B574" i="8" s="1"/>
  <c r="A574" i="8" s="1"/>
  <c r="C575" i="8"/>
  <c r="B575" i="8" s="1"/>
  <c r="A575" i="8" s="1"/>
  <c r="C576" i="8"/>
  <c r="B576" i="8" s="1"/>
  <c r="C577" i="8"/>
  <c r="B577" i="8" s="1"/>
  <c r="C578" i="8"/>
  <c r="B578" i="8" s="1"/>
  <c r="C579" i="8"/>
  <c r="B579" i="8" s="1"/>
  <c r="A579" i="8" s="1"/>
  <c r="C580" i="8"/>
  <c r="B580" i="8" s="1"/>
  <c r="A580" i="8" s="1"/>
  <c r="C581" i="8"/>
  <c r="B581" i="8" s="1"/>
  <c r="A581" i="8" s="1"/>
  <c r="C582" i="8"/>
  <c r="B582" i="8" s="1"/>
  <c r="A582" i="8" s="1"/>
  <c r="C583" i="8"/>
  <c r="B583" i="8" s="1"/>
  <c r="A583" i="8" s="1"/>
  <c r="C584" i="8"/>
  <c r="B584" i="8" s="1"/>
  <c r="C585" i="8"/>
  <c r="B585" i="8" s="1"/>
  <c r="A585" i="8" s="1"/>
  <c r="C586" i="8"/>
  <c r="B586" i="8" s="1"/>
  <c r="C587" i="8"/>
  <c r="B587" i="8" s="1"/>
  <c r="C588" i="8"/>
  <c r="B588" i="8" s="1"/>
  <c r="A588" i="8" s="1"/>
  <c r="C589" i="8"/>
  <c r="B589" i="8" s="1"/>
  <c r="A589" i="8" s="1"/>
  <c r="C590" i="8"/>
  <c r="B590" i="8" s="1"/>
  <c r="A590" i="8" s="1"/>
  <c r="C591" i="8"/>
  <c r="B591" i="8" s="1"/>
  <c r="A591" i="8" s="1"/>
  <c r="C592" i="8"/>
  <c r="B592" i="8" s="1"/>
  <c r="C593" i="8"/>
  <c r="B593" i="8" s="1"/>
  <c r="A593" i="8" s="1"/>
  <c r="C594" i="8"/>
  <c r="B594" i="8" s="1"/>
  <c r="A594" i="8" s="1"/>
  <c r="C595" i="8"/>
  <c r="B595" i="8" s="1"/>
  <c r="C596" i="8"/>
  <c r="B596" i="8" s="1"/>
  <c r="C597" i="8"/>
  <c r="B597" i="8" s="1"/>
  <c r="A597" i="8" s="1"/>
  <c r="C598" i="8"/>
  <c r="B598" i="8" s="1"/>
  <c r="A598" i="8" s="1"/>
  <c r="C599" i="8"/>
  <c r="B599" i="8" s="1"/>
  <c r="A599" i="8" s="1"/>
  <c r="C600" i="8"/>
  <c r="B600" i="8" s="1"/>
  <c r="C601" i="8"/>
  <c r="B601" i="8" s="1"/>
  <c r="A601" i="8" s="1"/>
  <c r="C602" i="8"/>
  <c r="B602" i="8" s="1"/>
  <c r="A602" i="8" s="1"/>
  <c r="C603" i="8"/>
  <c r="B603" i="8" s="1"/>
  <c r="A603" i="8" s="1"/>
  <c r="C604" i="8"/>
  <c r="B604" i="8" s="1"/>
  <c r="C605" i="8"/>
  <c r="B605" i="8" s="1"/>
  <c r="C606" i="8"/>
  <c r="B606" i="8" s="1"/>
  <c r="A606" i="8" s="1"/>
  <c r="C607" i="8"/>
  <c r="B607" i="8" s="1"/>
  <c r="A607" i="8" s="1"/>
  <c r="C608" i="8"/>
  <c r="B608" i="8" s="1"/>
  <c r="C609" i="8"/>
  <c r="B609" i="8" s="1"/>
  <c r="A609" i="8" s="1"/>
  <c r="C610" i="8"/>
  <c r="B610" i="8" s="1"/>
  <c r="A610" i="8" s="1"/>
  <c r="C611" i="8"/>
  <c r="B611" i="8" s="1"/>
  <c r="A611" i="8" s="1"/>
  <c r="C612" i="8"/>
  <c r="B612" i="8" s="1"/>
  <c r="A612" i="8" s="1"/>
  <c r="C613" i="8"/>
  <c r="B613" i="8" s="1"/>
  <c r="C614" i="8"/>
  <c r="B614" i="8" s="1"/>
  <c r="C615" i="8"/>
  <c r="B615" i="8" s="1"/>
  <c r="A615" i="8" s="1"/>
  <c r="C616" i="8"/>
  <c r="B616" i="8" s="1"/>
  <c r="C617" i="8"/>
  <c r="B617" i="8" s="1"/>
  <c r="A617" i="8" s="1"/>
  <c r="C618" i="8"/>
  <c r="B618" i="8" s="1"/>
  <c r="A618" i="8" s="1"/>
  <c r="C619" i="8"/>
  <c r="B619" i="8" s="1"/>
  <c r="A619" i="8" s="1"/>
  <c r="C620" i="8"/>
  <c r="B620" i="8" s="1"/>
  <c r="A620" i="8" s="1"/>
  <c r="C621" i="8"/>
  <c r="B621" i="8" s="1"/>
  <c r="A621" i="8" s="1"/>
  <c r="C622" i="8"/>
  <c r="B622" i="8" s="1"/>
  <c r="C623" i="8"/>
  <c r="B623" i="8" s="1"/>
  <c r="C624" i="8"/>
  <c r="B624" i="8" s="1"/>
  <c r="C625" i="8"/>
  <c r="B625" i="8" s="1"/>
  <c r="A625" i="8" s="1"/>
  <c r="C626" i="8"/>
  <c r="B626" i="8" s="1"/>
  <c r="A626" i="8" s="1"/>
  <c r="C627" i="8"/>
  <c r="B627" i="8" s="1"/>
  <c r="A627" i="8" s="1"/>
  <c r="C628" i="8"/>
  <c r="B628" i="8" s="1"/>
  <c r="A628" i="8" s="1"/>
  <c r="C629" i="8"/>
  <c r="B629" i="8" s="1"/>
  <c r="A629" i="8" s="1"/>
  <c r="C630" i="8"/>
  <c r="B630" i="8" s="1"/>
  <c r="A630" i="8" s="1"/>
  <c r="C631" i="8"/>
  <c r="B631" i="8" s="1"/>
  <c r="C632" i="8"/>
  <c r="B632" i="8" s="1"/>
  <c r="C633" i="8"/>
  <c r="B633" i="8" s="1"/>
  <c r="C634" i="8"/>
  <c r="B634" i="8" s="1"/>
  <c r="A634" i="8" s="1"/>
  <c r="C635" i="8"/>
  <c r="B635" i="8" s="1"/>
  <c r="A635" i="8" s="1"/>
  <c r="C636" i="8"/>
  <c r="B636" i="8" s="1"/>
  <c r="A636" i="8" s="1"/>
  <c r="C637" i="8"/>
  <c r="B637" i="8" s="1"/>
  <c r="A637" i="8" s="1"/>
  <c r="C638" i="8"/>
  <c r="B638" i="8" s="1"/>
  <c r="A638" i="8" s="1"/>
  <c r="C639" i="8"/>
  <c r="B639" i="8" s="1"/>
  <c r="A639" i="8" s="1"/>
  <c r="C640" i="8"/>
  <c r="B640" i="8" s="1"/>
  <c r="C641" i="8"/>
  <c r="B641" i="8" s="1"/>
  <c r="C642" i="8"/>
  <c r="B642" i="8" s="1"/>
  <c r="C643" i="8"/>
  <c r="B643" i="8" s="1"/>
  <c r="A643" i="8" s="1"/>
  <c r="C644" i="8"/>
  <c r="B644" i="8" s="1"/>
  <c r="A644" i="8" s="1"/>
  <c r="C645" i="8"/>
  <c r="B645" i="8" s="1"/>
  <c r="A645" i="8" s="1"/>
  <c r="C646" i="8"/>
  <c r="B646" i="8" s="1"/>
  <c r="A646" i="8" s="1"/>
  <c r="C647" i="8"/>
  <c r="B647" i="8" s="1"/>
  <c r="A647" i="8" s="1"/>
  <c r="C648" i="8"/>
  <c r="B648" i="8" s="1"/>
  <c r="C649" i="8"/>
  <c r="B649" i="8" s="1"/>
  <c r="A649" i="8" s="1"/>
  <c r="C650" i="8"/>
  <c r="B650" i="8" s="1"/>
  <c r="C651" i="8"/>
  <c r="B651" i="8" s="1"/>
  <c r="C652" i="8"/>
  <c r="B652" i="8" s="1"/>
  <c r="A652" i="8" s="1"/>
  <c r="C653" i="8"/>
  <c r="B653" i="8" s="1"/>
  <c r="A653" i="8" s="1"/>
  <c r="C654" i="8"/>
  <c r="B654" i="8" s="1"/>
  <c r="A654" i="8" s="1"/>
  <c r="C655" i="8"/>
  <c r="B655" i="8" s="1"/>
  <c r="A655" i="8" s="1"/>
  <c r="C656" i="8"/>
  <c r="B656" i="8" s="1"/>
  <c r="C657" i="8"/>
  <c r="B657" i="8" s="1"/>
  <c r="A657" i="8" s="1"/>
  <c r="C658" i="8"/>
  <c r="B658" i="8" s="1"/>
  <c r="A658" i="8" s="1"/>
  <c r="C659" i="8"/>
  <c r="B659" i="8" s="1"/>
  <c r="C660" i="8"/>
  <c r="B660" i="8" s="1"/>
  <c r="C661" i="8"/>
  <c r="B661" i="8" s="1"/>
  <c r="A661" i="8" s="1"/>
  <c r="C662" i="8"/>
  <c r="B662" i="8" s="1"/>
  <c r="A662" i="8" s="1"/>
  <c r="C663" i="8"/>
  <c r="B663" i="8" s="1"/>
  <c r="A663" i="8" s="1"/>
  <c r="C664" i="8"/>
  <c r="B664" i="8" s="1"/>
  <c r="C665" i="8"/>
  <c r="B665" i="8" s="1"/>
  <c r="A665" i="8" s="1"/>
  <c r="C666" i="8"/>
  <c r="B666" i="8" s="1"/>
  <c r="A666" i="8" s="1"/>
  <c r="C667" i="8"/>
  <c r="B667" i="8" s="1"/>
  <c r="A667" i="8" s="1"/>
  <c r="C668" i="8"/>
  <c r="B668" i="8" s="1"/>
  <c r="C669" i="8"/>
  <c r="B669" i="8" s="1"/>
  <c r="C670" i="8"/>
  <c r="B670" i="8" s="1"/>
  <c r="A670" i="8" s="1"/>
  <c r="C671" i="8"/>
  <c r="B671" i="8" s="1"/>
  <c r="A671" i="8" s="1"/>
  <c r="C672" i="8"/>
  <c r="B672" i="8" s="1"/>
  <c r="C673" i="8"/>
  <c r="B673" i="8" s="1"/>
  <c r="A673" i="8" s="1"/>
  <c r="C674" i="8"/>
  <c r="B674" i="8" s="1"/>
  <c r="A674" i="8" s="1"/>
  <c r="C675" i="8"/>
  <c r="B675" i="8" s="1"/>
  <c r="A675" i="8" s="1"/>
  <c r="C676" i="8"/>
  <c r="B676" i="8" s="1"/>
  <c r="A676" i="8" s="1"/>
  <c r="C677" i="8"/>
  <c r="B677" i="8" s="1"/>
  <c r="C678" i="8"/>
  <c r="B678" i="8" s="1"/>
  <c r="C679" i="8"/>
  <c r="B679" i="8" s="1"/>
  <c r="A679" i="8" s="1"/>
  <c r="C680" i="8"/>
  <c r="B680" i="8" s="1"/>
  <c r="C681" i="8"/>
  <c r="B681" i="8" s="1"/>
  <c r="A681" i="8" s="1"/>
  <c r="C682" i="8"/>
  <c r="B682" i="8" s="1"/>
  <c r="A682" i="8" s="1"/>
  <c r="C683" i="8"/>
  <c r="B683" i="8" s="1"/>
  <c r="A683" i="8" s="1"/>
  <c r="C684" i="8"/>
  <c r="B684" i="8" s="1"/>
  <c r="A684" i="8" s="1"/>
  <c r="C685" i="8"/>
  <c r="B685" i="8" s="1"/>
  <c r="A685" i="8" s="1"/>
  <c r="C686" i="8"/>
  <c r="B686" i="8" s="1"/>
  <c r="C687" i="8"/>
  <c r="B687" i="8" s="1"/>
  <c r="C688" i="8"/>
  <c r="B688" i="8" s="1"/>
  <c r="C689" i="8"/>
  <c r="B689" i="8" s="1"/>
  <c r="A689" i="8" s="1"/>
  <c r="C690" i="8"/>
  <c r="B690" i="8" s="1"/>
  <c r="A690" i="8" s="1"/>
  <c r="C691" i="8"/>
  <c r="B691" i="8" s="1"/>
  <c r="A691" i="8" s="1"/>
  <c r="C692" i="8"/>
  <c r="B692" i="8" s="1"/>
  <c r="A692" i="8" s="1"/>
  <c r="C693" i="8"/>
  <c r="B693" i="8" s="1"/>
  <c r="A693" i="8" s="1"/>
  <c r="C694" i="8"/>
  <c r="B694" i="8" s="1"/>
  <c r="A694" i="8" s="1"/>
  <c r="C695" i="8"/>
  <c r="B695" i="8" s="1"/>
  <c r="C696" i="8"/>
  <c r="B696" i="8" s="1"/>
  <c r="C697" i="8"/>
  <c r="B697" i="8" s="1"/>
  <c r="C698" i="8"/>
  <c r="B698" i="8" s="1"/>
  <c r="A698" i="8" s="1"/>
  <c r="C699" i="8"/>
  <c r="B699" i="8" s="1"/>
  <c r="A699" i="8" s="1"/>
  <c r="C700" i="8"/>
  <c r="B700" i="8" s="1"/>
  <c r="A700" i="8" s="1"/>
  <c r="C701" i="8"/>
  <c r="B701" i="8" s="1"/>
  <c r="A701" i="8" s="1"/>
  <c r="C702" i="8"/>
  <c r="B702" i="8" s="1"/>
  <c r="A702" i="8" s="1"/>
  <c r="C703" i="8"/>
  <c r="B703" i="8" s="1"/>
  <c r="A703" i="8" s="1"/>
  <c r="C704" i="8"/>
  <c r="B704" i="8" s="1"/>
  <c r="C705" i="8"/>
  <c r="B705" i="8" s="1"/>
  <c r="C706" i="8"/>
  <c r="B706" i="8" s="1"/>
  <c r="C707" i="8"/>
  <c r="B707" i="8" s="1"/>
  <c r="A707" i="8" s="1"/>
  <c r="C708" i="8"/>
  <c r="B708" i="8" s="1"/>
  <c r="A708" i="8" s="1"/>
  <c r="C709" i="8"/>
  <c r="B709" i="8" s="1"/>
  <c r="A709" i="8" s="1"/>
  <c r="C710" i="8"/>
  <c r="B710" i="8" s="1"/>
  <c r="A710" i="8" s="1"/>
  <c r="C711" i="8"/>
  <c r="B711" i="8" s="1"/>
  <c r="A711" i="8" s="1"/>
  <c r="C712" i="8"/>
  <c r="B712" i="8" s="1"/>
  <c r="C713" i="8"/>
  <c r="B713" i="8" s="1"/>
  <c r="A713" i="8" s="1"/>
  <c r="C714" i="8"/>
  <c r="B714" i="8" s="1"/>
  <c r="C715" i="8"/>
  <c r="B715" i="8" s="1"/>
  <c r="C716" i="8"/>
  <c r="B716" i="8" s="1"/>
  <c r="A716" i="8" s="1"/>
  <c r="C717" i="8"/>
  <c r="B717" i="8" s="1"/>
  <c r="A717" i="8" s="1"/>
  <c r="C718" i="8"/>
  <c r="B718" i="8" s="1"/>
  <c r="A718" i="8" s="1"/>
  <c r="C719" i="8"/>
  <c r="B719" i="8" s="1"/>
  <c r="A719" i="8" s="1"/>
  <c r="C720" i="8"/>
  <c r="B720" i="8" s="1"/>
  <c r="C721" i="8"/>
  <c r="B721" i="8" s="1"/>
  <c r="A721" i="8" s="1"/>
  <c r="C722" i="8"/>
  <c r="B722" i="8" s="1"/>
  <c r="A722" i="8" s="1"/>
  <c r="C723" i="8"/>
  <c r="B723" i="8" s="1"/>
  <c r="C724" i="8"/>
  <c r="B724" i="8" s="1"/>
  <c r="C725" i="8"/>
  <c r="B725" i="8" s="1"/>
  <c r="A725" i="8" s="1"/>
  <c r="C726" i="8"/>
  <c r="B726" i="8" s="1"/>
  <c r="A726" i="8" s="1"/>
  <c r="C727" i="8"/>
  <c r="B727" i="8" s="1"/>
  <c r="A727" i="8" s="1"/>
  <c r="C728" i="8"/>
  <c r="B728" i="8" s="1"/>
  <c r="C729" i="8"/>
  <c r="B729" i="8" s="1"/>
  <c r="A729" i="8" s="1"/>
  <c r="C730" i="8"/>
  <c r="B730" i="8" s="1"/>
  <c r="A730" i="8" s="1"/>
  <c r="C731" i="8"/>
  <c r="B731" i="8" s="1"/>
  <c r="A731" i="8" s="1"/>
  <c r="C732" i="8"/>
  <c r="B732" i="8" s="1"/>
  <c r="C733" i="8"/>
  <c r="B733" i="8" s="1"/>
  <c r="C734" i="8"/>
  <c r="B734" i="8" s="1"/>
  <c r="A734" i="8" s="1"/>
  <c r="C735" i="8"/>
  <c r="B735" i="8" s="1"/>
  <c r="A735" i="8" s="1"/>
  <c r="C736" i="8"/>
  <c r="B736" i="8" s="1"/>
  <c r="C737" i="8"/>
  <c r="B737" i="8" s="1"/>
  <c r="A737" i="8" s="1"/>
  <c r="C738" i="8"/>
  <c r="B738" i="8" s="1"/>
  <c r="A738" i="8" s="1"/>
  <c r="C739" i="8"/>
  <c r="B739" i="8" s="1"/>
  <c r="A739" i="8" s="1"/>
  <c r="C740" i="8"/>
  <c r="B740" i="8" s="1"/>
  <c r="A740" i="8" s="1"/>
  <c r="C741" i="8"/>
  <c r="B741" i="8" s="1"/>
  <c r="C742" i="8"/>
  <c r="B742" i="8" s="1"/>
  <c r="C743" i="8"/>
  <c r="B743" i="8" s="1"/>
  <c r="A743" i="8" s="1"/>
  <c r="C744" i="8"/>
  <c r="B744" i="8" s="1"/>
  <c r="C745" i="8"/>
  <c r="B745" i="8" s="1"/>
  <c r="A745" i="8" s="1"/>
  <c r="C746" i="8"/>
  <c r="B746" i="8" s="1"/>
  <c r="A746" i="8" s="1"/>
  <c r="C747" i="8"/>
  <c r="B747" i="8" s="1"/>
  <c r="C748" i="8"/>
  <c r="B748" i="8" s="1"/>
  <c r="A748" i="8" s="1"/>
  <c r="C749" i="8"/>
  <c r="B749" i="8" s="1"/>
  <c r="A749" i="8" s="1"/>
  <c r="C750" i="8"/>
  <c r="B750" i="8" s="1"/>
  <c r="C751" i="8"/>
  <c r="B751" i="8" s="1"/>
  <c r="C752" i="8"/>
  <c r="B752" i="8" s="1"/>
  <c r="C753" i="8"/>
  <c r="B753" i="8" s="1"/>
  <c r="A753" i="8" s="1"/>
  <c r="C754" i="8"/>
  <c r="B754" i="8" s="1"/>
  <c r="A754" i="8" s="1"/>
  <c r="C755" i="8"/>
  <c r="B755" i="8" s="1"/>
  <c r="A755" i="8" s="1"/>
  <c r="C756" i="8"/>
  <c r="B756" i="8" s="1"/>
  <c r="C757" i="8"/>
  <c r="B757" i="8" s="1"/>
  <c r="A757" i="8" s="1"/>
  <c r="C758" i="8"/>
  <c r="B758" i="8" s="1"/>
  <c r="A758" i="8" s="1"/>
  <c r="C759" i="8"/>
  <c r="B759" i="8" s="1"/>
  <c r="C760" i="8"/>
  <c r="B760" i="8" s="1"/>
  <c r="C761" i="8"/>
  <c r="B761" i="8" s="1"/>
  <c r="C762" i="8"/>
  <c r="B762" i="8" s="1"/>
  <c r="A762" i="8" s="1"/>
  <c r="C763" i="8"/>
  <c r="B763" i="8" s="1"/>
  <c r="A763" i="8" s="1"/>
  <c r="C764" i="8"/>
  <c r="B764" i="8" s="1"/>
  <c r="A764" i="8" s="1"/>
  <c r="C765" i="8"/>
  <c r="B765" i="8" s="1"/>
  <c r="C766" i="8"/>
  <c r="B766" i="8" s="1"/>
  <c r="A766" i="8" s="1"/>
  <c r="C767" i="8"/>
  <c r="B767" i="8" s="1"/>
  <c r="A767" i="8" s="1"/>
  <c r="C768" i="8"/>
  <c r="B768" i="8" s="1"/>
  <c r="C769" i="8"/>
  <c r="B769" i="8" s="1"/>
  <c r="C770" i="8"/>
  <c r="B770" i="8" s="1"/>
  <c r="C771" i="8"/>
  <c r="B771" i="8" s="1"/>
  <c r="A771" i="8" s="1"/>
  <c r="C772" i="8"/>
  <c r="B772" i="8" s="1"/>
  <c r="A772" i="8" s="1"/>
  <c r="C773" i="8"/>
  <c r="B773" i="8" s="1"/>
  <c r="A773" i="8" s="1"/>
  <c r="C774" i="8"/>
  <c r="B774" i="8" s="1"/>
  <c r="C775" i="8"/>
  <c r="B775" i="8" s="1"/>
  <c r="A775" i="8" s="1"/>
  <c r="C776" i="8"/>
  <c r="B776" i="8" s="1"/>
  <c r="C777" i="8"/>
  <c r="B777" i="8" s="1"/>
  <c r="A777" i="8" s="1"/>
  <c r="C778" i="8"/>
  <c r="B778" i="8" s="1"/>
  <c r="C779" i="8"/>
  <c r="B779" i="8" s="1"/>
  <c r="C780" i="8"/>
  <c r="B780" i="8" s="1"/>
  <c r="A780" i="8" s="1"/>
  <c r="C781" i="8"/>
  <c r="B781" i="8" s="1"/>
  <c r="A781" i="8" s="1"/>
  <c r="C782" i="8"/>
  <c r="B782" i="8" s="1"/>
  <c r="A782" i="8" s="1"/>
  <c r="C783" i="8"/>
  <c r="B783" i="8" s="1"/>
  <c r="C784" i="8"/>
  <c r="B784" i="8" s="1"/>
  <c r="C785" i="8"/>
  <c r="B785" i="8" s="1"/>
  <c r="A785" i="8" s="1"/>
  <c r="C786" i="8"/>
  <c r="B786" i="8" s="1"/>
  <c r="A786" i="8" s="1"/>
  <c r="C787" i="8"/>
  <c r="B787" i="8" s="1"/>
  <c r="C788" i="8"/>
  <c r="B788" i="8" s="1"/>
  <c r="C789" i="8"/>
  <c r="B789" i="8" s="1"/>
  <c r="A789" i="8" s="1"/>
  <c r="C790" i="8"/>
  <c r="B790" i="8" s="1"/>
  <c r="A790" i="8" s="1"/>
  <c r="C791" i="8"/>
  <c r="B791" i="8" s="1"/>
  <c r="A791" i="8" s="1"/>
  <c r="C792" i="8"/>
  <c r="B792" i="8" s="1"/>
  <c r="C793" i="8"/>
  <c r="B793" i="8" s="1"/>
  <c r="C794" i="8"/>
  <c r="B794" i="8" s="1"/>
  <c r="A794" i="8" s="1"/>
  <c r="C795" i="8"/>
  <c r="B795" i="8" s="1"/>
  <c r="A795" i="8" s="1"/>
  <c r="C796" i="8"/>
  <c r="B796" i="8" s="1"/>
  <c r="C797" i="8"/>
  <c r="B797" i="8" s="1"/>
  <c r="C798" i="8"/>
  <c r="B798" i="8" s="1"/>
  <c r="A798" i="8" s="1"/>
  <c r="C799" i="8"/>
  <c r="B799" i="8" s="1"/>
  <c r="A799" i="8" s="1"/>
  <c r="C800" i="8"/>
  <c r="B800" i="8" s="1"/>
  <c r="C801" i="8"/>
  <c r="B801" i="8" s="1"/>
  <c r="A801" i="8" s="1"/>
  <c r="C802" i="8"/>
  <c r="B802" i="8" s="1"/>
  <c r="C803" i="8"/>
  <c r="B803" i="8" s="1"/>
  <c r="A803" i="8" s="1"/>
  <c r="C804" i="8"/>
  <c r="B804" i="8" s="1"/>
  <c r="A804" i="8" s="1"/>
  <c r="C805" i="8"/>
  <c r="B805" i="8" s="1"/>
  <c r="C806" i="8"/>
  <c r="B806" i="8" s="1"/>
  <c r="C807" i="8"/>
  <c r="B807" i="8" s="1"/>
  <c r="A807" i="8" s="1"/>
  <c r="C808" i="8"/>
  <c r="B808" i="8" s="1"/>
  <c r="C809" i="8"/>
  <c r="B809" i="8" s="1"/>
  <c r="A809" i="8" s="1"/>
  <c r="C810" i="8"/>
  <c r="B810" i="8" s="1"/>
  <c r="A810" i="8" s="1"/>
  <c r="C811" i="8"/>
  <c r="B811" i="8" s="1"/>
  <c r="C812" i="8"/>
  <c r="B812" i="8" s="1"/>
  <c r="A812" i="8" s="1"/>
  <c r="C813" i="8"/>
  <c r="B813" i="8" s="1"/>
  <c r="C814" i="8"/>
  <c r="B814" i="8" s="1"/>
  <c r="C815" i="8"/>
  <c r="B815" i="8" s="1"/>
  <c r="C816" i="8"/>
  <c r="B816" i="8" s="1"/>
  <c r="C817" i="8"/>
  <c r="B817" i="8" s="1"/>
  <c r="A817" i="8" s="1"/>
  <c r="C818" i="8"/>
  <c r="B818" i="8" s="1"/>
  <c r="C819" i="8"/>
  <c r="B819" i="8" s="1"/>
  <c r="C820" i="8"/>
  <c r="B820" i="8" s="1"/>
  <c r="C821" i="8"/>
  <c r="B821" i="8" s="1"/>
  <c r="A821" i="8" s="1"/>
  <c r="C822" i="8"/>
  <c r="B822" i="8" s="1"/>
  <c r="C823" i="8"/>
  <c r="B823" i="8" s="1"/>
  <c r="C824" i="8"/>
  <c r="B824" i="8" s="1"/>
  <c r="C825" i="8"/>
  <c r="B825" i="8" s="1"/>
  <c r="C826" i="8"/>
  <c r="B826" i="8" s="1"/>
  <c r="A826" i="8" s="1"/>
  <c r="C827" i="8"/>
  <c r="B827" i="8" s="1"/>
  <c r="C828" i="8"/>
  <c r="B828" i="8" s="1"/>
  <c r="C829" i="8"/>
  <c r="B829" i="8" s="1"/>
  <c r="C830" i="8"/>
  <c r="B830" i="8" s="1"/>
  <c r="A830" i="8" s="1"/>
  <c r="C831" i="8"/>
  <c r="B831" i="8" s="1"/>
  <c r="C832" i="8"/>
  <c r="B832" i="8" s="1"/>
  <c r="C833" i="8"/>
  <c r="B833" i="8" s="1"/>
  <c r="C834" i="8"/>
  <c r="B834" i="8" s="1"/>
  <c r="C835" i="8"/>
  <c r="B835" i="8" s="1"/>
  <c r="A835" i="8" s="1"/>
  <c r="C836" i="8"/>
  <c r="B836" i="8" s="1"/>
  <c r="C837" i="8"/>
  <c r="B837" i="8" s="1"/>
  <c r="C838" i="8"/>
  <c r="B838" i="8" s="1"/>
  <c r="C839" i="8"/>
  <c r="B839" i="8" s="1"/>
  <c r="C840" i="8"/>
  <c r="B840" i="8" s="1"/>
  <c r="C841" i="8"/>
  <c r="B841" i="8" s="1"/>
  <c r="C842" i="8"/>
  <c r="B842" i="8" s="1"/>
  <c r="C843" i="8"/>
  <c r="B843" i="8" s="1"/>
  <c r="C844" i="8"/>
  <c r="B844" i="8" s="1"/>
  <c r="C845" i="8"/>
  <c r="B845" i="8" s="1"/>
  <c r="A845" i="8" s="1"/>
  <c r="C846" i="8"/>
  <c r="B846" i="8" s="1"/>
  <c r="C847" i="8"/>
  <c r="B847" i="8" s="1"/>
  <c r="C848" i="8"/>
  <c r="B848" i="8" s="1"/>
  <c r="C849" i="8"/>
  <c r="B849" i="8" s="1"/>
  <c r="C850" i="8"/>
  <c r="B850" i="8" s="1"/>
  <c r="C851" i="8"/>
  <c r="B851" i="8" s="1"/>
  <c r="C852" i="8"/>
  <c r="B852" i="8" s="1"/>
  <c r="C853" i="8"/>
  <c r="B853" i="8" s="1"/>
  <c r="C854" i="8"/>
  <c r="B854" i="8" s="1"/>
  <c r="C855" i="8"/>
  <c r="B855" i="8" s="1"/>
  <c r="C856" i="8"/>
  <c r="B856" i="8" s="1"/>
  <c r="C857" i="8"/>
  <c r="B857" i="8" s="1"/>
  <c r="A857" i="8" s="1"/>
  <c r="C858" i="8"/>
  <c r="B858" i="8" s="1"/>
  <c r="C859" i="8"/>
  <c r="B859" i="8" s="1"/>
  <c r="C860" i="8"/>
  <c r="B860" i="8" s="1"/>
  <c r="C861" i="8"/>
  <c r="B861" i="8" s="1"/>
  <c r="C862" i="8"/>
  <c r="B862" i="8" s="1"/>
  <c r="C863" i="8"/>
  <c r="B863" i="8" s="1"/>
  <c r="C864" i="8"/>
  <c r="B864" i="8" s="1"/>
  <c r="C865" i="8"/>
  <c r="B865" i="8" s="1"/>
  <c r="C866" i="8"/>
  <c r="B866" i="8" s="1"/>
  <c r="C867" i="8"/>
  <c r="B867" i="8" s="1"/>
  <c r="A867" i="8" s="1"/>
  <c r="C868" i="8"/>
  <c r="B868" i="8" s="1"/>
  <c r="C869" i="8"/>
  <c r="B869" i="8" s="1"/>
  <c r="C870" i="8"/>
  <c r="B870" i="8" s="1"/>
  <c r="C871" i="8"/>
  <c r="B871" i="8" s="1"/>
  <c r="C872" i="8"/>
  <c r="B872" i="8" s="1"/>
  <c r="C873" i="8"/>
  <c r="B873" i="8" s="1"/>
  <c r="C874" i="8"/>
  <c r="B874" i="8" s="1"/>
  <c r="C875" i="8"/>
  <c r="B875" i="8" s="1"/>
  <c r="C876" i="8"/>
  <c r="B876" i="8" s="1"/>
  <c r="C877" i="8"/>
  <c r="B877" i="8" s="1"/>
  <c r="A877" i="8" s="1"/>
  <c r="C878" i="8"/>
  <c r="B878" i="8" s="1"/>
  <c r="C879" i="8"/>
  <c r="B879" i="8" s="1"/>
  <c r="C880" i="8"/>
  <c r="B880" i="8" s="1"/>
  <c r="C881" i="8"/>
  <c r="B881" i="8" s="1"/>
  <c r="C882" i="8"/>
  <c r="B882" i="8" s="1"/>
  <c r="C883" i="8"/>
  <c r="B883" i="8" s="1"/>
  <c r="C884" i="8"/>
  <c r="B884" i="8" s="1"/>
  <c r="C885" i="8"/>
  <c r="B885" i="8" s="1"/>
  <c r="C886" i="8"/>
  <c r="B886" i="8" s="1"/>
  <c r="C887" i="8"/>
  <c r="B887" i="8" s="1"/>
  <c r="C888" i="8"/>
  <c r="B888" i="8" s="1"/>
  <c r="C889" i="8"/>
  <c r="B889" i="8" s="1"/>
  <c r="A889" i="8" s="1"/>
  <c r="C890" i="8"/>
  <c r="B890" i="8" s="1"/>
  <c r="C891" i="8"/>
  <c r="B891" i="8" s="1"/>
  <c r="C892" i="8"/>
  <c r="B892" i="8" s="1"/>
  <c r="D6" i="7"/>
  <c r="M12" i="10" s="1"/>
  <c r="D5" i="7"/>
  <c r="M10" i="10" s="1"/>
  <c r="F61" i="4"/>
  <c r="F60" i="4"/>
  <c r="F59" i="4"/>
  <c r="E61" i="4"/>
  <c r="E60" i="4"/>
  <c r="E59" i="4"/>
  <c r="C61" i="4"/>
  <c r="C60" i="4"/>
  <c r="C59" i="4"/>
  <c r="B61" i="4"/>
  <c r="B60" i="4"/>
  <c r="B59" i="4"/>
  <c r="D4" i="7"/>
  <c r="M8" i="10" s="1"/>
  <c r="D49" i="4"/>
  <c r="C49" i="4"/>
  <c r="B49" i="4"/>
  <c r="C47" i="4"/>
  <c r="D47" i="4"/>
  <c r="B47" i="4"/>
  <c r="B34" i="4" a="1"/>
  <c r="C34" i="4" a="1"/>
  <c r="D34" i="4"/>
  <c r="C24" i="4"/>
  <c r="C23" i="4"/>
  <c r="C22" i="4"/>
  <c r="C21" i="4"/>
  <c r="B24" i="4"/>
  <c r="B23" i="4"/>
  <c r="B22" i="4"/>
  <c r="B21" i="4"/>
  <c r="B16" i="4"/>
  <c r="C16" i="4" s="1"/>
  <c r="B15" i="4"/>
  <c r="C15" i="4" s="1"/>
  <c r="B14" i="4"/>
  <c r="C14" i="4" s="1"/>
  <c r="B10" i="4"/>
  <c r="C10" i="4" s="1"/>
  <c r="B9" i="4"/>
  <c r="C9" i="4" s="1"/>
  <c r="B7" i="4"/>
  <c r="B6" i="4"/>
  <c r="B5" i="4"/>
  <c r="G4" i="1"/>
  <c r="F4" i="1" s="1"/>
  <c r="G5" i="1"/>
  <c r="F5" i="1" s="1"/>
  <c r="G6" i="1"/>
  <c r="F6" i="1" s="1"/>
  <c r="G7" i="1"/>
  <c r="F7" i="1" s="1"/>
  <c r="G8" i="1"/>
  <c r="F8" i="1" s="1"/>
  <c r="G9" i="1"/>
  <c r="F9" i="1" s="1"/>
  <c r="G10" i="1"/>
  <c r="F10" i="1" s="1"/>
  <c r="G11" i="1"/>
  <c r="F11" i="1" s="1"/>
  <c r="G12" i="1"/>
  <c r="F12" i="1" s="1"/>
  <c r="G13" i="1"/>
  <c r="F13" i="1" s="1"/>
  <c r="G14" i="1"/>
  <c r="F14" i="1" s="1"/>
  <c r="G15" i="1"/>
  <c r="F15" i="1" s="1"/>
  <c r="G16" i="1"/>
  <c r="F16" i="1" s="1"/>
  <c r="G17" i="1"/>
  <c r="F17" i="1" s="1"/>
  <c r="G18" i="1"/>
  <c r="F18" i="1" s="1"/>
  <c r="G19" i="1"/>
  <c r="F19" i="1" s="1"/>
  <c r="G20" i="1"/>
  <c r="F20" i="1" s="1"/>
  <c r="G21" i="1"/>
  <c r="F21" i="1" s="1"/>
  <c r="G22" i="1"/>
  <c r="F22" i="1" s="1"/>
  <c r="G23" i="1"/>
  <c r="F23" i="1" s="1"/>
  <c r="G24" i="1"/>
  <c r="F24" i="1" s="1"/>
  <c r="G25" i="1"/>
  <c r="F25" i="1" s="1"/>
  <c r="G26" i="1"/>
  <c r="F26" i="1" s="1"/>
  <c r="G27" i="1"/>
  <c r="F27" i="1" s="1"/>
  <c r="G28" i="1"/>
  <c r="F28" i="1" s="1"/>
  <c r="G29" i="1"/>
  <c r="F29" i="1" s="1"/>
  <c r="G30" i="1"/>
  <c r="F30" i="1" s="1"/>
  <c r="G31" i="1"/>
  <c r="F31" i="1" s="1"/>
  <c r="G32" i="1"/>
  <c r="F32" i="1" s="1"/>
  <c r="G33" i="1"/>
  <c r="F33" i="1" s="1"/>
  <c r="G34" i="1"/>
  <c r="F34" i="1" s="1"/>
  <c r="G35" i="1"/>
  <c r="F35" i="1" s="1"/>
  <c r="G36" i="1"/>
  <c r="F36" i="1" s="1"/>
  <c r="G37" i="1"/>
  <c r="F37" i="1" s="1"/>
  <c r="G38" i="1"/>
  <c r="F38" i="1" s="1"/>
  <c r="G39" i="1"/>
  <c r="F39" i="1" s="1"/>
  <c r="G40" i="1"/>
  <c r="F40" i="1" s="1"/>
  <c r="G41" i="1"/>
  <c r="F41" i="1" s="1"/>
  <c r="G42" i="1"/>
  <c r="F42" i="1" s="1"/>
  <c r="G43" i="1"/>
  <c r="F43" i="1" s="1"/>
  <c r="G44" i="1"/>
  <c r="F44" i="1" s="1"/>
  <c r="G45" i="1"/>
  <c r="F45" i="1" s="1"/>
  <c r="G46" i="1"/>
  <c r="F46" i="1" s="1"/>
  <c r="G47" i="1"/>
  <c r="F47" i="1" s="1"/>
  <c r="G48" i="1"/>
  <c r="F48" i="1" s="1"/>
  <c r="G49" i="1"/>
  <c r="F49" i="1" s="1"/>
  <c r="G50" i="1"/>
  <c r="F50" i="1" s="1"/>
  <c r="G51" i="1"/>
  <c r="F51" i="1" s="1"/>
  <c r="G52" i="1"/>
  <c r="F52" i="1" s="1"/>
  <c r="G53" i="1"/>
  <c r="F53" i="1" s="1"/>
  <c r="G54" i="1"/>
  <c r="F54" i="1" s="1"/>
  <c r="G55" i="1"/>
  <c r="F55" i="1" s="1"/>
  <c r="G56" i="1"/>
  <c r="F56" i="1" s="1"/>
  <c r="G57" i="1"/>
  <c r="F57" i="1" s="1"/>
  <c r="G58" i="1"/>
  <c r="F58" i="1" s="1"/>
  <c r="G59" i="1"/>
  <c r="F59" i="1" s="1"/>
  <c r="G60" i="1"/>
  <c r="F60" i="1" s="1"/>
  <c r="G61" i="1"/>
  <c r="F61" i="1" s="1"/>
  <c r="G62" i="1"/>
  <c r="F62" i="1" s="1"/>
  <c r="G63" i="1"/>
  <c r="F63" i="1" s="1"/>
  <c r="G64" i="1"/>
  <c r="F64" i="1" s="1"/>
  <c r="G65" i="1"/>
  <c r="F65" i="1" s="1"/>
  <c r="G66" i="1"/>
  <c r="F66" i="1" s="1"/>
  <c r="G67" i="1"/>
  <c r="F67" i="1" s="1"/>
  <c r="G68" i="1"/>
  <c r="F68" i="1" s="1"/>
  <c r="G69" i="1"/>
  <c r="F69" i="1" s="1"/>
  <c r="G70" i="1"/>
  <c r="F70" i="1" s="1"/>
  <c r="G71" i="1"/>
  <c r="F71" i="1" s="1"/>
  <c r="G72" i="1"/>
  <c r="F72" i="1" s="1"/>
  <c r="G73" i="1"/>
  <c r="F73" i="1" s="1"/>
  <c r="G74" i="1"/>
  <c r="F74" i="1" s="1"/>
  <c r="G75" i="1"/>
  <c r="F75" i="1" s="1"/>
  <c r="G76" i="1"/>
  <c r="F76" i="1" s="1"/>
  <c r="G77" i="1"/>
  <c r="F77" i="1" s="1"/>
  <c r="G78" i="1"/>
  <c r="F78" i="1" s="1"/>
  <c r="G79" i="1"/>
  <c r="F79" i="1" s="1"/>
  <c r="G80" i="1"/>
  <c r="F80" i="1" s="1"/>
  <c r="G81" i="1"/>
  <c r="F81" i="1" s="1"/>
  <c r="G82" i="1"/>
  <c r="F82" i="1" s="1"/>
  <c r="G83" i="1"/>
  <c r="F83" i="1" s="1"/>
  <c r="G84" i="1"/>
  <c r="F84" i="1" s="1"/>
  <c r="G85" i="1"/>
  <c r="F85" i="1" s="1"/>
  <c r="G86" i="1"/>
  <c r="F86" i="1" s="1"/>
  <c r="G87" i="1"/>
  <c r="F87" i="1" s="1"/>
  <c r="G88" i="1"/>
  <c r="F88" i="1" s="1"/>
  <c r="G89" i="1"/>
  <c r="F89" i="1" s="1"/>
  <c r="G90" i="1"/>
  <c r="F90" i="1" s="1"/>
  <c r="G91" i="1"/>
  <c r="F91" i="1" s="1"/>
  <c r="G92" i="1"/>
  <c r="F92" i="1" s="1"/>
  <c r="G93" i="1"/>
  <c r="F93" i="1" s="1"/>
  <c r="G94" i="1"/>
  <c r="F94" i="1" s="1"/>
  <c r="G95" i="1"/>
  <c r="F95" i="1" s="1"/>
  <c r="G96" i="1"/>
  <c r="F96" i="1" s="1"/>
  <c r="G97" i="1"/>
  <c r="F97" i="1" s="1"/>
  <c r="G98" i="1"/>
  <c r="F98" i="1" s="1"/>
  <c r="G99" i="1"/>
  <c r="F99" i="1" s="1"/>
  <c r="G100" i="1"/>
  <c r="F100" i="1" s="1"/>
  <c r="G101" i="1"/>
  <c r="F101" i="1" s="1"/>
  <c r="G102" i="1"/>
  <c r="F102" i="1" s="1"/>
  <c r="G103" i="1"/>
  <c r="F103" i="1" s="1"/>
  <c r="G104" i="1"/>
  <c r="F104" i="1" s="1"/>
  <c r="G105" i="1"/>
  <c r="F105" i="1" s="1"/>
  <c r="G106" i="1"/>
  <c r="F106" i="1" s="1"/>
  <c r="G107" i="1"/>
  <c r="F107" i="1" s="1"/>
  <c r="G108" i="1"/>
  <c r="F108" i="1" s="1"/>
  <c r="G109" i="1"/>
  <c r="F109" i="1" s="1"/>
  <c r="G110" i="1"/>
  <c r="F110" i="1" s="1"/>
  <c r="G111" i="1"/>
  <c r="F111" i="1" s="1"/>
  <c r="G112" i="1"/>
  <c r="F112" i="1" s="1"/>
  <c r="G113" i="1"/>
  <c r="F113" i="1" s="1"/>
  <c r="G114" i="1"/>
  <c r="F114" i="1" s="1"/>
  <c r="G115" i="1"/>
  <c r="F115" i="1" s="1"/>
  <c r="G116" i="1"/>
  <c r="F116" i="1" s="1"/>
  <c r="G117" i="1"/>
  <c r="F117" i="1" s="1"/>
  <c r="G118" i="1"/>
  <c r="F118" i="1" s="1"/>
  <c r="G119" i="1"/>
  <c r="F119" i="1" s="1"/>
  <c r="G120" i="1"/>
  <c r="F120" i="1" s="1"/>
  <c r="G121" i="1"/>
  <c r="F121" i="1" s="1"/>
  <c r="G122" i="1"/>
  <c r="F122" i="1" s="1"/>
  <c r="G123" i="1"/>
  <c r="F123" i="1" s="1"/>
  <c r="G124" i="1"/>
  <c r="F124" i="1" s="1"/>
  <c r="G125" i="1"/>
  <c r="F125" i="1" s="1"/>
  <c r="G126" i="1"/>
  <c r="F126" i="1" s="1"/>
  <c r="G127" i="1"/>
  <c r="F127" i="1" s="1"/>
  <c r="G128" i="1"/>
  <c r="F128" i="1" s="1"/>
  <c r="G129" i="1"/>
  <c r="F129" i="1" s="1"/>
  <c r="G130" i="1"/>
  <c r="F130" i="1" s="1"/>
  <c r="G131" i="1"/>
  <c r="F131" i="1" s="1"/>
  <c r="G132" i="1"/>
  <c r="F132" i="1" s="1"/>
  <c r="G133" i="1"/>
  <c r="F133" i="1" s="1"/>
  <c r="G134" i="1"/>
  <c r="F134" i="1" s="1"/>
  <c r="G135" i="1"/>
  <c r="F135" i="1" s="1"/>
  <c r="G136" i="1"/>
  <c r="F136" i="1" s="1"/>
  <c r="G137" i="1"/>
  <c r="F137" i="1" s="1"/>
  <c r="G138" i="1"/>
  <c r="F138" i="1" s="1"/>
  <c r="G139" i="1"/>
  <c r="F139" i="1" s="1"/>
  <c r="G140" i="1"/>
  <c r="F140" i="1" s="1"/>
  <c r="G141" i="1"/>
  <c r="F141" i="1" s="1"/>
  <c r="G142" i="1"/>
  <c r="F142" i="1" s="1"/>
  <c r="G143" i="1"/>
  <c r="F143" i="1" s="1"/>
  <c r="G144" i="1"/>
  <c r="F144" i="1" s="1"/>
  <c r="G145" i="1"/>
  <c r="F145" i="1" s="1"/>
  <c r="G146" i="1"/>
  <c r="F146" i="1" s="1"/>
  <c r="G147" i="1"/>
  <c r="F147" i="1" s="1"/>
  <c r="G148" i="1"/>
  <c r="F148" i="1" s="1"/>
  <c r="G149" i="1"/>
  <c r="F149" i="1" s="1"/>
  <c r="G150" i="1"/>
  <c r="F150" i="1" s="1"/>
  <c r="G151" i="1"/>
  <c r="F151" i="1" s="1"/>
  <c r="G152" i="1"/>
  <c r="F152" i="1" s="1"/>
  <c r="G153" i="1"/>
  <c r="F153" i="1" s="1"/>
  <c r="G154" i="1"/>
  <c r="F154" i="1" s="1"/>
  <c r="G155" i="1"/>
  <c r="F155" i="1" s="1"/>
  <c r="G156" i="1"/>
  <c r="F156" i="1" s="1"/>
  <c r="G157" i="1"/>
  <c r="F157" i="1" s="1"/>
  <c r="G158" i="1"/>
  <c r="F158" i="1" s="1"/>
  <c r="G159" i="1"/>
  <c r="F159" i="1" s="1"/>
  <c r="G160" i="1"/>
  <c r="F160" i="1" s="1"/>
  <c r="G161" i="1"/>
  <c r="F161" i="1" s="1"/>
  <c r="G162" i="1"/>
  <c r="F162" i="1" s="1"/>
  <c r="G163" i="1"/>
  <c r="F163" i="1" s="1"/>
  <c r="G164" i="1"/>
  <c r="F164" i="1" s="1"/>
  <c r="G165" i="1"/>
  <c r="F165" i="1" s="1"/>
  <c r="G166" i="1"/>
  <c r="F166" i="1" s="1"/>
  <c r="G167" i="1"/>
  <c r="F167" i="1" s="1"/>
  <c r="G168" i="1"/>
  <c r="F168" i="1" s="1"/>
  <c r="G169" i="1"/>
  <c r="F169" i="1" s="1"/>
  <c r="G170" i="1"/>
  <c r="F170" i="1" s="1"/>
  <c r="G171" i="1"/>
  <c r="F171" i="1" s="1"/>
  <c r="G172" i="1"/>
  <c r="F172" i="1" s="1"/>
  <c r="G173" i="1"/>
  <c r="F173" i="1" s="1"/>
  <c r="G174" i="1"/>
  <c r="F174" i="1" s="1"/>
  <c r="G175" i="1"/>
  <c r="F175" i="1" s="1"/>
  <c r="G176" i="1"/>
  <c r="F176" i="1" s="1"/>
  <c r="G177" i="1"/>
  <c r="F177" i="1" s="1"/>
  <c r="G178" i="1"/>
  <c r="F178" i="1" s="1"/>
  <c r="G179" i="1"/>
  <c r="F179" i="1" s="1"/>
  <c r="G180" i="1"/>
  <c r="F180" i="1" s="1"/>
  <c r="G181" i="1"/>
  <c r="F181" i="1" s="1"/>
  <c r="G182" i="1"/>
  <c r="F182" i="1" s="1"/>
  <c r="G183" i="1"/>
  <c r="F183" i="1" s="1"/>
  <c r="G184" i="1"/>
  <c r="F184" i="1" s="1"/>
  <c r="G185" i="1"/>
  <c r="F185" i="1" s="1"/>
  <c r="G186" i="1"/>
  <c r="F186" i="1" s="1"/>
  <c r="G187" i="1"/>
  <c r="F187" i="1" s="1"/>
  <c r="G188" i="1"/>
  <c r="F188" i="1" s="1"/>
  <c r="G189" i="1"/>
  <c r="F189" i="1" s="1"/>
  <c r="G190" i="1"/>
  <c r="F190" i="1" s="1"/>
  <c r="G191" i="1"/>
  <c r="F191" i="1" s="1"/>
  <c r="G192" i="1"/>
  <c r="F192" i="1" s="1"/>
  <c r="G193" i="1"/>
  <c r="F193" i="1" s="1"/>
  <c r="G194" i="1"/>
  <c r="F194" i="1" s="1"/>
  <c r="G195" i="1"/>
  <c r="F195" i="1" s="1"/>
  <c r="G196" i="1"/>
  <c r="F196" i="1" s="1"/>
  <c r="G197" i="1"/>
  <c r="F197" i="1" s="1"/>
  <c r="G198" i="1"/>
  <c r="F198" i="1" s="1"/>
  <c r="G199" i="1"/>
  <c r="F199" i="1" s="1"/>
  <c r="G200" i="1"/>
  <c r="F200" i="1" s="1"/>
  <c r="G201" i="1"/>
  <c r="F201" i="1" s="1"/>
  <c r="G202" i="1"/>
  <c r="F202" i="1" s="1"/>
  <c r="G203" i="1"/>
  <c r="F203" i="1" s="1"/>
  <c r="G204" i="1"/>
  <c r="F204" i="1" s="1"/>
  <c r="G205" i="1"/>
  <c r="F205" i="1" s="1"/>
  <c r="G206" i="1"/>
  <c r="F206" i="1" s="1"/>
  <c r="G207" i="1"/>
  <c r="F207" i="1" s="1"/>
  <c r="G208" i="1"/>
  <c r="F208" i="1" s="1"/>
  <c r="G209" i="1"/>
  <c r="F209" i="1" s="1"/>
  <c r="G210" i="1"/>
  <c r="F210" i="1" s="1"/>
  <c r="G211" i="1"/>
  <c r="F211" i="1" s="1"/>
  <c r="G212" i="1"/>
  <c r="F212" i="1" s="1"/>
  <c r="G213" i="1"/>
  <c r="F213" i="1" s="1"/>
  <c r="G214" i="1"/>
  <c r="F214" i="1" s="1"/>
  <c r="G215" i="1"/>
  <c r="F215" i="1" s="1"/>
  <c r="G216" i="1"/>
  <c r="F216" i="1" s="1"/>
  <c r="G217" i="1"/>
  <c r="F217" i="1" s="1"/>
  <c r="G218" i="1"/>
  <c r="F218" i="1" s="1"/>
  <c r="G219" i="1"/>
  <c r="F219" i="1" s="1"/>
  <c r="G220" i="1"/>
  <c r="F220" i="1" s="1"/>
  <c r="G221" i="1"/>
  <c r="F221" i="1" s="1"/>
  <c r="G222" i="1"/>
  <c r="F222" i="1" s="1"/>
  <c r="G223" i="1"/>
  <c r="F223" i="1" s="1"/>
  <c r="G224" i="1"/>
  <c r="F224" i="1" s="1"/>
  <c r="G225" i="1"/>
  <c r="F225" i="1" s="1"/>
  <c r="G226" i="1"/>
  <c r="F226" i="1" s="1"/>
  <c r="G227" i="1"/>
  <c r="F227" i="1" s="1"/>
  <c r="G228" i="1"/>
  <c r="F228" i="1" s="1"/>
  <c r="G229" i="1"/>
  <c r="F229" i="1" s="1"/>
  <c r="G230" i="1"/>
  <c r="F230" i="1" s="1"/>
  <c r="G231" i="1"/>
  <c r="F231" i="1" s="1"/>
  <c r="G232" i="1"/>
  <c r="F232" i="1" s="1"/>
  <c r="G233" i="1"/>
  <c r="F233" i="1" s="1"/>
  <c r="G234" i="1"/>
  <c r="F234" i="1" s="1"/>
  <c r="G235" i="1"/>
  <c r="F235" i="1" s="1"/>
  <c r="G236" i="1"/>
  <c r="F236" i="1" s="1"/>
  <c r="G237" i="1"/>
  <c r="F237" i="1" s="1"/>
  <c r="G238" i="1"/>
  <c r="F238" i="1" s="1"/>
  <c r="G239" i="1"/>
  <c r="F239" i="1" s="1"/>
  <c r="G240" i="1"/>
  <c r="F240" i="1" s="1"/>
  <c r="G241" i="1"/>
  <c r="F241" i="1" s="1"/>
  <c r="G242" i="1"/>
  <c r="F242" i="1" s="1"/>
  <c r="G243" i="1"/>
  <c r="F243" i="1" s="1"/>
  <c r="G244" i="1"/>
  <c r="F244" i="1" s="1"/>
  <c r="G245" i="1"/>
  <c r="F245" i="1" s="1"/>
  <c r="G246" i="1"/>
  <c r="F246" i="1" s="1"/>
  <c r="G247" i="1"/>
  <c r="F247" i="1" s="1"/>
  <c r="G248" i="1"/>
  <c r="F248" i="1" s="1"/>
  <c r="G249" i="1"/>
  <c r="F249" i="1" s="1"/>
  <c r="G250" i="1"/>
  <c r="F250" i="1" s="1"/>
  <c r="G251" i="1"/>
  <c r="F251" i="1" s="1"/>
  <c r="G252" i="1"/>
  <c r="F252" i="1" s="1"/>
  <c r="G253" i="1"/>
  <c r="F253" i="1" s="1"/>
  <c r="G254" i="1"/>
  <c r="F254" i="1" s="1"/>
  <c r="G255" i="1"/>
  <c r="F255" i="1" s="1"/>
  <c r="G256" i="1"/>
  <c r="F256" i="1" s="1"/>
  <c r="G257" i="1"/>
  <c r="F257" i="1" s="1"/>
  <c r="G258" i="1"/>
  <c r="F258" i="1" s="1"/>
  <c r="G259" i="1"/>
  <c r="F259" i="1" s="1"/>
  <c r="G260" i="1"/>
  <c r="F260" i="1" s="1"/>
  <c r="G261" i="1"/>
  <c r="F261" i="1" s="1"/>
  <c r="G262" i="1"/>
  <c r="F262" i="1" s="1"/>
  <c r="G263" i="1"/>
  <c r="F263" i="1" s="1"/>
  <c r="G264" i="1"/>
  <c r="F264" i="1" s="1"/>
  <c r="G265" i="1"/>
  <c r="F265" i="1" s="1"/>
  <c r="G266" i="1"/>
  <c r="F266" i="1" s="1"/>
  <c r="G267" i="1"/>
  <c r="F267" i="1" s="1"/>
  <c r="G268" i="1"/>
  <c r="F268" i="1" s="1"/>
  <c r="G269" i="1"/>
  <c r="F269" i="1" s="1"/>
  <c r="G270" i="1"/>
  <c r="F270" i="1" s="1"/>
  <c r="G271" i="1"/>
  <c r="F271" i="1" s="1"/>
  <c r="G272" i="1"/>
  <c r="F272" i="1" s="1"/>
  <c r="G273" i="1"/>
  <c r="F273" i="1" s="1"/>
  <c r="G274" i="1"/>
  <c r="F274" i="1" s="1"/>
  <c r="G275" i="1"/>
  <c r="F275" i="1" s="1"/>
  <c r="G276" i="1"/>
  <c r="F276" i="1" s="1"/>
  <c r="G277" i="1"/>
  <c r="F277" i="1" s="1"/>
  <c r="G278" i="1"/>
  <c r="F278" i="1" s="1"/>
  <c r="G279" i="1"/>
  <c r="F279" i="1" s="1"/>
  <c r="G280" i="1"/>
  <c r="F280" i="1" s="1"/>
  <c r="G281" i="1"/>
  <c r="F281" i="1" s="1"/>
  <c r="G282" i="1"/>
  <c r="F282" i="1" s="1"/>
  <c r="G283" i="1"/>
  <c r="F283" i="1" s="1"/>
  <c r="G284" i="1"/>
  <c r="F284" i="1" s="1"/>
  <c r="G285" i="1"/>
  <c r="F285" i="1" s="1"/>
  <c r="G286" i="1"/>
  <c r="F286" i="1" s="1"/>
  <c r="G287" i="1"/>
  <c r="F287" i="1" s="1"/>
  <c r="G288" i="1"/>
  <c r="F288" i="1" s="1"/>
  <c r="G289" i="1"/>
  <c r="F289" i="1" s="1"/>
  <c r="G290" i="1"/>
  <c r="F290" i="1" s="1"/>
  <c r="G291" i="1"/>
  <c r="F291" i="1" s="1"/>
  <c r="G292" i="1"/>
  <c r="F292" i="1" s="1"/>
  <c r="G293" i="1"/>
  <c r="F293" i="1" s="1"/>
  <c r="G294" i="1"/>
  <c r="F294" i="1" s="1"/>
  <c r="G295" i="1"/>
  <c r="F295" i="1" s="1"/>
  <c r="G296" i="1"/>
  <c r="F296" i="1" s="1"/>
  <c r="G297" i="1"/>
  <c r="F297" i="1" s="1"/>
  <c r="G298" i="1"/>
  <c r="F298" i="1" s="1"/>
  <c r="G299" i="1"/>
  <c r="F299" i="1" s="1"/>
  <c r="G300" i="1"/>
  <c r="F300" i="1" s="1"/>
  <c r="G301" i="1"/>
  <c r="F301" i="1" s="1"/>
  <c r="G302" i="1"/>
  <c r="F302" i="1" s="1"/>
  <c r="G303" i="1"/>
  <c r="F303" i="1" s="1"/>
  <c r="G304" i="1"/>
  <c r="F304" i="1" s="1"/>
  <c r="G305" i="1"/>
  <c r="F305" i="1" s="1"/>
  <c r="G306" i="1"/>
  <c r="F306" i="1" s="1"/>
  <c r="G307" i="1"/>
  <c r="F307" i="1" s="1"/>
  <c r="G308" i="1"/>
  <c r="F308" i="1" s="1"/>
  <c r="G309" i="1"/>
  <c r="F309" i="1" s="1"/>
  <c r="G310" i="1"/>
  <c r="F310" i="1" s="1"/>
  <c r="G311" i="1"/>
  <c r="F311" i="1" s="1"/>
  <c r="G312" i="1"/>
  <c r="F312" i="1" s="1"/>
  <c r="G313" i="1"/>
  <c r="F313" i="1" s="1"/>
  <c r="G314" i="1"/>
  <c r="F314" i="1" s="1"/>
  <c r="G315" i="1"/>
  <c r="F315" i="1" s="1"/>
  <c r="G316" i="1"/>
  <c r="F316" i="1" s="1"/>
  <c r="G317" i="1"/>
  <c r="F317" i="1" s="1"/>
  <c r="G318" i="1"/>
  <c r="F318" i="1" s="1"/>
  <c r="G319" i="1"/>
  <c r="F319" i="1" s="1"/>
  <c r="G320" i="1"/>
  <c r="F320" i="1" s="1"/>
  <c r="G321" i="1"/>
  <c r="F321" i="1" s="1"/>
  <c r="G322" i="1"/>
  <c r="F322" i="1" s="1"/>
  <c r="G323" i="1"/>
  <c r="F323" i="1" s="1"/>
  <c r="G324" i="1"/>
  <c r="F324" i="1" s="1"/>
  <c r="G325" i="1"/>
  <c r="F325" i="1" s="1"/>
  <c r="G326" i="1"/>
  <c r="F326" i="1" s="1"/>
  <c r="G327" i="1"/>
  <c r="F327" i="1" s="1"/>
  <c r="G328" i="1"/>
  <c r="F328" i="1" s="1"/>
  <c r="G329" i="1"/>
  <c r="F329" i="1" s="1"/>
  <c r="G330" i="1"/>
  <c r="F330" i="1" s="1"/>
  <c r="G331" i="1"/>
  <c r="F331" i="1" s="1"/>
  <c r="G332" i="1"/>
  <c r="F332" i="1" s="1"/>
  <c r="G333" i="1"/>
  <c r="F333" i="1" s="1"/>
  <c r="G334" i="1"/>
  <c r="F334" i="1" s="1"/>
  <c r="G335" i="1"/>
  <c r="F335" i="1" s="1"/>
  <c r="G336" i="1"/>
  <c r="F336" i="1" s="1"/>
  <c r="G337" i="1"/>
  <c r="F337" i="1" s="1"/>
  <c r="G338" i="1"/>
  <c r="F338" i="1" s="1"/>
  <c r="G339" i="1"/>
  <c r="F339" i="1" s="1"/>
  <c r="G340" i="1"/>
  <c r="F340" i="1" s="1"/>
  <c r="G341" i="1"/>
  <c r="F341" i="1" s="1"/>
  <c r="G342" i="1"/>
  <c r="F342" i="1" s="1"/>
  <c r="G343" i="1"/>
  <c r="F343" i="1" s="1"/>
  <c r="G344" i="1"/>
  <c r="F344" i="1" s="1"/>
  <c r="G345" i="1"/>
  <c r="F345" i="1" s="1"/>
  <c r="G346" i="1"/>
  <c r="F346" i="1" s="1"/>
  <c r="G347" i="1"/>
  <c r="F347" i="1" s="1"/>
  <c r="G348" i="1"/>
  <c r="F348" i="1" s="1"/>
  <c r="G349" i="1"/>
  <c r="F349" i="1" s="1"/>
  <c r="G350" i="1"/>
  <c r="F350" i="1" s="1"/>
  <c r="G351" i="1"/>
  <c r="F351" i="1" s="1"/>
  <c r="G352" i="1"/>
  <c r="F352" i="1" s="1"/>
  <c r="G353" i="1"/>
  <c r="F353" i="1" s="1"/>
  <c r="G354" i="1"/>
  <c r="F354" i="1" s="1"/>
  <c r="G355" i="1"/>
  <c r="F355" i="1" s="1"/>
  <c r="G356" i="1"/>
  <c r="F356" i="1" s="1"/>
  <c r="G357" i="1"/>
  <c r="F357" i="1" s="1"/>
  <c r="G358" i="1"/>
  <c r="F358" i="1" s="1"/>
  <c r="G359" i="1"/>
  <c r="F359" i="1" s="1"/>
  <c r="G360" i="1"/>
  <c r="F360" i="1" s="1"/>
  <c r="G361" i="1"/>
  <c r="F361" i="1" s="1"/>
  <c r="G362" i="1"/>
  <c r="F362" i="1" s="1"/>
  <c r="G363" i="1"/>
  <c r="F363" i="1" s="1"/>
  <c r="G364" i="1"/>
  <c r="F364" i="1" s="1"/>
  <c r="G365" i="1"/>
  <c r="F365" i="1" s="1"/>
  <c r="G366" i="1"/>
  <c r="F366" i="1" s="1"/>
  <c r="G367" i="1"/>
  <c r="F367" i="1" s="1"/>
  <c r="G368" i="1"/>
  <c r="F368" i="1" s="1"/>
  <c r="G369" i="1"/>
  <c r="F369" i="1" s="1"/>
  <c r="G370" i="1"/>
  <c r="F370" i="1" s="1"/>
  <c r="G371" i="1"/>
  <c r="F371" i="1" s="1"/>
  <c r="G372" i="1"/>
  <c r="F372" i="1" s="1"/>
  <c r="G373" i="1"/>
  <c r="F373" i="1" s="1"/>
  <c r="G374" i="1"/>
  <c r="F374" i="1" s="1"/>
  <c r="G375" i="1"/>
  <c r="F375" i="1" s="1"/>
  <c r="G376" i="1"/>
  <c r="F376" i="1" s="1"/>
  <c r="G377" i="1"/>
  <c r="F377" i="1" s="1"/>
  <c r="G378" i="1"/>
  <c r="F378" i="1" s="1"/>
  <c r="G379" i="1"/>
  <c r="F379" i="1" s="1"/>
  <c r="G380" i="1"/>
  <c r="F380" i="1" s="1"/>
  <c r="G381" i="1"/>
  <c r="F381" i="1" s="1"/>
  <c r="G382" i="1"/>
  <c r="F382" i="1" s="1"/>
  <c r="G383" i="1"/>
  <c r="F383" i="1" s="1"/>
  <c r="G384" i="1"/>
  <c r="F384" i="1" s="1"/>
  <c r="G385" i="1"/>
  <c r="F385" i="1" s="1"/>
  <c r="G386" i="1"/>
  <c r="F386" i="1" s="1"/>
  <c r="G387" i="1"/>
  <c r="F387" i="1" s="1"/>
  <c r="G388" i="1"/>
  <c r="F388" i="1" s="1"/>
  <c r="G389" i="1"/>
  <c r="F389" i="1" s="1"/>
  <c r="G390" i="1"/>
  <c r="F390" i="1" s="1"/>
  <c r="G391" i="1"/>
  <c r="F391" i="1" s="1"/>
  <c r="G392" i="1"/>
  <c r="F392" i="1" s="1"/>
  <c r="G393" i="1"/>
  <c r="F393" i="1" s="1"/>
  <c r="G394" i="1"/>
  <c r="F394" i="1" s="1"/>
  <c r="G395" i="1"/>
  <c r="F395" i="1" s="1"/>
  <c r="G396" i="1"/>
  <c r="F396" i="1" s="1"/>
  <c r="G397" i="1"/>
  <c r="F397" i="1" s="1"/>
  <c r="G398" i="1"/>
  <c r="F398" i="1" s="1"/>
  <c r="G399" i="1"/>
  <c r="F399" i="1" s="1"/>
  <c r="G400" i="1"/>
  <c r="F400" i="1" s="1"/>
  <c r="G401" i="1"/>
  <c r="F401" i="1" s="1"/>
  <c r="G402" i="1"/>
  <c r="F402" i="1" s="1"/>
  <c r="G403" i="1"/>
  <c r="F403" i="1" s="1"/>
  <c r="G404" i="1"/>
  <c r="F404" i="1" s="1"/>
  <c r="G405" i="1"/>
  <c r="F405" i="1" s="1"/>
  <c r="G406" i="1"/>
  <c r="F406" i="1" s="1"/>
  <c r="G407" i="1"/>
  <c r="F407" i="1" s="1"/>
  <c r="G408" i="1"/>
  <c r="F408" i="1" s="1"/>
  <c r="G409" i="1"/>
  <c r="F409" i="1" s="1"/>
  <c r="G410" i="1"/>
  <c r="F410" i="1" s="1"/>
  <c r="G411" i="1"/>
  <c r="F411" i="1" s="1"/>
  <c r="G412" i="1"/>
  <c r="F412" i="1" s="1"/>
  <c r="G413" i="1"/>
  <c r="F413" i="1" s="1"/>
  <c r="G414" i="1"/>
  <c r="F414" i="1" s="1"/>
  <c r="G415" i="1"/>
  <c r="F415" i="1" s="1"/>
  <c r="G416" i="1"/>
  <c r="F416" i="1" s="1"/>
  <c r="G417" i="1"/>
  <c r="F417" i="1" s="1"/>
  <c r="G418" i="1"/>
  <c r="F418" i="1" s="1"/>
  <c r="G419" i="1"/>
  <c r="F419" i="1" s="1"/>
  <c r="G420" i="1"/>
  <c r="F420" i="1" s="1"/>
  <c r="G421" i="1"/>
  <c r="F421" i="1" s="1"/>
  <c r="G422" i="1"/>
  <c r="F422" i="1" s="1"/>
  <c r="G423" i="1"/>
  <c r="F423" i="1" s="1"/>
  <c r="G424" i="1"/>
  <c r="F424" i="1" s="1"/>
  <c r="G425" i="1"/>
  <c r="F425" i="1" s="1"/>
  <c r="G426" i="1"/>
  <c r="F426" i="1" s="1"/>
  <c r="G427" i="1"/>
  <c r="F427" i="1" s="1"/>
  <c r="G428" i="1"/>
  <c r="F428" i="1" s="1"/>
  <c r="G429" i="1"/>
  <c r="F429" i="1" s="1"/>
  <c r="G430" i="1"/>
  <c r="F430" i="1" s="1"/>
  <c r="G431" i="1"/>
  <c r="F431" i="1" s="1"/>
  <c r="G432" i="1"/>
  <c r="F432" i="1" s="1"/>
  <c r="G433" i="1"/>
  <c r="F433" i="1" s="1"/>
  <c r="G434" i="1"/>
  <c r="F434" i="1" s="1"/>
  <c r="G435" i="1"/>
  <c r="F435" i="1" s="1"/>
  <c r="G436" i="1"/>
  <c r="F436" i="1" s="1"/>
  <c r="G437" i="1"/>
  <c r="F437" i="1" s="1"/>
  <c r="G438" i="1"/>
  <c r="F438" i="1" s="1"/>
  <c r="G439" i="1"/>
  <c r="F439" i="1" s="1"/>
  <c r="G440" i="1"/>
  <c r="F440" i="1" s="1"/>
  <c r="G441" i="1"/>
  <c r="F441" i="1" s="1"/>
  <c r="G442" i="1"/>
  <c r="F442" i="1" s="1"/>
  <c r="G443" i="1"/>
  <c r="F443" i="1" s="1"/>
  <c r="G444" i="1"/>
  <c r="F444" i="1" s="1"/>
  <c r="G445" i="1"/>
  <c r="F445" i="1" s="1"/>
  <c r="G446" i="1"/>
  <c r="F446" i="1" s="1"/>
  <c r="G447" i="1"/>
  <c r="F447" i="1" s="1"/>
  <c r="G448" i="1"/>
  <c r="F448" i="1" s="1"/>
  <c r="G449" i="1"/>
  <c r="F449" i="1" s="1"/>
  <c r="G450" i="1"/>
  <c r="F450" i="1" s="1"/>
  <c r="G451" i="1"/>
  <c r="F451" i="1" s="1"/>
  <c r="G452" i="1"/>
  <c r="F452" i="1" s="1"/>
  <c r="G453" i="1"/>
  <c r="F453" i="1" s="1"/>
  <c r="G454" i="1"/>
  <c r="F454" i="1" s="1"/>
  <c r="G455" i="1"/>
  <c r="F455" i="1" s="1"/>
  <c r="G456" i="1"/>
  <c r="F456" i="1" s="1"/>
  <c r="G457" i="1"/>
  <c r="F457" i="1" s="1"/>
  <c r="G458" i="1"/>
  <c r="F458" i="1" s="1"/>
  <c r="G459" i="1"/>
  <c r="F459" i="1" s="1"/>
  <c r="G460" i="1"/>
  <c r="F460" i="1" s="1"/>
  <c r="G461" i="1"/>
  <c r="F461" i="1" s="1"/>
  <c r="G462" i="1"/>
  <c r="F462" i="1" s="1"/>
  <c r="G463" i="1"/>
  <c r="F463" i="1" s="1"/>
  <c r="G464" i="1"/>
  <c r="F464" i="1" s="1"/>
  <c r="G465" i="1"/>
  <c r="F465" i="1" s="1"/>
  <c r="G466" i="1"/>
  <c r="F466" i="1" s="1"/>
  <c r="G467" i="1"/>
  <c r="F467" i="1" s="1"/>
  <c r="G468" i="1"/>
  <c r="F468" i="1" s="1"/>
  <c r="G469" i="1"/>
  <c r="F469" i="1" s="1"/>
  <c r="G470" i="1"/>
  <c r="F470" i="1" s="1"/>
  <c r="G471" i="1"/>
  <c r="F471" i="1" s="1"/>
  <c r="G472" i="1"/>
  <c r="F472" i="1" s="1"/>
  <c r="G473" i="1"/>
  <c r="F473" i="1" s="1"/>
  <c r="G474" i="1"/>
  <c r="F474" i="1" s="1"/>
  <c r="G475" i="1"/>
  <c r="F475" i="1" s="1"/>
  <c r="G476" i="1"/>
  <c r="F476" i="1" s="1"/>
  <c r="G477" i="1"/>
  <c r="F477" i="1" s="1"/>
  <c r="G478" i="1"/>
  <c r="F478" i="1" s="1"/>
  <c r="G479" i="1"/>
  <c r="F479" i="1" s="1"/>
  <c r="G480" i="1"/>
  <c r="F480" i="1" s="1"/>
  <c r="G481" i="1"/>
  <c r="F481" i="1" s="1"/>
  <c r="G482" i="1"/>
  <c r="F482" i="1" s="1"/>
  <c r="G483" i="1"/>
  <c r="F483" i="1" s="1"/>
  <c r="G484" i="1"/>
  <c r="F484" i="1" s="1"/>
  <c r="G485" i="1"/>
  <c r="F485" i="1" s="1"/>
  <c r="G486" i="1"/>
  <c r="F486" i="1" s="1"/>
  <c r="G487" i="1"/>
  <c r="F487" i="1" s="1"/>
  <c r="G488" i="1"/>
  <c r="F488" i="1" s="1"/>
  <c r="G489" i="1"/>
  <c r="F489" i="1" s="1"/>
  <c r="G490" i="1"/>
  <c r="F490" i="1" s="1"/>
  <c r="G491" i="1"/>
  <c r="F491" i="1" s="1"/>
  <c r="G492" i="1"/>
  <c r="F492" i="1" s="1"/>
  <c r="G493" i="1"/>
  <c r="F493" i="1" s="1"/>
  <c r="G494" i="1"/>
  <c r="F494" i="1" s="1"/>
  <c r="G495" i="1"/>
  <c r="F495" i="1" s="1"/>
  <c r="G496" i="1"/>
  <c r="F496" i="1" s="1"/>
  <c r="G497" i="1"/>
  <c r="F497" i="1" s="1"/>
  <c r="G498" i="1"/>
  <c r="F498" i="1" s="1"/>
  <c r="G499" i="1"/>
  <c r="F499" i="1" s="1"/>
  <c r="G500" i="1"/>
  <c r="F500" i="1" s="1"/>
  <c r="G501" i="1"/>
  <c r="F501" i="1" s="1"/>
  <c r="G502" i="1"/>
  <c r="F502" i="1" s="1"/>
  <c r="G503" i="1"/>
  <c r="F503" i="1" s="1"/>
  <c r="G504" i="1"/>
  <c r="F504" i="1" s="1"/>
  <c r="G505" i="1"/>
  <c r="F505" i="1" s="1"/>
  <c r="G506" i="1"/>
  <c r="F506" i="1" s="1"/>
  <c r="G507" i="1"/>
  <c r="F507" i="1" s="1"/>
  <c r="G508" i="1"/>
  <c r="F508" i="1" s="1"/>
  <c r="G509" i="1"/>
  <c r="F509" i="1" s="1"/>
  <c r="G510" i="1"/>
  <c r="F510" i="1" s="1"/>
  <c r="G511" i="1"/>
  <c r="F511" i="1" s="1"/>
  <c r="G512" i="1"/>
  <c r="F512" i="1" s="1"/>
  <c r="G513" i="1"/>
  <c r="F513" i="1" s="1"/>
  <c r="G514" i="1"/>
  <c r="F514" i="1" s="1"/>
  <c r="G515" i="1"/>
  <c r="F515" i="1" s="1"/>
  <c r="G516" i="1"/>
  <c r="F516" i="1" s="1"/>
  <c r="G517" i="1"/>
  <c r="F517" i="1" s="1"/>
  <c r="G518" i="1"/>
  <c r="F518" i="1" s="1"/>
  <c r="G519" i="1"/>
  <c r="F519" i="1" s="1"/>
  <c r="G520" i="1"/>
  <c r="F520" i="1" s="1"/>
  <c r="G521" i="1"/>
  <c r="F521" i="1" s="1"/>
  <c r="G522" i="1"/>
  <c r="F522" i="1" s="1"/>
  <c r="G523" i="1"/>
  <c r="F523" i="1" s="1"/>
  <c r="G524" i="1"/>
  <c r="F524" i="1" s="1"/>
  <c r="G525" i="1"/>
  <c r="F525" i="1" s="1"/>
  <c r="G526" i="1"/>
  <c r="F526" i="1" s="1"/>
  <c r="G527" i="1"/>
  <c r="F527" i="1" s="1"/>
  <c r="G528" i="1"/>
  <c r="F528" i="1" s="1"/>
  <c r="G529" i="1"/>
  <c r="F529" i="1" s="1"/>
  <c r="G530" i="1"/>
  <c r="F530" i="1" s="1"/>
  <c r="G531" i="1"/>
  <c r="F531" i="1" s="1"/>
  <c r="G532" i="1"/>
  <c r="F532" i="1" s="1"/>
  <c r="G533" i="1"/>
  <c r="F533" i="1" s="1"/>
  <c r="G534" i="1"/>
  <c r="F534" i="1" s="1"/>
  <c r="G535" i="1"/>
  <c r="F535" i="1" s="1"/>
  <c r="G536" i="1"/>
  <c r="F536" i="1" s="1"/>
  <c r="G537" i="1"/>
  <c r="F537" i="1" s="1"/>
  <c r="G538" i="1"/>
  <c r="F538" i="1" s="1"/>
  <c r="G539" i="1"/>
  <c r="F539" i="1" s="1"/>
  <c r="G540" i="1"/>
  <c r="F540" i="1" s="1"/>
  <c r="G541" i="1"/>
  <c r="F541" i="1" s="1"/>
  <c r="G542" i="1"/>
  <c r="F542" i="1" s="1"/>
  <c r="G543" i="1"/>
  <c r="F543" i="1" s="1"/>
  <c r="G544" i="1"/>
  <c r="F544" i="1" s="1"/>
  <c r="G545" i="1"/>
  <c r="F545" i="1" s="1"/>
  <c r="G546" i="1"/>
  <c r="F546" i="1" s="1"/>
  <c r="G547" i="1"/>
  <c r="F547" i="1" s="1"/>
  <c r="G548" i="1"/>
  <c r="F548" i="1" s="1"/>
  <c r="G549" i="1"/>
  <c r="F549" i="1" s="1"/>
  <c r="G550" i="1"/>
  <c r="F550" i="1" s="1"/>
  <c r="G551" i="1"/>
  <c r="F551" i="1" s="1"/>
  <c r="G552" i="1"/>
  <c r="F552" i="1" s="1"/>
  <c r="G553" i="1"/>
  <c r="F553" i="1" s="1"/>
  <c r="G554" i="1"/>
  <c r="F554" i="1" s="1"/>
  <c r="G555" i="1"/>
  <c r="F555" i="1" s="1"/>
  <c r="G556" i="1"/>
  <c r="F556" i="1" s="1"/>
  <c r="G557" i="1"/>
  <c r="F557" i="1" s="1"/>
  <c r="G558" i="1"/>
  <c r="F558" i="1" s="1"/>
  <c r="G559" i="1"/>
  <c r="F559" i="1" s="1"/>
  <c r="G560" i="1"/>
  <c r="F560" i="1" s="1"/>
  <c r="G561" i="1"/>
  <c r="F561" i="1" s="1"/>
  <c r="G562" i="1"/>
  <c r="F562" i="1" s="1"/>
  <c r="G563" i="1"/>
  <c r="F563" i="1" s="1"/>
  <c r="G564" i="1"/>
  <c r="F564" i="1" s="1"/>
  <c r="G565" i="1"/>
  <c r="F565" i="1" s="1"/>
  <c r="G566" i="1"/>
  <c r="F566" i="1" s="1"/>
  <c r="G567" i="1"/>
  <c r="F567" i="1" s="1"/>
  <c r="G568" i="1"/>
  <c r="F568" i="1" s="1"/>
  <c r="G569" i="1"/>
  <c r="F569" i="1" s="1"/>
  <c r="G570" i="1"/>
  <c r="F570" i="1" s="1"/>
  <c r="G571" i="1"/>
  <c r="F571" i="1" s="1"/>
  <c r="G572" i="1"/>
  <c r="F572" i="1" s="1"/>
  <c r="G573" i="1"/>
  <c r="F573" i="1" s="1"/>
  <c r="G574" i="1"/>
  <c r="F574" i="1" s="1"/>
  <c r="G575" i="1"/>
  <c r="F575" i="1" s="1"/>
  <c r="G576" i="1"/>
  <c r="F576" i="1" s="1"/>
  <c r="G577" i="1"/>
  <c r="F577" i="1" s="1"/>
  <c r="G578" i="1"/>
  <c r="F578" i="1" s="1"/>
  <c r="G579" i="1"/>
  <c r="F579" i="1" s="1"/>
  <c r="G580" i="1"/>
  <c r="F580" i="1" s="1"/>
  <c r="G581" i="1"/>
  <c r="F581" i="1" s="1"/>
  <c r="G582" i="1"/>
  <c r="F582" i="1" s="1"/>
  <c r="G583" i="1"/>
  <c r="F583" i="1" s="1"/>
  <c r="G584" i="1"/>
  <c r="F584" i="1" s="1"/>
  <c r="G585" i="1"/>
  <c r="F585" i="1" s="1"/>
  <c r="G586" i="1"/>
  <c r="F586" i="1" s="1"/>
  <c r="G587" i="1"/>
  <c r="F587" i="1" s="1"/>
  <c r="G588" i="1"/>
  <c r="F588" i="1" s="1"/>
  <c r="G589" i="1"/>
  <c r="F589" i="1" s="1"/>
  <c r="G590" i="1"/>
  <c r="F590" i="1" s="1"/>
  <c r="G591" i="1"/>
  <c r="F591" i="1" s="1"/>
  <c r="G592" i="1"/>
  <c r="F592" i="1" s="1"/>
  <c r="G593" i="1"/>
  <c r="F593" i="1" s="1"/>
  <c r="G594" i="1"/>
  <c r="F594" i="1" s="1"/>
  <c r="G595" i="1"/>
  <c r="F595" i="1" s="1"/>
  <c r="G596" i="1"/>
  <c r="F596" i="1" s="1"/>
  <c r="G597" i="1"/>
  <c r="F597" i="1" s="1"/>
  <c r="G598" i="1"/>
  <c r="F598" i="1" s="1"/>
  <c r="G599" i="1"/>
  <c r="F599" i="1" s="1"/>
  <c r="G600" i="1"/>
  <c r="F600" i="1" s="1"/>
  <c r="G601" i="1"/>
  <c r="F601" i="1" s="1"/>
  <c r="G602" i="1"/>
  <c r="F602" i="1" s="1"/>
  <c r="G603" i="1"/>
  <c r="F603" i="1" s="1"/>
  <c r="G604" i="1"/>
  <c r="F604" i="1" s="1"/>
  <c r="G605" i="1"/>
  <c r="F605" i="1" s="1"/>
  <c r="G606" i="1"/>
  <c r="F606" i="1" s="1"/>
  <c r="G607" i="1"/>
  <c r="F607" i="1" s="1"/>
  <c r="G608" i="1"/>
  <c r="F608" i="1" s="1"/>
  <c r="G609" i="1"/>
  <c r="F609" i="1" s="1"/>
  <c r="G610" i="1"/>
  <c r="F610" i="1" s="1"/>
  <c r="G611" i="1"/>
  <c r="F611" i="1" s="1"/>
  <c r="G612" i="1"/>
  <c r="F612" i="1" s="1"/>
  <c r="G613" i="1"/>
  <c r="F613" i="1" s="1"/>
  <c r="G614" i="1"/>
  <c r="F614" i="1" s="1"/>
  <c r="G615" i="1"/>
  <c r="F615" i="1" s="1"/>
  <c r="G616" i="1"/>
  <c r="F616" i="1" s="1"/>
  <c r="G617" i="1"/>
  <c r="F617" i="1" s="1"/>
  <c r="G618" i="1"/>
  <c r="F618" i="1" s="1"/>
  <c r="G619" i="1"/>
  <c r="F619" i="1" s="1"/>
  <c r="G620" i="1"/>
  <c r="F620" i="1" s="1"/>
  <c r="G621" i="1"/>
  <c r="F621" i="1" s="1"/>
  <c r="G622" i="1"/>
  <c r="F622" i="1" s="1"/>
  <c r="G623" i="1"/>
  <c r="F623" i="1" s="1"/>
  <c r="G624" i="1"/>
  <c r="F624" i="1" s="1"/>
  <c r="G625" i="1"/>
  <c r="F625" i="1" s="1"/>
  <c r="G626" i="1"/>
  <c r="F626" i="1" s="1"/>
  <c r="G627" i="1"/>
  <c r="F627" i="1" s="1"/>
  <c r="G628" i="1"/>
  <c r="F628" i="1" s="1"/>
  <c r="G629" i="1"/>
  <c r="F629" i="1" s="1"/>
  <c r="G630" i="1"/>
  <c r="F630" i="1" s="1"/>
  <c r="G631" i="1"/>
  <c r="F631" i="1" s="1"/>
  <c r="G632" i="1"/>
  <c r="F632" i="1" s="1"/>
  <c r="G633" i="1"/>
  <c r="F633" i="1" s="1"/>
  <c r="G634" i="1"/>
  <c r="F634" i="1" s="1"/>
  <c r="G635" i="1"/>
  <c r="F635" i="1" s="1"/>
  <c r="G636" i="1"/>
  <c r="F636" i="1" s="1"/>
  <c r="G637" i="1"/>
  <c r="F637" i="1" s="1"/>
  <c r="G638" i="1"/>
  <c r="F638" i="1" s="1"/>
  <c r="G639" i="1"/>
  <c r="F639" i="1" s="1"/>
  <c r="G640" i="1"/>
  <c r="F640" i="1" s="1"/>
  <c r="G641" i="1"/>
  <c r="F641" i="1" s="1"/>
  <c r="G642" i="1"/>
  <c r="F642" i="1" s="1"/>
  <c r="G643" i="1"/>
  <c r="F643" i="1" s="1"/>
  <c r="G644" i="1"/>
  <c r="F644" i="1" s="1"/>
  <c r="G645" i="1"/>
  <c r="F645" i="1" s="1"/>
  <c r="G646" i="1"/>
  <c r="F646" i="1" s="1"/>
  <c r="G647" i="1"/>
  <c r="F647" i="1" s="1"/>
  <c r="G648" i="1"/>
  <c r="F648" i="1" s="1"/>
  <c r="G649" i="1"/>
  <c r="F649" i="1" s="1"/>
  <c r="G650" i="1"/>
  <c r="F650" i="1" s="1"/>
  <c r="G651" i="1"/>
  <c r="F651" i="1" s="1"/>
  <c r="G652" i="1"/>
  <c r="F652" i="1" s="1"/>
  <c r="G653" i="1"/>
  <c r="F653" i="1" s="1"/>
  <c r="G654" i="1"/>
  <c r="F654" i="1" s="1"/>
  <c r="G655" i="1"/>
  <c r="F655" i="1" s="1"/>
  <c r="G656" i="1"/>
  <c r="F656" i="1" s="1"/>
  <c r="G657" i="1"/>
  <c r="F657" i="1" s="1"/>
  <c r="G658" i="1"/>
  <c r="F658" i="1" s="1"/>
  <c r="G659" i="1"/>
  <c r="F659" i="1" s="1"/>
  <c r="G660" i="1"/>
  <c r="F660" i="1" s="1"/>
  <c r="G661" i="1"/>
  <c r="F661" i="1" s="1"/>
  <c r="G662" i="1"/>
  <c r="F662" i="1" s="1"/>
  <c r="G663" i="1"/>
  <c r="F663" i="1" s="1"/>
  <c r="G664" i="1"/>
  <c r="F664" i="1" s="1"/>
  <c r="G665" i="1"/>
  <c r="F665" i="1" s="1"/>
  <c r="G666" i="1"/>
  <c r="F666" i="1" s="1"/>
  <c r="G667" i="1"/>
  <c r="F667" i="1" s="1"/>
  <c r="G668" i="1"/>
  <c r="F668" i="1" s="1"/>
  <c r="G669" i="1"/>
  <c r="F669" i="1" s="1"/>
  <c r="G670" i="1"/>
  <c r="F670" i="1" s="1"/>
  <c r="G671" i="1"/>
  <c r="F671" i="1" s="1"/>
  <c r="G672" i="1"/>
  <c r="F672" i="1" s="1"/>
  <c r="G673" i="1"/>
  <c r="F673" i="1" s="1"/>
  <c r="G674" i="1"/>
  <c r="F674" i="1" s="1"/>
  <c r="G675" i="1"/>
  <c r="F675" i="1" s="1"/>
  <c r="G676" i="1"/>
  <c r="F676" i="1" s="1"/>
  <c r="G677" i="1"/>
  <c r="F677" i="1" s="1"/>
  <c r="G678" i="1"/>
  <c r="F678" i="1" s="1"/>
  <c r="G679" i="1"/>
  <c r="F679" i="1" s="1"/>
  <c r="G680" i="1"/>
  <c r="F680" i="1" s="1"/>
  <c r="G681" i="1"/>
  <c r="F681" i="1" s="1"/>
  <c r="G682" i="1"/>
  <c r="F682" i="1" s="1"/>
  <c r="G683" i="1"/>
  <c r="F683" i="1" s="1"/>
  <c r="G684" i="1"/>
  <c r="F684" i="1" s="1"/>
  <c r="G685" i="1"/>
  <c r="F685" i="1" s="1"/>
  <c r="G686" i="1"/>
  <c r="F686" i="1" s="1"/>
  <c r="G687" i="1"/>
  <c r="F687" i="1" s="1"/>
  <c r="G688" i="1"/>
  <c r="F688" i="1" s="1"/>
  <c r="G689" i="1"/>
  <c r="F689" i="1" s="1"/>
  <c r="G690" i="1"/>
  <c r="F690" i="1" s="1"/>
  <c r="G691" i="1"/>
  <c r="F691" i="1" s="1"/>
  <c r="G692" i="1"/>
  <c r="F692" i="1" s="1"/>
  <c r="G693" i="1"/>
  <c r="F693" i="1" s="1"/>
  <c r="G694" i="1"/>
  <c r="F694" i="1" s="1"/>
  <c r="G695" i="1"/>
  <c r="F695" i="1" s="1"/>
  <c r="G696" i="1"/>
  <c r="F696" i="1" s="1"/>
  <c r="G697" i="1"/>
  <c r="F697" i="1" s="1"/>
  <c r="G698" i="1"/>
  <c r="F698" i="1" s="1"/>
  <c r="G699" i="1"/>
  <c r="F699" i="1" s="1"/>
  <c r="G700" i="1"/>
  <c r="F700" i="1" s="1"/>
  <c r="G701" i="1"/>
  <c r="F701" i="1" s="1"/>
  <c r="G702" i="1"/>
  <c r="F702" i="1" s="1"/>
  <c r="G703" i="1"/>
  <c r="F703" i="1" s="1"/>
  <c r="G704" i="1"/>
  <c r="F704" i="1" s="1"/>
  <c r="G705" i="1"/>
  <c r="F705" i="1" s="1"/>
  <c r="G706" i="1"/>
  <c r="F706" i="1" s="1"/>
  <c r="G707" i="1"/>
  <c r="F707" i="1" s="1"/>
  <c r="G708" i="1"/>
  <c r="F708" i="1" s="1"/>
  <c r="G709" i="1"/>
  <c r="F709" i="1" s="1"/>
  <c r="G710" i="1"/>
  <c r="F710" i="1" s="1"/>
  <c r="G711" i="1"/>
  <c r="F711" i="1" s="1"/>
  <c r="G712" i="1"/>
  <c r="F712" i="1" s="1"/>
  <c r="G713" i="1"/>
  <c r="F713" i="1" s="1"/>
  <c r="G714" i="1"/>
  <c r="F714" i="1" s="1"/>
  <c r="G715" i="1"/>
  <c r="F715" i="1" s="1"/>
  <c r="G716" i="1"/>
  <c r="F716" i="1" s="1"/>
  <c r="G717" i="1"/>
  <c r="F717" i="1" s="1"/>
  <c r="G718" i="1"/>
  <c r="F718" i="1" s="1"/>
  <c r="G719" i="1"/>
  <c r="F719" i="1" s="1"/>
  <c r="G720" i="1"/>
  <c r="F720" i="1" s="1"/>
  <c r="G721" i="1"/>
  <c r="F721" i="1" s="1"/>
  <c r="G722" i="1"/>
  <c r="F722" i="1" s="1"/>
  <c r="G723" i="1"/>
  <c r="F723" i="1" s="1"/>
  <c r="G724" i="1"/>
  <c r="F724" i="1" s="1"/>
  <c r="G725" i="1"/>
  <c r="F725" i="1" s="1"/>
  <c r="G726" i="1"/>
  <c r="F726" i="1" s="1"/>
  <c r="G727" i="1"/>
  <c r="F727" i="1" s="1"/>
  <c r="G728" i="1"/>
  <c r="F728" i="1" s="1"/>
  <c r="G729" i="1"/>
  <c r="F729" i="1" s="1"/>
  <c r="G730" i="1"/>
  <c r="F730" i="1" s="1"/>
  <c r="G731" i="1"/>
  <c r="F731" i="1" s="1"/>
  <c r="G732" i="1"/>
  <c r="F732" i="1" s="1"/>
  <c r="G733" i="1"/>
  <c r="F733" i="1" s="1"/>
  <c r="G734" i="1"/>
  <c r="F734" i="1" s="1"/>
  <c r="G735" i="1"/>
  <c r="F735" i="1" s="1"/>
  <c r="G736" i="1"/>
  <c r="F736" i="1" s="1"/>
  <c r="G737" i="1"/>
  <c r="F737" i="1" s="1"/>
  <c r="G738" i="1"/>
  <c r="F738" i="1" s="1"/>
  <c r="G739" i="1"/>
  <c r="F739" i="1" s="1"/>
  <c r="G740" i="1"/>
  <c r="F740" i="1" s="1"/>
  <c r="G741" i="1"/>
  <c r="F741" i="1" s="1"/>
  <c r="G742" i="1"/>
  <c r="F742" i="1" s="1"/>
  <c r="G743" i="1"/>
  <c r="F743" i="1" s="1"/>
  <c r="G744" i="1"/>
  <c r="F744" i="1" s="1"/>
  <c r="G745" i="1"/>
  <c r="F745" i="1" s="1"/>
  <c r="G746" i="1"/>
  <c r="F746" i="1" s="1"/>
  <c r="G747" i="1"/>
  <c r="F747" i="1" s="1"/>
  <c r="G748" i="1"/>
  <c r="F748" i="1" s="1"/>
  <c r="G749" i="1"/>
  <c r="F749" i="1" s="1"/>
  <c r="G750" i="1"/>
  <c r="F750" i="1" s="1"/>
  <c r="G751" i="1"/>
  <c r="F751" i="1" s="1"/>
  <c r="G752" i="1"/>
  <c r="F752" i="1" s="1"/>
  <c r="G753" i="1"/>
  <c r="F753" i="1" s="1"/>
  <c r="G754" i="1"/>
  <c r="F754" i="1" s="1"/>
  <c r="G755" i="1"/>
  <c r="F755" i="1" s="1"/>
  <c r="G756" i="1"/>
  <c r="F756" i="1" s="1"/>
  <c r="G757" i="1"/>
  <c r="F757" i="1" s="1"/>
  <c r="G758" i="1"/>
  <c r="F758" i="1" s="1"/>
  <c r="G759" i="1"/>
  <c r="F759" i="1" s="1"/>
  <c r="G760" i="1"/>
  <c r="F760" i="1" s="1"/>
  <c r="G761" i="1"/>
  <c r="F761" i="1" s="1"/>
  <c r="G762" i="1"/>
  <c r="F762" i="1" s="1"/>
  <c r="G763" i="1"/>
  <c r="F763" i="1" s="1"/>
  <c r="G764" i="1"/>
  <c r="F764" i="1" s="1"/>
  <c r="G765" i="1"/>
  <c r="F765" i="1" s="1"/>
  <c r="G766" i="1"/>
  <c r="F766" i="1" s="1"/>
  <c r="G767" i="1"/>
  <c r="F767" i="1" s="1"/>
  <c r="G768" i="1"/>
  <c r="F768" i="1" s="1"/>
  <c r="G769" i="1"/>
  <c r="F769" i="1" s="1"/>
  <c r="G770" i="1"/>
  <c r="F770" i="1" s="1"/>
  <c r="G771" i="1"/>
  <c r="F771" i="1" s="1"/>
  <c r="G772" i="1"/>
  <c r="F772" i="1" s="1"/>
  <c r="G773" i="1"/>
  <c r="F773" i="1" s="1"/>
  <c r="G774" i="1"/>
  <c r="F774" i="1" s="1"/>
  <c r="G775" i="1"/>
  <c r="F775" i="1" s="1"/>
  <c r="G776" i="1"/>
  <c r="F776" i="1" s="1"/>
  <c r="G777" i="1"/>
  <c r="F777" i="1" s="1"/>
  <c r="G778" i="1"/>
  <c r="F778" i="1" s="1"/>
  <c r="G779" i="1"/>
  <c r="F779" i="1" s="1"/>
  <c r="G780" i="1"/>
  <c r="F780" i="1" s="1"/>
  <c r="G781" i="1"/>
  <c r="F781" i="1" s="1"/>
  <c r="G782" i="1"/>
  <c r="F782" i="1" s="1"/>
  <c r="G783" i="1"/>
  <c r="F783" i="1" s="1"/>
  <c r="G784" i="1"/>
  <c r="F784" i="1" s="1"/>
  <c r="G785" i="1"/>
  <c r="F785" i="1" s="1"/>
  <c r="G786" i="1"/>
  <c r="F786" i="1" s="1"/>
  <c r="G787" i="1"/>
  <c r="F787" i="1" s="1"/>
  <c r="G788" i="1"/>
  <c r="F788" i="1" s="1"/>
  <c r="G789" i="1"/>
  <c r="F789" i="1" s="1"/>
  <c r="G790" i="1"/>
  <c r="F790" i="1" s="1"/>
  <c r="G791" i="1"/>
  <c r="F791" i="1" s="1"/>
  <c r="G792" i="1"/>
  <c r="F792" i="1" s="1"/>
  <c r="G793" i="1"/>
  <c r="F793" i="1" s="1"/>
  <c r="G794" i="1"/>
  <c r="F794" i="1" s="1"/>
  <c r="G795" i="1"/>
  <c r="F795" i="1" s="1"/>
  <c r="G796" i="1"/>
  <c r="F796" i="1" s="1"/>
  <c r="G797" i="1"/>
  <c r="F797" i="1" s="1"/>
  <c r="G798" i="1"/>
  <c r="F798" i="1" s="1"/>
  <c r="G799" i="1"/>
  <c r="F799" i="1" s="1"/>
  <c r="G800" i="1"/>
  <c r="F800" i="1" s="1"/>
  <c r="G801" i="1"/>
  <c r="F801" i="1" s="1"/>
  <c r="G802" i="1"/>
  <c r="F802" i="1" s="1"/>
  <c r="G803" i="1"/>
  <c r="F803" i="1" s="1"/>
  <c r="G804" i="1"/>
  <c r="F804" i="1" s="1"/>
  <c r="G805" i="1"/>
  <c r="F805" i="1" s="1"/>
  <c r="G806" i="1"/>
  <c r="F806" i="1" s="1"/>
  <c r="G807" i="1"/>
  <c r="F807" i="1" s="1"/>
  <c r="G808" i="1"/>
  <c r="F808" i="1" s="1"/>
  <c r="G809" i="1"/>
  <c r="F809" i="1" s="1"/>
  <c r="G810" i="1"/>
  <c r="F810" i="1" s="1"/>
  <c r="G811" i="1"/>
  <c r="F811" i="1" s="1"/>
  <c r="G812" i="1"/>
  <c r="F812" i="1" s="1"/>
  <c r="G813" i="1"/>
  <c r="F813" i="1" s="1"/>
  <c r="G814" i="1"/>
  <c r="F814" i="1" s="1"/>
  <c r="G815" i="1"/>
  <c r="F815" i="1" s="1"/>
  <c r="G816" i="1"/>
  <c r="F816" i="1" s="1"/>
  <c r="G817" i="1"/>
  <c r="F817" i="1" s="1"/>
  <c r="G818" i="1"/>
  <c r="F818" i="1" s="1"/>
  <c r="G819" i="1"/>
  <c r="F819" i="1" s="1"/>
  <c r="G820" i="1"/>
  <c r="F820" i="1" s="1"/>
  <c r="G821" i="1"/>
  <c r="F821" i="1" s="1"/>
  <c r="G822" i="1"/>
  <c r="F822" i="1" s="1"/>
  <c r="G823" i="1"/>
  <c r="F823" i="1" s="1"/>
  <c r="G824" i="1"/>
  <c r="F824" i="1" s="1"/>
  <c r="G825" i="1"/>
  <c r="F825" i="1" s="1"/>
  <c r="G826" i="1"/>
  <c r="F826" i="1" s="1"/>
  <c r="G827" i="1"/>
  <c r="F827" i="1" s="1"/>
  <c r="G828" i="1"/>
  <c r="F828" i="1" s="1"/>
  <c r="G829" i="1"/>
  <c r="F829" i="1" s="1"/>
  <c r="G830" i="1"/>
  <c r="F830" i="1" s="1"/>
  <c r="G831" i="1"/>
  <c r="F831" i="1" s="1"/>
  <c r="G832" i="1"/>
  <c r="F832" i="1" s="1"/>
  <c r="G833" i="1"/>
  <c r="F833" i="1" s="1"/>
  <c r="G834" i="1"/>
  <c r="F834" i="1" s="1"/>
  <c r="G835" i="1"/>
  <c r="F835" i="1" s="1"/>
  <c r="G836" i="1"/>
  <c r="F836" i="1" s="1"/>
  <c r="G837" i="1"/>
  <c r="F837" i="1" s="1"/>
  <c r="G838" i="1"/>
  <c r="F838" i="1" s="1"/>
  <c r="G839" i="1"/>
  <c r="F839" i="1" s="1"/>
  <c r="G840" i="1"/>
  <c r="F840" i="1" s="1"/>
  <c r="G841" i="1"/>
  <c r="F841" i="1" s="1"/>
  <c r="G842" i="1"/>
  <c r="F842" i="1" s="1"/>
  <c r="G843" i="1"/>
  <c r="F843" i="1" s="1"/>
  <c r="G844" i="1"/>
  <c r="F844" i="1" s="1"/>
  <c r="G845" i="1"/>
  <c r="F845" i="1" s="1"/>
  <c r="G846" i="1"/>
  <c r="F846" i="1" s="1"/>
  <c r="G847" i="1"/>
  <c r="F847" i="1" s="1"/>
  <c r="G848" i="1"/>
  <c r="F848" i="1" s="1"/>
  <c r="G849" i="1"/>
  <c r="F849" i="1" s="1"/>
  <c r="G850" i="1"/>
  <c r="F850" i="1" s="1"/>
  <c r="G851" i="1"/>
  <c r="F851" i="1" s="1"/>
  <c r="G852" i="1"/>
  <c r="F852" i="1" s="1"/>
  <c r="G853" i="1"/>
  <c r="F853" i="1" s="1"/>
  <c r="G854" i="1"/>
  <c r="F854" i="1" s="1"/>
  <c r="G855" i="1"/>
  <c r="F855" i="1" s="1"/>
  <c r="G856" i="1"/>
  <c r="F856" i="1" s="1"/>
  <c r="G857" i="1"/>
  <c r="F857" i="1" s="1"/>
  <c r="G858" i="1"/>
  <c r="F858" i="1" s="1"/>
  <c r="G859" i="1"/>
  <c r="F859" i="1" s="1"/>
  <c r="G860" i="1"/>
  <c r="F860" i="1" s="1"/>
  <c r="G861" i="1"/>
  <c r="F861" i="1" s="1"/>
  <c r="G862" i="1"/>
  <c r="F862" i="1" s="1"/>
  <c r="G863" i="1"/>
  <c r="F863" i="1" s="1"/>
  <c r="G864" i="1"/>
  <c r="F864" i="1" s="1"/>
  <c r="G865" i="1"/>
  <c r="F865" i="1" s="1"/>
  <c r="G866" i="1"/>
  <c r="F866" i="1" s="1"/>
  <c r="G867" i="1"/>
  <c r="F867" i="1" s="1"/>
  <c r="G868" i="1"/>
  <c r="F868" i="1" s="1"/>
  <c r="G869" i="1"/>
  <c r="F869" i="1" s="1"/>
  <c r="G870" i="1"/>
  <c r="F870" i="1" s="1"/>
  <c r="G871" i="1"/>
  <c r="F871" i="1" s="1"/>
  <c r="G872" i="1"/>
  <c r="F872" i="1" s="1"/>
  <c r="G873" i="1"/>
  <c r="F873" i="1" s="1"/>
  <c r="G874" i="1"/>
  <c r="F874" i="1" s="1"/>
  <c r="G875" i="1"/>
  <c r="F875" i="1" s="1"/>
  <c r="G876" i="1"/>
  <c r="F876" i="1" s="1"/>
  <c r="G877" i="1"/>
  <c r="F877" i="1" s="1"/>
  <c r="G878" i="1"/>
  <c r="F878" i="1" s="1"/>
  <c r="G879" i="1"/>
  <c r="F879" i="1" s="1"/>
  <c r="G880" i="1"/>
  <c r="F880" i="1" s="1"/>
  <c r="G881" i="1"/>
  <c r="F881" i="1" s="1"/>
  <c r="G882" i="1"/>
  <c r="F882" i="1" s="1"/>
  <c r="G883" i="1"/>
  <c r="F883" i="1" s="1"/>
  <c r="G884" i="1"/>
  <c r="F884" i="1" s="1"/>
  <c r="G885" i="1"/>
  <c r="F885" i="1" s="1"/>
  <c r="G886" i="1"/>
  <c r="F886" i="1" s="1"/>
  <c r="G887" i="1"/>
  <c r="F887" i="1" s="1"/>
  <c r="G888" i="1"/>
  <c r="F888" i="1" s="1"/>
  <c r="G889" i="1"/>
  <c r="F889" i="1" s="1"/>
  <c r="G890" i="1"/>
  <c r="F890" i="1" s="1"/>
  <c r="G891" i="1"/>
  <c r="F891" i="1" s="1"/>
  <c r="G892" i="1"/>
  <c r="F892" i="1" s="1"/>
  <c r="G893" i="1"/>
  <c r="F893" i="1" s="1"/>
  <c r="G894" i="1"/>
  <c r="F894" i="1" s="1"/>
  <c r="M675" i="1"/>
  <c r="M783" i="1"/>
  <c r="M878" i="1"/>
  <c r="M300" i="1"/>
  <c r="M627" i="1"/>
  <c r="M413" i="1"/>
  <c r="M147" i="1"/>
  <c r="M550" i="1"/>
  <c r="M496" i="1"/>
  <c r="M341" i="1"/>
  <c r="M815" i="1"/>
  <c r="M287" i="1"/>
  <c r="M687" i="1"/>
  <c r="M475" i="1"/>
  <c r="M571" i="1"/>
  <c r="M368" i="1"/>
  <c r="M636" i="1"/>
  <c r="M366" i="1"/>
  <c r="M436" i="1"/>
  <c r="M28" i="1"/>
  <c r="M351" i="1"/>
  <c r="M367" i="1"/>
  <c r="M416" i="1"/>
  <c r="M291" i="1"/>
  <c r="M551" i="1"/>
  <c r="M467" i="1"/>
  <c r="M24" i="1"/>
  <c r="M161" i="1"/>
  <c r="M421" i="1"/>
  <c r="M516" i="1"/>
  <c r="M785" i="1"/>
  <c r="M767" i="1"/>
  <c r="M426" i="1"/>
  <c r="M703" i="1"/>
  <c r="M787" i="1"/>
  <c r="M292" i="1"/>
  <c r="M54" i="1"/>
  <c r="M665" i="1"/>
  <c r="M437" i="1"/>
  <c r="M30" i="1"/>
  <c r="M96" i="1"/>
  <c r="M103" i="1"/>
  <c r="M546" i="1"/>
  <c r="M835" i="1"/>
  <c r="M420" i="1"/>
  <c r="M817" i="1"/>
  <c r="M615" i="1"/>
  <c r="M134" i="1"/>
  <c r="M38" i="1"/>
  <c r="M531" i="1"/>
  <c r="M657" i="1"/>
  <c r="M674" i="1"/>
  <c r="M769" i="1"/>
  <c r="M75" i="1"/>
  <c r="M270" i="1"/>
  <c r="M160" i="1"/>
  <c r="M710" i="1"/>
  <c r="M69" i="1"/>
  <c r="M719" i="1"/>
  <c r="M727" i="1"/>
  <c r="M50" i="1"/>
  <c r="M273" i="1"/>
  <c r="M227" i="1"/>
  <c r="M485" i="1"/>
  <c r="M789" i="1"/>
  <c r="M36" i="1"/>
  <c r="M708" i="1"/>
  <c r="M829" i="1"/>
  <c r="M656" i="1"/>
  <c r="M408" i="1"/>
  <c r="M714" i="1"/>
  <c r="M728" i="1"/>
  <c r="M823" i="1"/>
  <c r="M57" i="1"/>
  <c r="M6" i="1"/>
  <c r="M501" i="1"/>
  <c r="M509" i="1"/>
  <c r="M628" i="1"/>
  <c r="M375" i="1"/>
  <c r="M588" i="1"/>
  <c r="M440" i="1"/>
  <c r="M449" i="1"/>
  <c r="M418" i="1"/>
  <c r="M265" i="1"/>
  <c r="M845" i="1"/>
  <c r="M654" i="1"/>
  <c r="M886" i="1"/>
  <c r="M860" i="1"/>
  <c r="M162" i="1"/>
  <c r="M432" i="1"/>
  <c r="M433" i="1"/>
  <c r="M493" i="1"/>
  <c r="M891" i="1"/>
  <c r="M701" i="1"/>
  <c r="M584" i="1"/>
  <c r="M630" i="1"/>
  <c r="M797" i="1"/>
  <c r="M808" i="1"/>
  <c r="M325" i="1"/>
  <c r="M364" i="1"/>
  <c r="M539" i="1"/>
  <c r="M515" i="1"/>
  <c r="M212" i="1"/>
  <c r="M94" i="1"/>
  <c r="M652" i="1"/>
  <c r="M508" i="1"/>
  <c r="M431" i="1"/>
  <c r="M393" i="1"/>
  <c r="M543" i="1"/>
  <c r="M622" i="1"/>
  <c r="M240" i="1"/>
  <c r="M41" i="1"/>
  <c r="M412" i="1"/>
  <c r="M85" i="1"/>
  <c r="M20" i="1"/>
  <c r="M874" i="1"/>
  <c r="M613" i="1"/>
  <c r="M104" i="1"/>
  <c r="M765" i="1"/>
  <c r="M476" i="1"/>
  <c r="M824" i="1"/>
  <c r="M693" i="1"/>
  <c r="M342" i="1"/>
  <c r="M178" i="1"/>
  <c r="M213" i="1"/>
  <c r="M31" i="1"/>
  <c r="M616" i="1"/>
  <c r="M694" i="1"/>
  <c r="M48" i="1"/>
  <c r="M456" i="1"/>
  <c r="M535" i="1"/>
  <c r="M848" i="1"/>
  <c r="M690" i="1"/>
  <c r="M315" i="1"/>
  <c r="M707" i="1"/>
  <c r="M839" i="1"/>
  <c r="M107" i="1"/>
  <c r="M301" i="1"/>
  <c r="M92" i="1"/>
  <c r="M778" i="1"/>
  <c r="M55" i="1"/>
  <c r="M474" i="1"/>
  <c r="M876" i="1"/>
  <c r="M596" i="1"/>
  <c r="M327" i="1"/>
  <c r="M715" i="1"/>
  <c r="M563" i="1"/>
  <c r="M887" i="1"/>
  <c r="M317" i="1"/>
  <c r="M361" i="1"/>
  <c r="M828" i="1"/>
  <c r="M281" i="1"/>
  <c r="M667" i="1"/>
  <c r="M691" i="1"/>
  <c r="M747" i="1"/>
  <c r="M782" i="1"/>
  <c r="M214" i="1"/>
  <c r="M862" i="1"/>
  <c r="M396" i="1"/>
  <c r="M734" i="1"/>
  <c r="M625" i="1"/>
  <c r="M717" i="1"/>
  <c r="M461" i="1"/>
  <c r="M403" i="1"/>
  <c r="M658" i="1"/>
  <c r="M577" i="1"/>
  <c r="M268" i="1"/>
  <c r="M486" i="1"/>
  <c r="M754" i="1"/>
  <c r="M7" i="1"/>
  <c r="M244" i="1"/>
  <c r="M637" i="1"/>
  <c r="M497" i="1"/>
  <c r="M867" i="1"/>
  <c r="M153" i="1"/>
  <c r="M570" i="1"/>
  <c r="M79" i="1"/>
  <c r="M780" i="1"/>
  <c r="M390" i="1"/>
  <c r="M748" i="1"/>
  <c r="M735" i="1"/>
  <c r="M838" i="1"/>
  <c r="M468" i="1"/>
  <c r="M320" i="1"/>
  <c r="M409" i="1"/>
  <c r="M279" i="1"/>
  <c r="M611" i="1"/>
  <c r="M251" i="1"/>
  <c r="M592" i="1"/>
  <c r="M541" i="1"/>
  <c r="M331" i="1"/>
  <c r="M187" i="1"/>
  <c r="M564" i="1"/>
  <c r="M318" i="1"/>
  <c r="M793" i="1"/>
  <c r="M768" i="1"/>
  <c r="M608" i="1"/>
  <c r="M88" i="1"/>
  <c r="M614" i="1"/>
  <c r="M378" i="1"/>
  <c r="M442" i="1"/>
  <c r="M736" i="1"/>
  <c r="M649" i="1"/>
  <c r="M22" i="1"/>
  <c r="M682" i="1"/>
  <c r="M453" i="1"/>
  <c r="M655" i="1"/>
  <c r="M70" i="1"/>
  <c r="M604" i="1"/>
  <c r="M257" i="1"/>
  <c r="M850" i="1"/>
  <c r="M742" i="1"/>
  <c r="M678" i="1"/>
  <c r="M382" i="1"/>
  <c r="M601" i="1"/>
  <c r="M209" i="1"/>
  <c r="M879" i="1"/>
  <c r="M354" i="1"/>
  <c r="M116" i="1"/>
  <c r="M892" i="1"/>
  <c r="M861" i="1"/>
  <c r="M309" i="1"/>
  <c r="M170" i="1"/>
  <c r="M529" i="1"/>
  <c r="M158" i="1"/>
  <c r="M814" i="1"/>
  <c r="M881" i="1"/>
  <c r="M677" i="1"/>
  <c r="M334" i="1"/>
  <c r="M80" i="1"/>
  <c r="M228" i="1"/>
  <c r="M460" i="1"/>
  <c r="M337" i="1"/>
  <c r="M469" i="1"/>
  <c r="M709" i="1"/>
  <c r="M890" i="1"/>
  <c r="M176" i="1"/>
  <c r="M711" i="1"/>
  <c r="M191" i="1"/>
  <c r="M844" i="1"/>
  <c r="M42" i="1"/>
  <c r="M602" i="1"/>
  <c r="M883" i="1"/>
  <c r="M866" i="1"/>
  <c r="M67" i="1"/>
  <c r="M156" i="1"/>
  <c r="M463" i="1"/>
  <c r="M386" i="1"/>
  <c r="M105" i="1"/>
  <c r="M357" i="1"/>
  <c r="M576" i="1"/>
  <c r="M454" i="1"/>
  <c r="M272" i="1"/>
  <c r="M688" i="1"/>
  <c r="M609" i="1"/>
  <c r="M29" i="1"/>
  <c r="M775" i="1"/>
  <c r="M234" i="1"/>
  <c r="M798" i="1"/>
  <c r="M322" i="1"/>
  <c r="M642" i="1"/>
  <c r="M470" i="1"/>
  <c r="M237" i="1"/>
  <c r="M256" i="1"/>
  <c r="M634" i="1"/>
  <c r="M699" i="1"/>
  <c r="M659" i="1"/>
  <c r="M482" i="1"/>
  <c r="M772" i="1"/>
  <c r="M809" i="1"/>
  <c r="M297" i="1"/>
  <c r="M749" i="1"/>
  <c r="M380" i="1"/>
  <c r="M781" i="1"/>
  <c r="M618" i="1"/>
  <c r="M126" i="1"/>
  <c r="M464" i="1"/>
  <c r="M345" i="1"/>
  <c r="M638" i="1"/>
  <c r="M705" i="1"/>
  <c r="M427" i="1"/>
  <c r="M492" i="1"/>
  <c r="M448" i="1"/>
  <c r="M685" i="1"/>
  <c r="M264" i="1"/>
  <c r="M533" i="1"/>
  <c r="M446" i="1"/>
  <c r="M507" i="1"/>
  <c r="M344" i="1"/>
  <c r="M617" i="1"/>
  <c r="M154" i="1"/>
  <c r="M117" i="1"/>
  <c r="M842" i="1"/>
  <c r="M530" i="1"/>
  <c r="M528" i="1"/>
  <c r="M796" i="1"/>
  <c r="M66" i="1"/>
  <c r="M283" i="1"/>
  <c r="M167" i="1"/>
  <c r="M766" i="1"/>
  <c r="M102" i="1"/>
  <c r="M598" i="1"/>
  <c r="M750" i="1"/>
  <c r="M313" i="1"/>
  <c r="M679" i="1"/>
  <c r="M284" i="1"/>
  <c r="M141" i="1"/>
  <c r="M806" i="1"/>
  <c r="M752" i="1"/>
  <c r="M763" i="1"/>
  <c r="M111" i="1"/>
  <c r="M790" i="1"/>
  <c r="M388" i="1"/>
  <c r="M537" i="1"/>
  <c r="M743" i="1"/>
  <c r="M495" i="1"/>
  <c r="M365" i="1"/>
  <c r="M192" i="1"/>
  <c r="M221" i="1"/>
  <c r="M138" i="1"/>
  <c r="M676" i="1"/>
  <c r="M519" i="1"/>
  <c r="M333" i="1"/>
  <c r="M376" i="1"/>
  <c r="M737" i="1"/>
  <c r="M810" i="1"/>
  <c r="M434" i="1"/>
  <c r="M189" i="1"/>
  <c r="M578" i="1"/>
  <c r="M246" i="1"/>
  <c r="M599" i="1"/>
  <c r="M260" i="1"/>
  <c r="M773" i="1"/>
  <c r="M438" i="1"/>
  <c r="M794" i="1"/>
  <c r="M524" i="1"/>
  <c r="M282" i="1"/>
  <c r="M139" i="1"/>
  <c r="M99" i="1"/>
  <c r="M288" i="1"/>
  <c r="M319" i="1"/>
  <c r="M163" i="1"/>
  <c r="M377" i="1"/>
  <c r="M363" i="1"/>
  <c r="M316" i="1"/>
  <c r="M374" i="1"/>
  <c r="M206" i="1"/>
  <c r="M643" i="1"/>
  <c r="M722" i="1"/>
  <c r="M400" i="1"/>
  <c r="M91" i="1"/>
  <c r="M271" i="1"/>
  <c r="M68" i="1"/>
  <c r="M532" i="1"/>
  <c r="M26" i="1"/>
  <c r="M452" i="1"/>
  <c r="M269" i="1"/>
  <c r="M340" i="1"/>
  <c r="M417" i="1"/>
  <c r="M423" i="1"/>
  <c r="M487" i="1"/>
  <c r="M843" i="1"/>
  <c r="M64" i="1"/>
  <c r="M849" i="1"/>
  <c r="M612" i="1"/>
  <c r="M697" i="1"/>
  <c r="M243" i="1"/>
  <c r="M19" i="1"/>
  <c r="M136" i="1"/>
  <c r="M759" i="1"/>
  <c r="M110" i="1"/>
  <c r="M651" i="1"/>
  <c r="M411" i="1"/>
  <c r="M811" i="1"/>
  <c r="M552" i="1"/>
  <c r="M788" i="1"/>
  <c r="M698" i="1"/>
  <c r="M267" i="1"/>
  <c r="M27" i="1"/>
  <c r="M462" i="1"/>
  <c r="M802" i="1"/>
  <c r="M32" i="1"/>
  <c r="M873" i="1"/>
  <c r="M293" i="1"/>
  <c r="M525" i="1"/>
  <c r="M825" i="1"/>
  <c r="M729" i="1"/>
  <c r="M179" i="1"/>
  <c r="M606" i="1"/>
  <c r="M831" i="1"/>
  <c r="M275" i="1"/>
  <c r="M559" i="1"/>
  <c r="M653" i="1"/>
  <c r="M210" i="1"/>
  <c r="M816" i="1"/>
  <c r="M568" i="1"/>
  <c r="M572" i="1"/>
  <c r="M185" i="1"/>
  <c r="M360" i="1"/>
  <c r="M353" i="1"/>
  <c r="M871" i="1"/>
  <c r="M428" i="1"/>
  <c r="M86" i="1"/>
  <c r="M877" i="1"/>
  <c r="M405" i="1"/>
  <c r="M190" i="1"/>
  <c r="M459" i="1"/>
  <c r="M196" i="1"/>
  <c r="M394" i="1"/>
  <c r="M81" i="1"/>
  <c r="M521" i="1"/>
  <c r="M648" i="1"/>
  <c r="M157" i="1"/>
  <c r="M346" i="1"/>
  <c r="M863" i="1"/>
  <c r="M430" i="1"/>
  <c r="M183" i="1"/>
  <c r="M389" i="1"/>
  <c r="M184" i="1"/>
  <c r="M443" i="1"/>
  <c r="M547" i="1"/>
  <c r="M686" i="1"/>
  <c r="M397" i="1"/>
  <c r="M472" i="1"/>
  <c r="M610" i="1"/>
  <c r="M673" i="1"/>
  <c r="M13" i="1"/>
  <c r="M391" i="1"/>
  <c r="M595" i="1"/>
  <c r="M852" i="1"/>
  <c r="M242" i="1"/>
  <c r="M631" i="1"/>
  <c r="M833" i="1"/>
  <c r="M865" i="1"/>
  <c r="M129" i="1"/>
  <c r="M276" i="1"/>
  <c r="M888" i="1"/>
  <c r="M197" i="1"/>
  <c r="M164" i="1"/>
  <c r="M700" i="1"/>
  <c r="M744" i="1"/>
  <c r="M441" i="1"/>
  <c r="M466" i="1"/>
  <c r="M324" i="1"/>
  <c r="M233" i="1"/>
  <c r="M207" i="1"/>
  <c r="M381" i="1"/>
  <c r="M295" i="1"/>
  <c r="M43" i="1"/>
  <c r="M289" i="1"/>
  <c r="M720" i="1"/>
  <c r="M231" i="1"/>
  <c r="M262" i="1"/>
  <c r="M145" i="1"/>
  <c r="M680" i="1"/>
  <c r="M534" i="1"/>
  <c r="M131" i="1"/>
  <c r="M148" i="1"/>
  <c r="M746" i="1"/>
  <c r="M621" i="1"/>
  <c r="M165" i="1"/>
  <c r="M585" i="1"/>
  <c r="M245" i="1"/>
  <c r="M330" i="1"/>
  <c r="M692" i="1"/>
  <c r="M847" i="1"/>
  <c r="M347" i="1"/>
  <c r="M294" i="1"/>
  <c r="M216" i="1"/>
  <c r="M44" i="1"/>
  <c r="M410" i="1"/>
  <c r="M401" i="1"/>
  <c r="M721" i="1"/>
  <c r="M834" i="1"/>
  <c r="M98" i="1"/>
  <c r="M241" i="1"/>
  <c r="M203" i="1"/>
  <c r="M77" i="1"/>
  <c r="M569" i="1"/>
  <c r="M664" i="1"/>
  <c r="M730" i="1"/>
  <c r="M348" i="1"/>
  <c r="M683" i="1"/>
  <c r="M83" i="1"/>
  <c r="M118" i="1"/>
  <c r="M82" i="1"/>
  <c r="M159" i="1"/>
  <c r="M114" i="1"/>
  <c r="M668" i="1"/>
  <c r="M723" i="1"/>
  <c r="M232" i="1"/>
  <c r="M857" i="1"/>
  <c r="M290" i="1"/>
  <c r="M792" i="1"/>
  <c r="M669" i="1"/>
  <c r="M21" i="1"/>
  <c r="M223" i="1"/>
  <c r="M725" i="1"/>
  <c r="M285" i="1"/>
  <c r="M560" i="1"/>
  <c r="M399" i="1"/>
  <c r="M590" i="1"/>
  <c r="M414" i="1"/>
  <c r="M84" i="1"/>
  <c r="M235" i="1"/>
  <c r="M807" i="1"/>
  <c r="M174" i="1"/>
  <c r="M250" i="1"/>
  <c r="M695" i="1"/>
  <c r="M8" i="1"/>
  <c r="M635" i="1"/>
  <c r="M856" i="1"/>
  <c r="M755" i="1"/>
  <c r="M786" i="1"/>
  <c r="M510" i="1"/>
  <c r="M226" i="1"/>
  <c r="M718" i="1"/>
  <c r="M623" i="1"/>
  <c r="M314" i="1"/>
  <c r="M536" i="1"/>
  <c r="M121" i="1"/>
  <c r="M545" i="1"/>
  <c r="M17" i="1"/>
  <c r="M247" i="1"/>
  <c r="M72" i="1"/>
  <c r="M605" i="1"/>
  <c r="M882" i="1"/>
  <c r="M762" i="1"/>
  <c r="M663" i="1"/>
  <c r="M194" i="1"/>
  <c r="M175" i="1"/>
  <c r="M25" i="1"/>
  <c r="M63" i="1"/>
  <c r="M49" i="1"/>
  <c r="M398" i="1"/>
  <c r="M745" i="1"/>
  <c r="M261" i="1"/>
  <c r="M812" i="1"/>
  <c r="M582" i="1"/>
  <c r="M133" i="1"/>
  <c r="M893" i="1"/>
  <c r="M477" i="1"/>
  <c r="M478" i="1"/>
  <c r="M73" i="1"/>
  <c r="M813" i="1"/>
  <c r="M4" i="1"/>
  <c r="M74" i="1"/>
  <c r="M840" i="1"/>
  <c r="M579" i="1"/>
  <c r="M716" i="1"/>
  <c r="M142" i="1"/>
  <c r="M362" i="1"/>
  <c r="M422" i="1"/>
  <c r="M15" i="1"/>
  <c r="M483" i="1"/>
  <c r="M305" i="1"/>
  <c r="M109" i="1"/>
  <c r="M803" i="1"/>
  <c r="M238" i="1"/>
  <c r="M435" i="1"/>
  <c r="M626" i="1"/>
  <c r="M544" i="1"/>
  <c r="M307" i="1"/>
  <c r="M859" i="1"/>
  <c r="M853" i="1"/>
  <c r="M670" i="1"/>
  <c r="M506" i="1"/>
  <c r="M553" i="1"/>
  <c r="M60" i="1"/>
  <c r="M573" i="1"/>
  <c r="M830" i="1"/>
  <c r="M113" i="1"/>
  <c r="M756" i="1"/>
  <c r="M135" i="1"/>
  <c r="M672" i="1"/>
  <c r="M574" i="1"/>
  <c r="M356" i="1"/>
  <c r="M130" i="1"/>
  <c r="M62" i="1"/>
  <c r="M869" i="1"/>
  <c r="M343" i="1"/>
  <c r="M143" i="1"/>
  <c r="M186" i="1"/>
  <c r="M123" i="1"/>
  <c r="M76" i="1"/>
  <c r="M239" i="1"/>
  <c r="M338" i="1"/>
  <c r="M132" i="1"/>
  <c r="M137" i="1"/>
  <c r="M666" i="1"/>
  <c r="M864" i="1"/>
  <c r="M224" i="1"/>
  <c r="M684" i="1"/>
  <c r="M591" i="1"/>
  <c r="M832" i="1"/>
  <c r="M444" i="1"/>
  <c r="M370" i="1"/>
  <c r="M751" i="1"/>
  <c r="M40" i="1"/>
  <c r="M764" i="1"/>
  <c r="M355" i="1"/>
  <c r="M514" i="1"/>
  <c r="M296" i="1"/>
  <c r="M586" i="1"/>
  <c r="M249" i="1"/>
  <c r="M554" i="1"/>
  <c r="M540" i="1"/>
  <c r="M302" i="1"/>
  <c r="M836" i="1"/>
  <c r="M774" i="1"/>
  <c r="M479" i="1"/>
  <c r="M846" i="1"/>
  <c r="M603" i="1"/>
  <c r="M620" i="1"/>
  <c r="M587" i="1"/>
  <c r="M310" i="1"/>
  <c r="M473" i="1"/>
  <c r="M689" i="1"/>
  <c r="M321" i="1"/>
  <c r="M205" i="1"/>
  <c r="M34" i="1"/>
  <c r="M108" i="1"/>
  <c r="M33" i="1"/>
  <c r="M558" i="1"/>
  <c r="M229" i="1"/>
  <c r="M225" i="1"/>
  <c r="M308" i="1"/>
  <c r="M127" i="1"/>
  <c r="M523" i="1"/>
  <c r="M424" i="1"/>
  <c r="M177" i="1"/>
  <c r="M499" i="1"/>
  <c r="M125" i="1"/>
  <c r="M253" i="1"/>
  <c r="M488" i="1"/>
  <c r="M339" i="1"/>
  <c r="M872" i="1"/>
  <c r="M712" i="1"/>
  <c r="M660" i="1"/>
  <c r="M632" i="1"/>
  <c r="M567" i="1"/>
  <c r="M760" i="1"/>
  <c r="M489" i="1"/>
  <c r="M9" i="1"/>
  <c r="M45" i="1"/>
  <c r="M770" i="1"/>
  <c r="M527" i="1"/>
  <c r="M124" i="1"/>
  <c r="M822" i="1"/>
  <c r="M733" i="1"/>
  <c r="M520" i="1"/>
  <c r="M326" i="1"/>
  <c r="M101" i="1"/>
  <c r="M415" i="1"/>
  <c r="M597" i="1"/>
  <c r="M826" i="1"/>
  <c r="M522" i="1"/>
  <c r="M593" i="1"/>
  <c r="M202" i="1"/>
  <c r="M211" i="1"/>
  <c r="M795" i="1"/>
  <c r="M16" i="1"/>
  <c r="M89" i="1"/>
  <c r="M511" i="1"/>
  <c r="M868" i="1"/>
  <c r="M827" i="1"/>
  <c r="M332" i="1"/>
  <c r="M395" i="1"/>
  <c r="M681" i="1"/>
  <c r="M168" i="1"/>
  <c r="M200" i="1"/>
  <c r="M741" i="1"/>
  <c r="M704" i="1"/>
  <c r="M359" i="1"/>
  <c r="M350" i="1"/>
  <c r="M555" i="1"/>
  <c r="M429" i="1"/>
  <c r="M87" i="1"/>
  <c r="M731" i="1"/>
  <c r="M799" i="1"/>
  <c r="M419" i="1"/>
  <c r="M771" i="1"/>
  <c r="M90" i="1"/>
  <c r="M732" i="1"/>
  <c r="M201" i="1"/>
  <c r="M837" i="1"/>
  <c r="M661" i="1"/>
  <c r="M526" i="1"/>
  <c r="M561" i="1"/>
  <c r="M171" i="1"/>
  <c r="M151" i="1"/>
  <c r="M548" i="1"/>
  <c r="M10" i="1"/>
  <c r="M52" i="1"/>
  <c r="M299" i="1"/>
  <c r="M373" i="1"/>
  <c r="M581" i="1"/>
  <c r="M215" i="1"/>
  <c r="M144" i="1"/>
  <c r="M500" i="1"/>
  <c r="M804" i="1"/>
  <c r="M757" i="1"/>
  <c r="M65" i="1"/>
  <c r="M218" i="1"/>
  <c r="M556" i="1"/>
  <c r="M392" i="1"/>
  <c r="M312" i="1"/>
  <c r="M758" i="1"/>
  <c r="M286" i="1"/>
  <c r="M37" i="1"/>
  <c r="M761" i="1"/>
  <c r="M259" i="1"/>
  <c r="M169" i="1"/>
  <c r="M95" i="1"/>
  <c r="M383" i="1"/>
  <c r="M502" i="1"/>
  <c r="M805" i="1"/>
  <c r="M208" i="1"/>
  <c r="M217" i="1"/>
  <c r="M457" i="1"/>
  <c r="M371" i="1"/>
  <c r="M566" i="1"/>
  <c r="M119" i="1"/>
  <c r="M379" i="1"/>
  <c r="M303" i="1"/>
  <c r="M404" i="1"/>
  <c r="M204" i="1"/>
  <c r="M220" i="1"/>
  <c r="M336" i="1"/>
  <c r="M875" i="1"/>
  <c r="M172" i="1"/>
  <c r="M71" i="1"/>
  <c r="M349" i="1"/>
  <c r="M188" i="1"/>
  <c r="M328" i="1"/>
  <c r="M230" i="1"/>
  <c r="M889" i="1"/>
  <c r="M800" i="1"/>
  <c r="M503" i="1"/>
  <c r="M518" i="1"/>
  <c r="M140" i="1"/>
  <c r="M155" i="1"/>
  <c r="M791" i="1"/>
  <c r="M633" i="1"/>
  <c r="M870" i="1"/>
  <c r="M894" i="1"/>
  <c r="M706" i="1"/>
  <c r="M385" i="1"/>
  <c r="M280" i="1"/>
  <c r="M425" i="1"/>
  <c r="M193" i="1"/>
  <c r="M646" i="1"/>
  <c r="M450" i="1"/>
  <c r="M505" i="1"/>
  <c r="M311" i="1"/>
  <c r="M387" i="1"/>
  <c r="M562" i="1"/>
  <c r="M199" i="1"/>
  <c r="M580" i="1"/>
  <c r="M236" i="1"/>
  <c r="M575" i="1"/>
  <c r="M854" i="1"/>
  <c r="M39" i="1"/>
  <c r="M277" i="1"/>
  <c r="M465" i="1"/>
  <c r="M128" i="1"/>
  <c r="M258" i="1"/>
  <c r="M594" i="1"/>
  <c r="M624" i="1"/>
  <c r="M100" i="1"/>
  <c r="M451" i="1"/>
  <c r="M565" i="1"/>
  <c r="M820" i="1"/>
  <c r="M53" i="1"/>
  <c r="M195" i="1"/>
  <c r="M471" i="1"/>
  <c r="M641" i="1"/>
  <c r="M589" i="1"/>
  <c r="M219" i="1"/>
  <c r="M173" i="1"/>
  <c r="M61" i="1"/>
  <c r="M152" i="1"/>
  <c r="M266" i="1"/>
  <c r="M884" i="1"/>
  <c r="M851" i="1"/>
  <c r="M629" i="1"/>
  <c r="M650" i="1"/>
  <c r="M639" i="1"/>
  <c r="M702" i="1"/>
  <c r="M779" i="1"/>
  <c r="M120" i="1"/>
  <c r="M352" i="1"/>
  <c r="M738" i="1"/>
  <c r="M784" i="1"/>
  <c r="M504" i="1"/>
  <c r="M182" i="1"/>
  <c r="M149" i="1"/>
  <c r="M538" i="1"/>
  <c r="M59" i="1"/>
  <c r="M445" i="1"/>
  <c r="M384" i="1"/>
  <c r="M713" i="1"/>
  <c r="M278" i="1"/>
  <c r="M18" i="1"/>
  <c r="M491" i="1"/>
  <c r="M458" i="1"/>
  <c r="M252" i="1"/>
  <c r="M484" i="1"/>
  <c r="M369" i="1"/>
  <c r="M304" i="1"/>
  <c r="M78" i="1"/>
  <c r="M671" i="1"/>
  <c r="M181" i="1"/>
  <c r="M480" i="1"/>
  <c r="M583" i="1"/>
  <c r="M255" i="1"/>
  <c r="M880" i="1"/>
  <c r="M818" i="1"/>
  <c r="M696" i="1"/>
  <c r="M490" i="1"/>
  <c r="M122" i="1"/>
  <c r="M407" i="1"/>
  <c r="M166" i="1"/>
  <c r="M647" i="1"/>
  <c r="M662" i="1"/>
  <c r="M607" i="1"/>
  <c r="M11" i="1"/>
  <c r="M819" i="1"/>
  <c r="M600" i="1"/>
  <c r="M274" i="1"/>
  <c r="M35" i="1"/>
  <c r="M198" i="1"/>
  <c r="M51" i="1"/>
  <c r="M494" i="1"/>
  <c r="M14" i="1"/>
  <c r="M801" i="1"/>
  <c r="M406" i="1"/>
  <c r="M645" i="1"/>
  <c r="M12" i="1"/>
  <c r="M115" i="1"/>
  <c r="M855" i="1"/>
  <c r="M821" i="1"/>
  <c r="M298" i="1"/>
  <c r="M58" i="1"/>
  <c r="M402" i="1"/>
  <c r="M724" i="1"/>
  <c r="M739" i="1"/>
  <c r="M513" i="1"/>
  <c r="M372" i="1"/>
  <c r="M146" i="1"/>
  <c r="M481" i="1"/>
  <c r="M455" i="1"/>
  <c r="M56" i="1"/>
  <c r="M777" i="1"/>
  <c r="M358" i="1"/>
  <c r="M644" i="1"/>
  <c r="M222" i="1"/>
  <c r="M263" i="1"/>
  <c r="M46" i="1"/>
  <c r="M23" i="1"/>
  <c r="M557" i="1"/>
  <c r="M180" i="1"/>
  <c r="M150" i="1"/>
  <c r="M740" i="1"/>
  <c r="M329" i="1"/>
  <c r="M335" i="1"/>
  <c r="M841" i="1"/>
  <c r="M776" i="1"/>
  <c r="M447" i="1"/>
  <c r="M498" i="1"/>
  <c r="M542" i="1"/>
  <c r="M106" i="1"/>
  <c r="M5" i="1"/>
  <c r="M439" i="1"/>
  <c r="M753" i="1"/>
  <c r="M47" i="1"/>
  <c r="M93" i="1"/>
  <c r="M512" i="1"/>
  <c r="M517" i="1"/>
  <c r="M112" i="1"/>
  <c r="M323" i="1"/>
  <c r="M549" i="1"/>
  <c r="M97" i="1"/>
  <c r="M726" i="1"/>
  <c r="M858" i="1"/>
  <c r="M640" i="1"/>
  <c r="M306" i="1"/>
  <c r="M254" i="1"/>
  <c r="M885" i="1"/>
  <c r="M248" i="1"/>
  <c r="M619" i="1"/>
  <c r="O675" i="1"/>
  <c r="O783" i="1"/>
  <c r="O878" i="1"/>
  <c r="O300" i="1"/>
  <c r="O627" i="1"/>
  <c r="O413" i="1"/>
  <c r="O147" i="1"/>
  <c r="O550" i="1"/>
  <c r="O496" i="1"/>
  <c r="O341" i="1"/>
  <c r="O815" i="1"/>
  <c r="O287" i="1"/>
  <c r="O687" i="1"/>
  <c r="O475" i="1"/>
  <c r="O571" i="1"/>
  <c r="O368" i="1"/>
  <c r="O636" i="1"/>
  <c r="O366" i="1"/>
  <c r="O436" i="1"/>
  <c r="O28" i="1"/>
  <c r="O351" i="1"/>
  <c r="O367" i="1"/>
  <c r="O416" i="1"/>
  <c r="O291" i="1"/>
  <c r="O551" i="1"/>
  <c r="O467" i="1"/>
  <c r="O24" i="1"/>
  <c r="O161" i="1"/>
  <c r="O421" i="1"/>
  <c r="O516" i="1"/>
  <c r="O785" i="1"/>
  <c r="O767" i="1"/>
  <c r="O426" i="1"/>
  <c r="O703" i="1"/>
  <c r="O787" i="1"/>
  <c r="O292" i="1"/>
  <c r="O54" i="1"/>
  <c r="O665" i="1"/>
  <c r="O437" i="1"/>
  <c r="O30" i="1"/>
  <c r="O96" i="1"/>
  <c r="O103" i="1"/>
  <c r="O546" i="1"/>
  <c r="O835" i="1"/>
  <c r="O420" i="1"/>
  <c r="O817" i="1"/>
  <c r="O615" i="1"/>
  <c r="O134" i="1"/>
  <c r="O38" i="1"/>
  <c r="O531" i="1"/>
  <c r="O657" i="1"/>
  <c r="O674" i="1"/>
  <c r="O769" i="1"/>
  <c r="O75" i="1"/>
  <c r="O270" i="1"/>
  <c r="O160" i="1"/>
  <c r="O710" i="1"/>
  <c r="O69" i="1"/>
  <c r="O719" i="1"/>
  <c r="O727" i="1"/>
  <c r="O50" i="1"/>
  <c r="O273" i="1"/>
  <c r="O227" i="1"/>
  <c r="O485" i="1"/>
  <c r="O789" i="1"/>
  <c r="O36" i="1"/>
  <c r="O708" i="1"/>
  <c r="O829" i="1"/>
  <c r="O656" i="1"/>
  <c r="O408" i="1"/>
  <c r="O714" i="1"/>
  <c r="O728" i="1"/>
  <c r="O823" i="1"/>
  <c r="O57" i="1"/>
  <c r="O6" i="1"/>
  <c r="O501" i="1"/>
  <c r="O509" i="1"/>
  <c r="O628" i="1"/>
  <c r="O375" i="1"/>
  <c r="O588" i="1"/>
  <c r="O440" i="1"/>
  <c r="O449" i="1"/>
  <c r="O418" i="1"/>
  <c r="O265" i="1"/>
  <c r="O845" i="1"/>
  <c r="O654" i="1"/>
  <c r="O886" i="1"/>
  <c r="O860" i="1"/>
  <c r="O162" i="1"/>
  <c r="O432" i="1"/>
  <c r="O433" i="1"/>
  <c r="O493" i="1"/>
  <c r="O891" i="1"/>
  <c r="O701" i="1"/>
  <c r="O584" i="1"/>
  <c r="O630" i="1"/>
  <c r="O797" i="1"/>
  <c r="O808" i="1"/>
  <c r="O325" i="1"/>
  <c r="O364" i="1"/>
  <c r="O539" i="1"/>
  <c r="O515" i="1"/>
  <c r="O212" i="1"/>
  <c r="O94" i="1"/>
  <c r="O652" i="1"/>
  <c r="O508" i="1"/>
  <c r="O431" i="1"/>
  <c r="O393" i="1"/>
  <c r="O543" i="1"/>
  <c r="O622" i="1"/>
  <c r="O240" i="1"/>
  <c r="O41" i="1"/>
  <c r="O412" i="1"/>
  <c r="O85" i="1"/>
  <c r="O20" i="1"/>
  <c r="O874" i="1"/>
  <c r="O613" i="1"/>
  <c r="O104" i="1"/>
  <c r="O765" i="1"/>
  <c r="O476" i="1"/>
  <c r="O824" i="1"/>
  <c r="O693" i="1"/>
  <c r="O342" i="1"/>
  <c r="O178" i="1"/>
  <c r="O213" i="1"/>
  <c r="O31" i="1"/>
  <c r="O616" i="1"/>
  <c r="O694" i="1"/>
  <c r="O48" i="1"/>
  <c r="O456" i="1"/>
  <c r="O535" i="1"/>
  <c r="O848" i="1"/>
  <c r="O690" i="1"/>
  <c r="O315" i="1"/>
  <c r="O707" i="1"/>
  <c r="O839" i="1"/>
  <c r="O107" i="1"/>
  <c r="O301" i="1"/>
  <c r="O92" i="1"/>
  <c r="O778" i="1"/>
  <c r="O55" i="1"/>
  <c r="O474" i="1"/>
  <c r="O876" i="1"/>
  <c r="O596" i="1"/>
  <c r="O327" i="1"/>
  <c r="O715" i="1"/>
  <c r="O563" i="1"/>
  <c r="O887" i="1"/>
  <c r="O317" i="1"/>
  <c r="O361" i="1"/>
  <c r="O828" i="1"/>
  <c r="O281" i="1"/>
  <c r="O667" i="1"/>
  <c r="O691" i="1"/>
  <c r="O747" i="1"/>
  <c r="O782" i="1"/>
  <c r="O214" i="1"/>
  <c r="O862" i="1"/>
  <c r="O396" i="1"/>
  <c r="O734" i="1"/>
  <c r="O625" i="1"/>
  <c r="O717" i="1"/>
  <c r="O461" i="1"/>
  <c r="O403" i="1"/>
  <c r="O658" i="1"/>
  <c r="O577" i="1"/>
  <c r="O268" i="1"/>
  <c r="O486" i="1"/>
  <c r="O754" i="1"/>
  <c r="O7" i="1"/>
  <c r="O244" i="1"/>
  <c r="O637" i="1"/>
  <c r="O497" i="1"/>
  <c r="O867" i="1"/>
  <c r="O153" i="1"/>
  <c r="O570" i="1"/>
  <c r="O79" i="1"/>
  <c r="O780" i="1"/>
  <c r="O390" i="1"/>
  <c r="O748" i="1"/>
  <c r="O735" i="1"/>
  <c r="O838" i="1"/>
  <c r="O468" i="1"/>
  <c r="O320" i="1"/>
  <c r="O409" i="1"/>
  <c r="O279" i="1"/>
  <c r="O611" i="1"/>
  <c r="O251" i="1"/>
  <c r="O592" i="1"/>
  <c r="O541" i="1"/>
  <c r="O331" i="1"/>
  <c r="O187" i="1"/>
  <c r="O564" i="1"/>
  <c r="O318" i="1"/>
  <c r="O793" i="1"/>
  <c r="O768" i="1"/>
  <c r="O608" i="1"/>
  <c r="O88" i="1"/>
  <c r="O614" i="1"/>
  <c r="O378" i="1"/>
  <c r="O442" i="1"/>
  <c r="O736" i="1"/>
  <c r="O649" i="1"/>
  <c r="O22" i="1"/>
  <c r="O682" i="1"/>
  <c r="O453" i="1"/>
  <c r="O655" i="1"/>
  <c r="O70" i="1"/>
  <c r="O604" i="1"/>
  <c r="O257" i="1"/>
  <c r="O850" i="1"/>
  <c r="O742" i="1"/>
  <c r="O678" i="1"/>
  <c r="O382" i="1"/>
  <c r="O601" i="1"/>
  <c r="O209" i="1"/>
  <c r="O879" i="1"/>
  <c r="O354" i="1"/>
  <c r="O116" i="1"/>
  <c r="O892" i="1"/>
  <c r="O861" i="1"/>
  <c r="O309" i="1"/>
  <c r="O170" i="1"/>
  <c r="O529" i="1"/>
  <c r="O158" i="1"/>
  <c r="O814" i="1"/>
  <c r="O881" i="1"/>
  <c r="O677" i="1"/>
  <c r="O334" i="1"/>
  <c r="O80" i="1"/>
  <c r="O228" i="1"/>
  <c r="O460" i="1"/>
  <c r="O337" i="1"/>
  <c r="O469" i="1"/>
  <c r="O709" i="1"/>
  <c r="O890" i="1"/>
  <c r="O176" i="1"/>
  <c r="O711" i="1"/>
  <c r="O191" i="1"/>
  <c r="O844" i="1"/>
  <c r="O42" i="1"/>
  <c r="O602" i="1"/>
  <c r="O883" i="1"/>
  <c r="O866" i="1"/>
  <c r="O67" i="1"/>
  <c r="O156" i="1"/>
  <c r="O463" i="1"/>
  <c r="O386" i="1"/>
  <c r="O105" i="1"/>
  <c r="O357" i="1"/>
  <c r="O576" i="1"/>
  <c r="O454" i="1"/>
  <c r="O272" i="1"/>
  <c r="O688" i="1"/>
  <c r="O609" i="1"/>
  <c r="O29" i="1"/>
  <c r="O775" i="1"/>
  <c r="O234" i="1"/>
  <c r="O798" i="1"/>
  <c r="O322" i="1"/>
  <c r="O642" i="1"/>
  <c r="O470" i="1"/>
  <c r="O237" i="1"/>
  <c r="O256" i="1"/>
  <c r="O634" i="1"/>
  <c r="O699" i="1"/>
  <c r="O659" i="1"/>
  <c r="O482" i="1"/>
  <c r="O772" i="1"/>
  <c r="O809" i="1"/>
  <c r="O297" i="1"/>
  <c r="O749" i="1"/>
  <c r="O380" i="1"/>
  <c r="O781" i="1"/>
  <c r="O618" i="1"/>
  <c r="O126" i="1"/>
  <c r="O464" i="1"/>
  <c r="O345" i="1"/>
  <c r="O638" i="1"/>
  <c r="O705" i="1"/>
  <c r="O427" i="1"/>
  <c r="O492" i="1"/>
  <c r="O448" i="1"/>
  <c r="O685" i="1"/>
  <c r="O264" i="1"/>
  <c r="O533" i="1"/>
  <c r="O446" i="1"/>
  <c r="O507" i="1"/>
  <c r="O344" i="1"/>
  <c r="O617" i="1"/>
  <c r="O154" i="1"/>
  <c r="O117" i="1"/>
  <c r="O842" i="1"/>
  <c r="O530" i="1"/>
  <c r="O528" i="1"/>
  <c r="O796" i="1"/>
  <c r="O66" i="1"/>
  <c r="O283" i="1"/>
  <c r="O167" i="1"/>
  <c r="O766" i="1"/>
  <c r="O102" i="1"/>
  <c r="O598" i="1"/>
  <c r="O750" i="1"/>
  <c r="O313" i="1"/>
  <c r="O679" i="1"/>
  <c r="O284" i="1"/>
  <c r="O141" i="1"/>
  <c r="O806" i="1"/>
  <c r="O752" i="1"/>
  <c r="O763" i="1"/>
  <c r="O111" i="1"/>
  <c r="O790" i="1"/>
  <c r="O388" i="1"/>
  <c r="O537" i="1"/>
  <c r="O743" i="1"/>
  <c r="O495" i="1"/>
  <c r="O365" i="1"/>
  <c r="O192" i="1"/>
  <c r="O221" i="1"/>
  <c r="O138" i="1"/>
  <c r="O676" i="1"/>
  <c r="O519" i="1"/>
  <c r="O333" i="1"/>
  <c r="O376" i="1"/>
  <c r="O737" i="1"/>
  <c r="O810" i="1"/>
  <c r="O434" i="1"/>
  <c r="O189" i="1"/>
  <c r="O578" i="1"/>
  <c r="O246" i="1"/>
  <c r="O599" i="1"/>
  <c r="O260" i="1"/>
  <c r="O773" i="1"/>
  <c r="O438" i="1"/>
  <c r="O794" i="1"/>
  <c r="O524" i="1"/>
  <c r="O282" i="1"/>
  <c r="O139" i="1"/>
  <c r="O99" i="1"/>
  <c r="O288" i="1"/>
  <c r="O319" i="1"/>
  <c r="O163" i="1"/>
  <c r="O377" i="1"/>
  <c r="O363" i="1"/>
  <c r="O316" i="1"/>
  <c r="O374" i="1"/>
  <c r="O206" i="1"/>
  <c r="O643" i="1"/>
  <c r="O722" i="1"/>
  <c r="O400" i="1"/>
  <c r="O91" i="1"/>
  <c r="O271" i="1"/>
  <c r="O68" i="1"/>
  <c r="O532" i="1"/>
  <c r="O26" i="1"/>
  <c r="O452" i="1"/>
  <c r="O269" i="1"/>
  <c r="O340" i="1"/>
  <c r="O417" i="1"/>
  <c r="O423" i="1"/>
  <c r="O487" i="1"/>
  <c r="O843" i="1"/>
  <c r="O64" i="1"/>
  <c r="O849" i="1"/>
  <c r="O612" i="1"/>
  <c r="O697" i="1"/>
  <c r="O243" i="1"/>
  <c r="O19" i="1"/>
  <c r="O136" i="1"/>
  <c r="O759" i="1"/>
  <c r="O110" i="1"/>
  <c r="O651" i="1"/>
  <c r="O411" i="1"/>
  <c r="O811" i="1"/>
  <c r="O552" i="1"/>
  <c r="O788" i="1"/>
  <c r="O698" i="1"/>
  <c r="O267" i="1"/>
  <c r="O27" i="1"/>
  <c r="O462" i="1"/>
  <c r="O802" i="1"/>
  <c r="O32" i="1"/>
  <c r="O873" i="1"/>
  <c r="O293" i="1"/>
  <c r="O525" i="1"/>
  <c r="O825" i="1"/>
  <c r="O729" i="1"/>
  <c r="O179" i="1"/>
  <c r="O606" i="1"/>
  <c r="O831" i="1"/>
  <c r="O275" i="1"/>
  <c r="O559" i="1"/>
  <c r="O653" i="1"/>
  <c r="O210" i="1"/>
  <c r="O816" i="1"/>
  <c r="O568" i="1"/>
  <c r="O572" i="1"/>
  <c r="O185" i="1"/>
  <c r="O360" i="1"/>
  <c r="O353" i="1"/>
  <c r="O871" i="1"/>
  <c r="O428" i="1"/>
  <c r="O86" i="1"/>
  <c r="O877" i="1"/>
  <c r="O405" i="1"/>
  <c r="O190" i="1"/>
  <c r="O459" i="1"/>
  <c r="O196" i="1"/>
  <c r="O394" i="1"/>
  <c r="O81" i="1"/>
  <c r="O521" i="1"/>
  <c r="O648" i="1"/>
  <c r="O157" i="1"/>
  <c r="O346" i="1"/>
  <c r="O863" i="1"/>
  <c r="O430" i="1"/>
  <c r="O183" i="1"/>
  <c r="O389" i="1"/>
  <c r="O184" i="1"/>
  <c r="O443" i="1"/>
  <c r="O547" i="1"/>
  <c r="O686" i="1"/>
  <c r="O397" i="1"/>
  <c r="O472" i="1"/>
  <c r="O610" i="1"/>
  <c r="O673" i="1"/>
  <c r="O13" i="1"/>
  <c r="O391" i="1"/>
  <c r="O595" i="1"/>
  <c r="O852" i="1"/>
  <c r="O242" i="1"/>
  <c r="O631" i="1"/>
  <c r="O833" i="1"/>
  <c r="O865" i="1"/>
  <c r="O129" i="1"/>
  <c r="O276" i="1"/>
  <c r="O888" i="1"/>
  <c r="O197" i="1"/>
  <c r="O164" i="1"/>
  <c r="O700" i="1"/>
  <c r="O744" i="1"/>
  <c r="O441" i="1"/>
  <c r="O466" i="1"/>
  <c r="O324" i="1"/>
  <c r="O233" i="1"/>
  <c r="O207" i="1"/>
  <c r="O381" i="1"/>
  <c r="O295" i="1"/>
  <c r="O43" i="1"/>
  <c r="O289" i="1"/>
  <c r="O720" i="1"/>
  <c r="O231" i="1"/>
  <c r="O262" i="1"/>
  <c r="O145" i="1"/>
  <c r="O680" i="1"/>
  <c r="O534" i="1"/>
  <c r="O131" i="1"/>
  <c r="O148" i="1"/>
  <c r="O746" i="1"/>
  <c r="O621" i="1"/>
  <c r="O165" i="1"/>
  <c r="O585" i="1"/>
  <c r="O245" i="1"/>
  <c r="O330" i="1"/>
  <c r="O692" i="1"/>
  <c r="O847" i="1"/>
  <c r="O347" i="1"/>
  <c r="O294" i="1"/>
  <c r="O216" i="1"/>
  <c r="O44" i="1"/>
  <c r="O410" i="1"/>
  <c r="O401" i="1"/>
  <c r="O721" i="1"/>
  <c r="O834" i="1"/>
  <c r="O98" i="1"/>
  <c r="O241" i="1"/>
  <c r="O203" i="1"/>
  <c r="O77" i="1"/>
  <c r="O569" i="1"/>
  <c r="O664" i="1"/>
  <c r="O730" i="1"/>
  <c r="O348" i="1"/>
  <c r="O683" i="1"/>
  <c r="O83" i="1"/>
  <c r="O118" i="1"/>
  <c r="O82" i="1"/>
  <c r="O159" i="1"/>
  <c r="O114" i="1"/>
  <c r="O668" i="1"/>
  <c r="O723" i="1"/>
  <c r="O232" i="1"/>
  <c r="O857" i="1"/>
  <c r="O290" i="1"/>
  <c r="O792" i="1"/>
  <c r="O669" i="1"/>
  <c r="O21" i="1"/>
  <c r="O223" i="1"/>
  <c r="O725" i="1"/>
  <c r="O285" i="1"/>
  <c r="O560" i="1"/>
  <c r="O399" i="1"/>
  <c r="O590" i="1"/>
  <c r="O414" i="1"/>
  <c r="O84" i="1"/>
  <c r="O235" i="1"/>
  <c r="O807" i="1"/>
  <c r="O174" i="1"/>
  <c r="O250" i="1"/>
  <c r="O695" i="1"/>
  <c r="O8" i="1"/>
  <c r="O635" i="1"/>
  <c r="O856" i="1"/>
  <c r="O755" i="1"/>
  <c r="O786" i="1"/>
  <c r="O510" i="1"/>
  <c r="O226" i="1"/>
  <c r="O718" i="1"/>
  <c r="O623" i="1"/>
  <c r="O314" i="1"/>
  <c r="O536" i="1"/>
  <c r="O121" i="1"/>
  <c r="O545" i="1"/>
  <c r="O17" i="1"/>
  <c r="O247" i="1"/>
  <c r="O72" i="1"/>
  <c r="O605" i="1"/>
  <c r="O882" i="1"/>
  <c r="O762" i="1"/>
  <c r="O663" i="1"/>
  <c r="O194" i="1"/>
  <c r="O175" i="1"/>
  <c r="O25" i="1"/>
  <c r="O63" i="1"/>
  <c r="O49" i="1"/>
  <c r="O398" i="1"/>
  <c r="O745" i="1"/>
  <c r="O261" i="1"/>
  <c r="O812" i="1"/>
  <c r="O582" i="1"/>
  <c r="O133" i="1"/>
  <c r="O893" i="1"/>
  <c r="O477" i="1"/>
  <c r="O478" i="1"/>
  <c r="O73" i="1"/>
  <c r="O813" i="1"/>
  <c r="O4" i="1"/>
  <c r="O74" i="1"/>
  <c r="O840" i="1"/>
  <c r="O579" i="1"/>
  <c r="O716" i="1"/>
  <c r="O142" i="1"/>
  <c r="O362" i="1"/>
  <c r="O422" i="1"/>
  <c r="O15" i="1"/>
  <c r="O483" i="1"/>
  <c r="O305" i="1"/>
  <c r="O109" i="1"/>
  <c r="O803" i="1"/>
  <c r="O238" i="1"/>
  <c r="O435" i="1"/>
  <c r="O626" i="1"/>
  <c r="O544" i="1"/>
  <c r="O307" i="1"/>
  <c r="O859" i="1"/>
  <c r="O853" i="1"/>
  <c r="O670" i="1"/>
  <c r="O506" i="1"/>
  <c r="O553" i="1"/>
  <c r="O60" i="1"/>
  <c r="O573" i="1"/>
  <c r="O830" i="1"/>
  <c r="O113" i="1"/>
  <c r="O756" i="1"/>
  <c r="O135" i="1"/>
  <c r="O672" i="1"/>
  <c r="O574" i="1"/>
  <c r="O356" i="1"/>
  <c r="O130" i="1"/>
  <c r="O62" i="1"/>
  <c r="O869" i="1"/>
  <c r="O343" i="1"/>
  <c r="O143" i="1"/>
  <c r="O186" i="1"/>
  <c r="O123" i="1"/>
  <c r="O76" i="1"/>
  <c r="O239" i="1"/>
  <c r="O338" i="1"/>
  <c r="O132" i="1"/>
  <c r="O137" i="1"/>
  <c r="O666" i="1"/>
  <c r="O864" i="1"/>
  <c r="O224" i="1"/>
  <c r="O684" i="1"/>
  <c r="O591" i="1"/>
  <c r="O832" i="1"/>
  <c r="O444" i="1"/>
  <c r="O370" i="1"/>
  <c r="O751" i="1"/>
  <c r="O40" i="1"/>
  <c r="O764" i="1"/>
  <c r="O355" i="1"/>
  <c r="O514" i="1"/>
  <c r="O296" i="1"/>
  <c r="O586" i="1"/>
  <c r="O249" i="1"/>
  <c r="O554" i="1"/>
  <c r="O540" i="1"/>
  <c r="O302" i="1"/>
  <c r="O836" i="1"/>
  <c r="O774" i="1"/>
  <c r="O479" i="1"/>
  <c r="O846" i="1"/>
  <c r="O603" i="1"/>
  <c r="O620" i="1"/>
  <c r="O587" i="1"/>
  <c r="O310" i="1"/>
  <c r="O473" i="1"/>
  <c r="O689" i="1"/>
  <c r="O321" i="1"/>
  <c r="O205" i="1"/>
  <c r="O34" i="1"/>
  <c r="O108" i="1"/>
  <c r="O33" i="1"/>
  <c r="O558" i="1"/>
  <c r="O229" i="1"/>
  <c r="O225" i="1"/>
  <c r="O308" i="1"/>
  <c r="O127" i="1"/>
  <c r="O523" i="1"/>
  <c r="O424" i="1"/>
  <c r="O177" i="1"/>
  <c r="O499" i="1"/>
  <c r="O125" i="1"/>
  <c r="O253" i="1"/>
  <c r="O488" i="1"/>
  <c r="O339" i="1"/>
  <c r="O872" i="1"/>
  <c r="O712" i="1"/>
  <c r="O660" i="1"/>
  <c r="O632" i="1"/>
  <c r="O567" i="1"/>
  <c r="O760" i="1"/>
  <c r="O489" i="1"/>
  <c r="O9" i="1"/>
  <c r="O45" i="1"/>
  <c r="O770" i="1"/>
  <c r="O527" i="1"/>
  <c r="O124" i="1"/>
  <c r="O822" i="1"/>
  <c r="O733" i="1"/>
  <c r="O520" i="1"/>
  <c r="O326" i="1"/>
  <c r="O101" i="1"/>
  <c r="O415" i="1"/>
  <c r="O597" i="1"/>
  <c r="O826" i="1"/>
  <c r="O522" i="1"/>
  <c r="O593" i="1"/>
  <c r="O202" i="1"/>
  <c r="O211" i="1"/>
  <c r="O795" i="1"/>
  <c r="O16" i="1"/>
  <c r="O89" i="1"/>
  <c r="O511" i="1"/>
  <c r="O868" i="1"/>
  <c r="O827" i="1"/>
  <c r="O332" i="1"/>
  <c r="O395" i="1"/>
  <c r="O681" i="1"/>
  <c r="O168" i="1"/>
  <c r="O200" i="1"/>
  <c r="O741" i="1"/>
  <c r="O704" i="1"/>
  <c r="O359" i="1"/>
  <c r="O350" i="1"/>
  <c r="O555" i="1"/>
  <c r="O429" i="1"/>
  <c r="O87" i="1"/>
  <c r="O731" i="1"/>
  <c r="O799" i="1"/>
  <c r="O419" i="1"/>
  <c r="O771" i="1"/>
  <c r="O90" i="1"/>
  <c r="O732" i="1"/>
  <c r="O201" i="1"/>
  <c r="O837" i="1"/>
  <c r="O661" i="1"/>
  <c r="O526" i="1"/>
  <c r="O561" i="1"/>
  <c r="O171" i="1"/>
  <c r="O151" i="1"/>
  <c r="O548" i="1"/>
  <c r="O10" i="1"/>
  <c r="O52" i="1"/>
  <c r="O299" i="1"/>
  <c r="O373" i="1"/>
  <c r="O581" i="1"/>
  <c r="O215" i="1"/>
  <c r="O144" i="1"/>
  <c r="O500" i="1"/>
  <c r="O804" i="1"/>
  <c r="O757" i="1"/>
  <c r="O65" i="1"/>
  <c r="O218" i="1"/>
  <c r="O556" i="1"/>
  <c r="O392" i="1"/>
  <c r="O312" i="1"/>
  <c r="O758" i="1"/>
  <c r="O286" i="1"/>
  <c r="O37" i="1"/>
  <c r="O761" i="1"/>
  <c r="O259" i="1"/>
  <c r="O169" i="1"/>
  <c r="O95" i="1"/>
  <c r="O383" i="1"/>
  <c r="O502" i="1"/>
  <c r="O805" i="1"/>
  <c r="O208" i="1"/>
  <c r="O217" i="1"/>
  <c r="O457" i="1"/>
  <c r="O371" i="1"/>
  <c r="O566" i="1"/>
  <c r="O119" i="1"/>
  <c r="O379" i="1"/>
  <c r="O303" i="1"/>
  <c r="O404" i="1"/>
  <c r="O204" i="1"/>
  <c r="O220" i="1"/>
  <c r="O336" i="1"/>
  <c r="O875" i="1"/>
  <c r="O172" i="1"/>
  <c r="O71" i="1"/>
  <c r="O349" i="1"/>
  <c r="O188" i="1"/>
  <c r="O328" i="1"/>
  <c r="O230" i="1"/>
  <c r="O889" i="1"/>
  <c r="O800" i="1"/>
  <c r="O503" i="1"/>
  <c r="O518" i="1"/>
  <c r="O140" i="1"/>
  <c r="O155" i="1"/>
  <c r="O791" i="1"/>
  <c r="O633" i="1"/>
  <c r="O870" i="1"/>
  <c r="O894" i="1"/>
  <c r="O706" i="1"/>
  <c r="O385" i="1"/>
  <c r="O280" i="1"/>
  <c r="O425" i="1"/>
  <c r="O193" i="1"/>
  <c r="O646" i="1"/>
  <c r="O450" i="1"/>
  <c r="O505" i="1"/>
  <c r="O311" i="1"/>
  <c r="O387" i="1"/>
  <c r="O562" i="1"/>
  <c r="O199" i="1"/>
  <c r="O580" i="1"/>
  <c r="O236" i="1"/>
  <c r="O575" i="1"/>
  <c r="O854" i="1"/>
  <c r="O39" i="1"/>
  <c r="O277" i="1"/>
  <c r="O465" i="1"/>
  <c r="O128" i="1"/>
  <c r="O258" i="1"/>
  <c r="O594" i="1"/>
  <c r="O624" i="1"/>
  <c r="O100" i="1"/>
  <c r="O451" i="1"/>
  <c r="O565" i="1"/>
  <c r="O820" i="1"/>
  <c r="O53" i="1"/>
  <c r="O195" i="1"/>
  <c r="O471" i="1"/>
  <c r="O641" i="1"/>
  <c r="O589" i="1"/>
  <c r="O219" i="1"/>
  <c r="O173" i="1"/>
  <c r="O61" i="1"/>
  <c r="O152" i="1"/>
  <c r="O266" i="1"/>
  <c r="O884" i="1"/>
  <c r="O851" i="1"/>
  <c r="O629" i="1"/>
  <c r="O650" i="1"/>
  <c r="O639" i="1"/>
  <c r="O702" i="1"/>
  <c r="O779" i="1"/>
  <c r="O120" i="1"/>
  <c r="O352" i="1"/>
  <c r="O738" i="1"/>
  <c r="O784" i="1"/>
  <c r="O504" i="1"/>
  <c r="O182" i="1"/>
  <c r="O149" i="1"/>
  <c r="O538" i="1"/>
  <c r="O59" i="1"/>
  <c r="O445" i="1"/>
  <c r="O384" i="1"/>
  <c r="O713" i="1"/>
  <c r="O278" i="1"/>
  <c r="O18" i="1"/>
  <c r="O491" i="1"/>
  <c r="O458" i="1"/>
  <c r="O252" i="1"/>
  <c r="O484" i="1"/>
  <c r="O369" i="1"/>
  <c r="O304" i="1"/>
  <c r="O78" i="1"/>
  <c r="O671" i="1"/>
  <c r="O181" i="1"/>
  <c r="O480" i="1"/>
  <c r="O583" i="1"/>
  <c r="O255" i="1"/>
  <c r="O880" i="1"/>
  <c r="O818" i="1"/>
  <c r="O696" i="1"/>
  <c r="O490" i="1"/>
  <c r="O122" i="1"/>
  <c r="O407" i="1"/>
  <c r="O166" i="1"/>
  <c r="O647" i="1"/>
  <c r="O662" i="1"/>
  <c r="O607" i="1"/>
  <c r="O11" i="1"/>
  <c r="O819" i="1"/>
  <c r="O600" i="1"/>
  <c r="O274" i="1"/>
  <c r="O35" i="1"/>
  <c r="O198" i="1"/>
  <c r="O51" i="1"/>
  <c r="O494" i="1"/>
  <c r="O14" i="1"/>
  <c r="O801" i="1"/>
  <c r="O406" i="1"/>
  <c r="O645" i="1"/>
  <c r="O12" i="1"/>
  <c r="O115" i="1"/>
  <c r="O855" i="1"/>
  <c r="O821" i="1"/>
  <c r="O298" i="1"/>
  <c r="O58" i="1"/>
  <c r="O402" i="1"/>
  <c r="O724" i="1"/>
  <c r="O739" i="1"/>
  <c r="O513" i="1"/>
  <c r="O372" i="1"/>
  <c r="O146" i="1"/>
  <c r="O481" i="1"/>
  <c r="O455" i="1"/>
  <c r="O56" i="1"/>
  <c r="O777" i="1"/>
  <c r="O358" i="1"/>
  <c r="O644" i="1"/>
  <c r="O222" i="1"/>
  <c r="O263" i="1"/>
  <c r="O46" i="1"/>
  <c r="O23" i="1"/>
  <c r="O557" i="1"/>
  <c r="O180" i="1"/>
  <c r="O150" i="1"/>
  <c r="O740" i="1"/>
  <c r="O329" i="1"/>
  <c r="O335" i="1"/>
  <c r="O841" i="1"/>
  <c r="O776" i="1"/>
  <c r="O447" i="1"/>
  <c r="O498" i="1"/>
  <c r="O542" i="1"/>
  <c r="O106" i="1"/>
  <c r="O5" i="1"/>
  <c r="O439" i="1"/>
  <c r="O753" i="1"/>
  <c r="O47" i="1"/>
  <c r="O93" i="1"/>
  <c r="O512" i="1"/>
  <c r="O517" i="1"/>
  <c r="O112" i="1"/>
  <c r="O323" i="1"/>
  <c r="O549" i="1"/>
  <c r="O97" i="1"/>
  <c r="O726" i="1"/>
  <c r="O858" i="1"/>
  <c r="O640" i="1"/>
  <c r="O306" i="1"/>
  <c r="O254" i="1"/>
  <c r="O885" i="1"/>
  <c r="O248" i="1"/>
  <c r="O619" i="1"/>
  <c r="N8" i="10"/>
  <c r="D5" i="4" l="1"/>
  <c r="D51" i="4"/>
  <c r="E63" i="4"/>
  <c r="B51" i="4"/>
  <c r="D22" i="4"/>
  <c r="E5" i="7"/>
  <c r="N10" i="10" s="1"/>
  <c r="O10" i="10" s="1"/>
  <c r="O12" i="10"/>
  <c r="O8" i="10"/>
  <c r="E24" i="4"/>
  <c r="C51" i="4"/>
  <c r="D23" i="4"/>
  <c r="H60" i="4"/>
  <c r="B63" i="4"/>
  <c r="H61" i="4"/>
  <c r="I59" i="4"/>
  <c r="D21" i="4"/>
  <c r="I60" i="4"/>
  <c r="C63" i="4"/>
  <c r="I61" i="4"/>
  <c r="E22" i="4"/>
  <c r="D24" i="4"/>
  <c r="H59" i="4"/>
  <c r="E21" i="4"/>
  <c r="F63" i="4"/>
  <c r="E23" i="4"/>
  <c r="A888" i="8"/>
  <c r="A880" i="8"/>
  <c r="A872" i="8"/>
  <c r="A864" i="8"/>
  <c r="A856" i="8"/>
  <c r="A848" i="8"/>
  <c r="A840" i="8"/>
  <c r="A832" i="8"/>
  <c r="A824" i="8"/>
  <c r="A816" i="8"/>
  <c r="A808" i="8"/>
  <c r="A800" i="8"/>
  <c r="A792" i="8"/>
  <c r="A784" i="8"/>
  <c r="A776" i="8"/>
  <c r="A768" i="8"/>
  <c r="A760" i="8"/>
  <c r="A752" i="8"/>
  <c r="A744" i="8"/>
  <c r="A736" i="8"/>
  <c r="A728" i="8"/>
  <c r="A720" i="8"/>
  <c r="A712" i="8"/>
  <c r="A704" i="8"/>
  <c r="A688" i="8"/>
  <c r="A664" i="8"/>
  <c r="A640" i="8"/>
  <c r="A616" i="8"/>
  <c r="A592" i="8"/>
  <c r="A560" i="8"/>
  <c r="A536" i="8"/>
  <c r="A512" i="8"/>
  <c r="A488" i="8"/>
  <c r="A464" i="8"/>
  <c r="A440" i="8"/>
  <c r="A416" i="8"/>
  <c r="A392" i="8"/>
  <c r="A376" i="8"/>
  <c r="A336" i="8"/>
  <c r="A312" i="8"/>
  <c r="A296" i="8"/>
  <c r="A264" i="8"/>
  <c r="A248" i="8"/>
  <c r="A216" i="8"/>
  <c r="A885" i="8"/>
  <c r="A869" i="8"/>
  <c r="A861" i="8"/>
  <c r="A853" i="8"/>
  <c r="A837" i="8"/>
  <c r="A829" i="8"/>
  <c r="A813" i="8"/>
  <c r="A805" i="8"/>
  <c r="A797" i="8"/>
  <c r="A765" i="8"/>
  <c r="A741" i="8"/>
  <c r="A733" i="8"/>
  <c r="A677" i="8"/>
  <c r="A669" i="8"/>
  <c r="A613" i="8"/>
  <c r="A605" i="8"/>
  <c r="A549" i="8"/>
  <c r="A541" i="8"/>
  <c r="A485" i="8"/>
  <c r="A477" i="8"/>
  <c r="A421" i="8"/>
  <c r="A413" i="8"/>
  <c r="A357" i="8"/>
  <c r="A349" i="8"/>
  <c r="A293" i="8"/>
  <c r="A285" i="8"/>
  <c r="A229" i="8"/>
  <c r="A221" i="8"/>
  <c r="A884" i="8"/>
  <c r="A868" i="8"/>
  <c r="A844" i="8"/>
  <c r="A828" i="8"/>
  <c r="A788" i="8"/>
  <c r="A668" i="8"/>
  <c r="A404" i="8"/>
  <c r="A276" i="8"/>
  <c r="A220" i="8"/>
  <c r="A204" i="8"/>
  <c r="A180" i="8"/>
  <c r="A172" i="8"/>
  <c r="A148" i="8"/>
  <c r="A140" i="8"/>
  <c r="A132" i="8"/>
  <c r="A124" i="8"/>
  <c r="A116" i="8"/>
  <c r="A108" i="8"/>
  <c r="A100" i="8"/>
  <c r="A92" i="8"/>
  <c r="A84" i="8"/>
  <c r="A76" i="8"/>
  <c r="A68" i="8"/>
  <c r="A60" i="8"/>
  <c r="A52" i="8"/>
  <c r="A44" i="8"/>
  <c r="A36" i="8"/>
  <c r="A28" i="8"/>
  <c r="A20" i="8"/>
  <c r="A12" i="8"/>
  <c r="A4" i="8"/>
  <c r="A876" i="8"/>
  <c r="A852" i="8"/>
  <c r="A820" i="8"/>
  <c r="A796" i="8"/>
  <c r="A724" i="8"/>
  <c r="A604" i="8"/>
  <c r="A540" i="8"/>
  <c r="A476" i="8"/>
  <c r="A340" i="8"/>
  <c r="A212" i="8"/>
  <c r="A196" i="8"/>
  <c r="A164" i="8"/>
  <c r="A891" i="8"/>
  <c r="A883" i="8"/>
  <c r="A875" i="8"/>
  <c r="A859" i="8"/>
  <c r="A851" i="8"/>
  <c r="A843" i="8"/>
  <c r="A827" i="8"/>
  <c r="A819" i="8"/>
  <c r="A811" i="8"/>
  <c r="A787" i="8"/>
  <c r="A779" i="8"/>
  <c r="A747" i="8"/>
  <c r="A723" i="8"/>
  <c r="A715" i="8"/>
  <c r="A659" i="8"/>
  <c r="A651" i="8"/>
  <c r="A595" i="8"/>
  <c r="A587" i="8"/>
  <c r="A531" i="8"/>
  <c r="A523" i="8"/>
  <c r="A467" i="8"/>
  <c r="A459" i="8"/>
  <c r="A403" i="8"/>
  <c r="A395" i="8"/>
  <c r="A339" i="8"/>
  <c r="A331" i="8"/>
  <c r="A275" i="8"/>
  <c r="A267" i="8"/>
  <c r="A211" i="8"/>
  <c r="A203" i="8"/>
  <c r="A195" i="8"/>
  <c r="A187" i="8"/>
  <c r="A179" i="8"/>
  <c r="A171" i="8"/>
  <c r="A163" i="8"/>
  <c r="A155" i="8"/>
  <c r="A147" i="8"/>
  <c r="A139" i="8"/>
  <c r="A131" i="8"/>
  <c r="A123" i="8"/>
  <c r="A892" i="8"/>
  <c r="A860" i="8"/>
  <c r="A836" i="8"/>
  <c r="A756" i="8"/>
  <c r="A732" i="8"/>
  <c r="A660" i="8"/>
  <c r="A596" i="8"/>
  <c r="A532" i="8"/>
  <c r="A468" i="8"/>
  <c r="A412" i="8"/>
  <c r="A348" i="8"/>
  <c r="A284" i="8"/>
  <c r="A188" i="8"/>
  <c r="A156" i="8"/>
  <c r="A890" i="8"/>
  <c r="A882" i="8"/>
  <c r="A874" i="8"/>
  <c r="A866" i="8"/>
  <c r="A858" i="8"/>
  <c r="A850" i="8"/>
  <c r="A842" i="8"/>
  <c r="A834" i="8"/>
  <c r="A818" i="8"/>
  <c r="A802" i="8"/>
  <c r="A778" i="8"/>
  <c r="A770" i="8"/>
  <c r="A714" i="8"/>
  <c r="A706" i="8"/>
  <c r="A650" i="8"/>
  <c r="A642" i="8"/>
  <c r="A586" i="8"/>
  <c r="A578" i="8"/>
  <c r="A522" i="8"/>
  <c r="A514" i="8"/>
  <c r="A458" i="8"/>
  <c r="A450" i="8"/>
  <c r="A394" i="8"/>
  <c r="A386" i="8"/>
  <c r="A330" i="8"/>
  <c r="A322" i="8"/>
  <c r="A266" i="8"/>
  <c r="A258" i="8"/>
  <c r="A881" i="8"/>
  <c r="A873" i="8"/>
  <c r="A865" i="8"/>
  <c r="A849" i="8"/>
  <c r="A841" i="8"/>
  <c r="A833" i="8"/>
  <c r="A825" i="8"/>
  <c r="A793" i="8"/>
  <c r="A769" i="8"/>
  <c r="A761" i="8"/>
  <c r="A705" i="8"/>
  <c r="A697" i="8"/>
  <c r="A641" i="8"/>
  <c r="A633" i="8"/>
  <c r="A577" i="8"/>
  <c r="A569" i="8"/>
  <c r="A513" i="8"/>
  <c r="A505" i="8"/>
  <c r="A449" i="8"/>
  <c r="A441" i="8"/>
  <c r="A385" i="8"/>
  <c r="A377" i="8"/>
  <c r="A321" i="8"/>
  <c r="A313" i="8"/>
  <c r="A257" i="8"/>
  <c r="A249" i="8"/>
  <c r="A680" i="8"/>
  <c r="A656" i="8"/>
  <c r="A632" i="8"/>
  <c r="A608" i="8"/>
  <c r="A584" i="8"/>
  <c r="A568" i="8"/>
  <c r="A544" i="8"/>
  <c r="A520" i="8"/>
  <c r="A496" i="8"/>
  <c r="A472" i="8"/>
  <c r="A448" i="8"/>
  <c r="A424" i="8"/>
  <c r="A400" i="8"/>
  <c r="A384" i="8"/>
  <c r="A360" i="8"/>
  <c r="A344" i="8"/>
  <c r="A320" i="8"/>
  <c r="A288" i="8"/>
  <c r="A272" i="8"/>
  <c r="A240" i="8"/>
  <c r="A232" i="8"/>
  <c r="A887" i="8"/>
  <c r="A879" i="8"/>
  <c r="A871" i="8"/>
  <c r="A863" i="8"/>
  <c r="A855" i="8"/>
  <c r="A847" i="8"/>
  <c r="A839" i="8"/>
  <c r="A831" i="8"/>
  <c r="A823" i="8"/>
  <c r="A815" i="8"/>
  <c r="A783" i="8"/>
  <c r="A759" i="8"/>
  <c r="A751" i="8"/>
  <c r="A695" i="8"/>
  <c r="A687" i="8"/>
  <c r="A631" i="8"/>
  <c r="A623" i="8"/>
  <c r="A567" i="8"/>
  <c r="A559" i="8"/>
  <c r="A503" i="8"/>
  <c r="A495" i="8"/>
  <c r="A439" i="8"/>
  <c r="A431" i="8"/>
  <c r="A375" i="8"/>
  <c r="A367" i="8"/>
  <c r="A311" i="8"/>
  <c r="A303" i="8"/>
  <c r="A247" i="8"/>
  <c r="A239" i="8"/>
  <c r="A696" i="8"/>
  <c r="A672" i="8"/>
  <c r="A648" i="8"/>
  <c r="A624" i="8"/>
  <c r="A600" i="8"/>
  <c r="A576" i="8"/>
  <c r="A552" i="8"/>
  <c r="A528" i="8"/>
  <c r="A504" i="8"/>
  <c r="A480" i="8"/>
  <c r="A456" i="8"/>
  <c r="A432" i="8"/>
  <c r="A408" i="8"/>
  <c r="A368" i="8"/>
  <c r="A352" i="8"/>
  <c r="A328" i="8"/>
  <c r="A304" i="8"/>
  <c r="A280" i="8"/>
  <c r="A256" i="8"/>
  <c r="A224" i="8"/>
  <c r="A886" i="8"/>
  <c r="A878" i="8"/>
  <c r="A870" i="8"/>
  <c r="A862" i="8"/>
  <c r="A854" i="8"/>
  <c r="A846" i="8"/>
  <c r="A838" i="8"/>
  <c r="A822" i="8"/>
  <c r="A814" i="8"/>
  <c r="A806" i="8"/>
  <c r="A774" i="8"/>
  <c r="A750" i="8"/>
  <c r="A742" i="8"/>
  <c r="A686" i="8"/>
  <c r="A678" i="8"/>
  <c r="A622" i="8"/>
  <c r="A614" i="8"/>
  <c r="A558" i="8"/>
  <c r="A550" i="8"/>
  <c r="A494" i="8"/>
  <c r="A486" i="8"/>
  <c r="A430" i="8"/>
  <c r="A422" i="8"/>
  <c r="A366" i="8"/>
  <c r="A358" i="8"/>
  <c r="A302" i="8"/>
  <c r="A294" i="8"/>
  <c r="A238" i="8"/>
  <c r="A230" i="8"/>
  <c r="F3" i="8"/>
  <c r="A2" i="8"/>
  <c r="B69" i="4" l="1"/>
  <c r="B67" i="4"/>
  <c r="I63" i="4"/>
  <c r="H63" i="4"/>
  <c r="B68" i="4"/>
  <c r="C13" i="7" a="1"/>
  <c r="C12" i="7" a="1"/>
  <c r="B12" i="7"/>
  <c r="B14" i="7"/>
  <c r="B13" i="7"/>
  <c r="B74" i="4"/>
  <c r="B75" i="4"/>
  <c r="F4" i="8"/>
  <c r="C14" i="7"/>
  <c r="B7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218325-7F06-4BF8-B49E-EA105688C742}"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F16A5F1-DBA5-4ED2-8385-74A04B0E1922}" name="WorksheetConnection_PF_Lieggi.Final.xlsx!INFO_Pasajeros" type="102" refreshedVersion="8" minRefreshableVersion="5">
    <extLst>
      <ext xmlns:x15="http://schemas.microsoft.com/office/spreadsheetml/2010/11/main" uri="{DE250136-89BD-433C-8126-D09CA5730AF9}">
        <x15:connection id="INFO_Pasajeros" autoDelete="1">
          <x15:rangePr sourceName="_xlcn.WorksheetConnection_PF_Lieggi.Final.xlsxINFO_Pasajero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<sst xmlns="http://schemas.openxmlformats.org/spreadsheetml/2006/main" count="8747" uniqueCount="2383">
  <si>
    <t>PassengerId,Survived,Pclass,Name,Sex,Age,SibSp,Parch,Ticket,Fare,Cabin,Embarked</t>
  </si>
  <si>
    <t>1,0,3,"Braund, Mr. Owen Harris",male,22,1,0,A/5 21171,7.25,,S</t>
  </si>
  <si>
    <t>2,1,1,"Cumings, Mrs. John Bradley (Florence Briggs Thayer)",female,38,1,0,PC 17599,71.2833,C85,C</t>
  </si>
  <si>
    <t>3,1,3,"Heikkinen, Miss. Laina",female,26,0,0,STON/O2. 3101282,7.925,,S</t>
  </si>
  <si>
    <t>4,1,1,"Futrelle, Mrs. Jacques Heath (Lily May Peel)",female,35,1,0,113803,53.1,C123,S</t>
  </si>
  <si>
    <t>5,0,3,"Allen, Mr. William Henry",male,35,0,0,373450,8.05,,S</t>
  </si>
  <si>
    <t>6,0,3,"Moran, Mr. James",male,,0,0,330877,8.4583,,Q</t>
  </si>
  <si>
    <t>7,0,1,"McCarthy, Mr. Timothy J",male,54,0,0,17463,51.8625,E46,S</t>
  </si>
  <si>
    <t>8,0,3,"Palsson, Master. Gosta Leonard",male,2,3,1,349909,21.075,,S</t>
  </si>
  <si>
    <t>9,1,3,"Johnson, Mrs. Oscar W (Elisabeth Vilhelmina Berg)",female,27,0,2,347742,11.1333,,S</t>
  </si>
  <si>
    <t>10,1,2,"Nasser, Mrs. Nicholas (Adele Achem)",female,14,1,0,237736,30.0708,,C</t>
  </si>
  <si>
    <t>11,1,3,"Sandstrom, Miss. Marguerite Rut",female,4,1,1,PP 9549,16.7,G6,S</t>
  </si>
  <si>
    <t>12,1,1,"Bonnell, Miss. Elizabeth",female,58,0,0,113783,26.55,C103,S</t>
  </si>
  <si>
    <t>13,0,3,"Saundercock, Mr. William Henry",male,20,0,0,A/5. 2151,8.05,,S</t>
  </si>
  <si>
    <t>14,0,3,"Andersson, Mr. Anders Johan",male,39,1,5,347082,31.275,,S</t>
  </si>
  <si>
    <t>15,0,3,"Vestrom, Miss. Hulda Amanda Adolfina",female,14,0,0,350406,7.8542,,S</t>
  </si>
  <si>
    <t>16,1,2,"Hewlett, Mrs. (Mary D Kingcome) ",female,55,0,0,248706,16,,S</t>
  </si>
  <si>
    <t>17,0,3,"Rice, Master. Eugene",male,2,4,1,382652,29.125,,Q</t>
  </si>
  <si>
    <t>18,1,2,"Williams, Mr. Charles Eugene",male,,0,0,244373,13,,S</t>
  </si>
  <si>
    <t>19,0,3,"Vander Planke, Mrs. Julius (Emelia Maria Vandemoortele)",female,31,1,0,345763,18,,S</t>
  </si>
  <si>
    <t>20,1,3,"Masselmani, Mrs. Fatima",female,,0,0,2649,7.225,,C</t>
  </si>
  <si>
    <t>21,0,2,"Fynney, Mr. Joseph J",male,35,0,0,239865,26,,S</t>
  </si>
  <si>
    <t>22,1,2,"Beesley, Mr. Lawrence",male,34,0,0,248698,13,D56,S</t>
  </si>
  <si>
    <t>23,1,3,"McGowan, Miss. Anna ""Annie""",female,15,0,0,330923,8.0292,,Q</t>
  </si>
  <si>
    <t>24,1,1,"Sloper, Mr. William Thompson",male,28,0,0,113788,35.5,A6,S</t>
  </si>
  <si>
    <t>25,0,3,"Palsson, Miss. Torborg Danira",female,8,3,1,349909,21.075,,S</t>
  </si>
  <si>
    <t>26,1,3,"Asplund, Mrs. Carl Oscar (Selma Augusta Emilia Johansson)",female,38,1,5,347077,31.3875,,S</t>
  </si>
  <si>
    <t>27,0,3,"Emir, Mr. Farred Chehab",male,,0,0,2631,7.225,,C</t>
  </si>
  <si>
    <t>28,0,1,"Fortune, Mr. Charles Alexander",male,19,3,2,19950,263,C23 C25 C27,S</t>
  </si>
  <si>
    <t>29,1,3,"O'Dwyer, Miss. Ellen ""Nellie""",female,,0,0,330959,7.8792,,Q</t>
  </si>
  <si>
    <t>30,0,3,"Todoroff, Mr. Lalio",male,,0,0,349216,7.8958,,S</t>
  </si>
  <si>
    <t>31,0,1,"Uruchurtu, Don. Manuel E",male,40,0,0,PC 17601,27.7208,,C</t>
  </si>
  <si>
    <t>32,1,1,"Spencer, Mrs. William Augustus (Marie Eugenie)",female,,1,0,PC 17569,146.5208,B78,C</t>
  </si>
  <si>
    <t>33,1,3,"Glynn, Miss. Mary Agatha",female,,0,0,335677,7.75,,Q</t>
  </si>
  <si>
    <t>34,0,2,"Wheadon, Mr. Edward H",male,66,0,0,C.A. 24579,10.5,,S</t>
  </si>
  <si>
    <t>35,0,1,"Meyer, Mr. Edgar Joseph",male,28,1,0,PC 17604,82.1708,,C</t>
  </si>
  <si>
    <t>36,0,1,"Holverson, Mr. Alexander Oskar",male,42,1,0,113789,52,,S</t>
  </si>
  <si>
    <t>37,1,3,"Mamee, Mr. Hanna",male,,0,0,2677,7.2292,,C</t>
  </si>
  <si>
    <t>38,0,3,"Cann, Mr. Ernest Charles",male,21,0,0,A./5. 2152,8.05,,S</t>
  </si>
  <si>
    <t>39,0,3,"Vander Planke, Miss. Augusta Maria",female,18,2,0,345764,18,,S</t>
  </si>
  <si>
    <t>40,1,3,"Nicola-Yarred, Miss. Jamila",female,14,1,0,2651,11.2417,,C</t>
  </si>
  <si>
    <t>41,0,3,"Ahlin, Mrs. Johan (Johanna Persdotter Larsson)",female,40,1,0,7546,9.475,,S</t>
  </si>
  <si>
    <t>42,0,2,"Turpin, Mrs. William John Robert (Dorothy Ann Wonnacott)",female,27,1,0,11668,21,,S</t>
  </si>
  <si>
    <t>43,0,3,"Kraeff, Mr. Theodor",male,,0,0,349253,7.8958,,C</t>
  </si>
  <si>
    <t>44,1,2,"Laroche, Miss. Simonne Marie Anne Andree",female,3,1,2,SC/Paris 2123,41.5792,,C</t>
  </si>
  <si>
    <t>45,1,3,"Devaney, Miss. Margaret Delia",female,19,0,0,330958,7.8792,,Q</t>
  </si>
  <si>
    <t>46,0,3,"Rogers, Mr. William John",male,,0,0,S.C./A.4. 23567,8.05,,S</t>
  </si>
  <si>
    <t>47,0,3,"Lennon, Mr. Denis",male,,1,0,370371,15.5,,Q</t>
  </si>
  <si>
    <t>48,1,3,"O'Driscoll, Miss. Bridget",female,,0,0,14311,7.75,,Q</t>
  </si>
  <si>
    <t>49,0,3,"Samaan, Mr. Youssef",male,,2,0,2662,21.6792,,C</t>
  </si>
  <si>
    <t>50,0,3,"Arnold-Franchi, Mrs. Josef (Josefine Franchi)",female,18,1,0,349237,17.8,,S</t>
  </si>
  <si>
    <t>51,0,3,"Panula, Master. Juha Niilo",male,7,4,1,3101295,39.6875,,S</t>
  </si>
  <si>
    <t>52,0,3,"Nosworthy, Mr. Richard Cater",male,21,0,0,A/4. 39886,7.8,,S</t>
  </si>
  <si>
    <t>53,1,1,"Harper, Mrs. Henry Sleeper (Myna Haxtun)",female,49,1,0,PC 17572,76.7292,D33,C</t>
  </si>
  <si>
    <t>54,1,2,"Faunthorpe, Mrs. Lizzie (Elizabeth Anne Wilkinson)",female,29,1,0,2926,26,,S</t>
  </si>
  <si>
    <t>55,0,1,"Ostby, Mr. Engelhart Cornelius",male,65,0,1,113509,61.9792,B30,C</t>
  </si>
  <si>
    <t>56,1,1,"Woolner, Mr. Hugh",male,,0,0,19947,35.5,C52,S</t>
  </si>
  <si>
    <t>57,1,2,"Rugg, Miss. Emily",female,21,0,0,C.A. 31026,10.5,,S</t>
  </si>
  <si>
    <t>58,0,3,"Novel, Mr. Mansouer",male,28.5,0,0,2697,7.2292,,C</t>
  </si>
  <si>
    <t>59,1,2,"West, Miss. Constance Mirium",female,5,1,2,C.A. 34651,27.75,,S</t>
  </si>
  <si>
    <t>60,0,3,"Goodwin, Master. William Frederick",male,11,5,2,CA 2144,46.9,,S</t>
  </si>
  <si>
    <t>61,0,3,"Sirayanian, Mr. Orsen",male,22,0,0,2669,7.2292,,C</t>
  </si>
  <si>
    <t>62,1,1,"Icard, Miss. Amelie",female,38,0,0,113572,80,B28,</t>
  </si>
  <si>
    <t>63,0,1,"Harris, Mr. Henry Birkhardt",male,45,1,0,36973,83.475,C83,S</t>
  </si>
  <si>
    <t>64,0,3,"Skoog, Master. Harald",male,4,3,2,347088,27.9,,S</t>
  </si>
  <si>
    <t>65,0,1,"Stewart, Mr. Albert A",male,,0,0,PC 17605,27.7208,,C</t>
  </si>
  <si>
    <t>66,1,3,"Moubarek, Master. Gerios",male,,1,1,2661,15.2458,,C</t>
  </si>
  <si>
    <t>67,1,2,"Nye, Mrs. (Elizabeth Ramell)",female,29,0,0,C.A. 29395,10.5,F33,S</t>
  </si>
  <si>
    <t>68,0,3,"Crease, Mr. Ernest James",male,19,0,0,S.P. 3464,8.1583,,S</t>
  </si>
  <si>
    <t>69,1,3,"Andersson, Miss. Erna Alexandra",female,17,4,2,3101281,7.925,,S</t>
  </si>
  <si>
    <t>70,0,3,"Kink, Mr. Vincenz",male,26,2,0,315151,8.6625,,S</t>
  </si>
  <si>
    <t>71,0,2,"Jenkin, Mr. Stephen Curnow",male,32,0,0,C.A. 33111,10.5,,S</t>
  </si>
  <si>
    <t>72,0,3,"Goodwin, Miss. Lillian Amy",female,16,5,2,CA 2144,46.9,,S</t>
  </si>
  <si>
    <t>73,0,2,"Hood, Mr. Ambrose Jr",male,21,0,0,S.O.C. 14879,73.5,,S</t>
  </si>
  <si>
    <t>74,0,3,"Chronopoulos, Mr. Apostolos",male,26,1,0,2680,14.4542,,C</t>
  </si>
  <si>
    <t>75,1,3,"Bing, Mr. Lee",male,32,0,0,1601,56.4958,,S</t>
  </si>
  <si>
    <t>76,0,3,"Moen, Mr. Sigurd Hansen",male,25,0,0,348123,7.65,F G73,S</t>
  </si>
  <si>
    <t>77,0,3,"Staneff, Mr. Ivan",male,,0,0,349208,7.8958,,S</t>
  </si>
  <si>
    <t>78,0,3,"Moutal, Mr. Rahamin Haim",male,,0,0,374746,8.05,,S</t>
  </si>
  <si>
    <t>79,1,2,"Caldwell, Master. Alden Gates",male,0.83,0,2,248738,29,,S</t>
  </si>
  <si>
    <t>80,1,3,"Dowdell, Miss. Elizabeth",female,30,0,0,364516,12.475,,S</t>
  </si>
  <si>
    <t>81,0,3,"Waelens, Mr. Achille",male,22,0,0,345767,9,,S</t>
  </si>
  <si>
    <t>82,1,3,"Sheerlinck, Mr. Jan Baptist",male,29,0,0,345779,9.5,,S</t>
  </si>
  <si>
    <t>83,1,3,"McDermott, Miss. Brigdet Delia",female,,0,0,330932,7.7875,,Q</t>
  </si>
  <si>
    <t>84,0,1,"Carrau, Mr. Francisco M",male,28,0,0,113059,47.1,,S</t>
  </si>
  <si>
    <t>85,1,2,"Ilett, Miss. Bertha",female,17,0,0,SO/C 14885,10.5,,S</t>
  </si>
  <si>
    <t>86,1,3,"Backstrom, Mrs. Karl Alfred (Maria Mathilda Gustafsson)",female,33,3,0,3101278,15.85,,S</t>
  </si>
  <si>
    <t>87,0,3,"Ford, Mr. William Neal",male,16,1,3,W./C. 6608,34.375,,S</t>
  </si>
  <si>
    <t>88,0,3,"Slocovski, Mr. Selman Francis",male,,0,0,SOTON/OQ 392086,8.05,,S</t>
  </si>
  <si>
    <t>89,1,1,"Fortune, Miss. Mabel Helen",female,23,3,2,19950,263,C23 C25 C27,S</t>
  </si>
  <si>
    <t>90,0,3,"Celotti, Mr. Francesco",male,24,0,0,343275,8.05,,S</t>
  </si>
  <si>
    <t>91,0,3,"Christmann, Mr. Emil",male,29,0,0,343276,8.05,,S</t>
  </si>
  <si>
    <t>92,0,3,"Andreasson, Mr. Paul Edvin",male,20,0,0,347466,7.8542,,S</t>
  </si>
  <si>
    <t>93,0,1,"Chaffee, Mr. Herbert Fuller",male,46,1,0,W.E.P. 5734,61.175,E31,S</t>
  </si>
  <si>
    <t>94,0,3,"Dean, Mr. Bertram Frank",male,26,1,2,C.A. 2315,20.575,,S</t>
  </si>
  <si>
    <t>95,0,3,"Coxon, Mr. Daniel",male,59,0,0,364500,7.25,,S</t>
  </si>
  <si>
    <t>96,0,3,"Shorney, Mr. Charles Joseph",male,,0,0,374910,8.05,,S</t>
  </si>
  <si>
    <t>97,0,1,"Goldschmidt, Mr. George B",male,71,0,0,PC 17754,34.6542,A5,C</t>
  </si>
  <si>
    <t>98,1,1,"Greenfield, Mr. William Bertram",male,23,0,1,PC 17759,63.3583,D10 D12,C</t>
  </si>
  <si>
    <t>99,1,2,"Doling, Mrs. John T (Ada Julia Bone)",female,34,0,1,231919,23,,S</t>
  </si>
  <si>
    <t>100,0,2,"Kantor, Mr. Sinai",male,34,1,0,244367,26,,S</t>
  </si>
  <si>
    <t>101,0,3,"Petranec, Miss. Matilda",female,28,0,0,349245,7.8958,,S</t>
  </si>
  <si>
    <t>102,0,3,"Petroff, Mr. Pastcho (""Pentcho"")",male,,0,0,349215,7.8958,,S</t>
  </si>
  <si>
    <t>103,0,1,"White, Mr. Richard Frasar",male,21,0,1,35281,77.2875,D26,S</t>
  </si>
  <si>
    <t>104,0,3,"Johansson, Mr. Gustaf Joel",male,33,0,0,7540,8.6542,,S</t>
  </si>
  <si>
    <t>105,0,3,"Gustafsson, Mr. Anders Vilhelm",male,37,2,0,3101276,7.925,,S</t>
  </si>
  <si>
    <t>106,0,3,"Mionoff, Mr. Stoytcho",male,28,0,0,349207,7.8958,,S</t>
  </si>
  <si>
    <t>107,1,3,"Salkjelsvik, Miss. Anna Kristine",female,21,0,0,343120,7.65,,S</t>
  </si>
  <si>
    <t>108,1,3,"Moss, Mr. Albert Johan",male,,0,0,312991,7.775,,S</t>
  </si>
  <si>
    <t>109,0,3,"Rekic, Mr. Tido",male,38,0,0,349249,7.8958,,S</t>
  </si>
  <si>
    <t>110,1,3,"Moran, Miss. Bertha",female,,1,0,371110,24.15,,Q</t>
  </si>
  <si>
    <t>111,0,1,"Porter, Mr. Walter Chamberlain",male,47,0,0,110465,52,C110,S</t>
  </si>
  <si>
    <t>112,0,3,"Zabour, Miss. Hileni",female,14.5,1,0,2665,14.4542,,C</t>
  </si>
  <si>
    <t>113,0,3,"Barton, Mr. David John",male,22,0,0,324669,8.05,,S</t>
  </si>
  <si>
    <t>114,0,3,"Jussila, Miss. Katriina",female,20,1,0,4136,9.825,,S</t>
  </si>
  <si>
    <t>115,0,3,"Attalah, Miss. Malake",female,17,0,0,2627,14.4583,,C</t>
  </si>
  <si>
    <t>116,0,3,"Pekoniemi, Mr. Edvard",male,21,0,0,STON/O 2. 3101294,7.925,,S</t>
  </si>
  <si>
    <t>117,0,3,"Connors, Mr. Patrick",male,70.5,0,0,370369,7.75,,Q</t>
  </si>
  <si>
    <t>118,0,2,"Turpin, Mr. William John Robert",male,29,1,0,11668,21,,S</t>
  </si>
  <si>
    <t>119,0,1,"Baxter, Mr. Quigg Edmond",male,24,0,1,PC 17558,247.5208,B58 B60,C</t>
  </si>
  <si>
    <t>120,0,3,"Andersson, Miss. Ellis Anna Maria",female,2,4,2,347082,31.275,,S</t>
  </si>
  <si>
    <t>121,0,2,"Hickman, Mr. Stanley George",male,21,2,0,S.O.C. 14879,73.5,,S</t>
  </si>
  <si>
    <t>122,0,3,"Moore, Mr. Leonard Charles",male,,0,0,A4. 54510,8.05,,S</t>
  </si>
  <si>
    <t>123,0,2,"Nasser, Mr. Nicholas",male,32.5,1,0,237736,30.0708,,C</t>
  </si>
  <si>
    <t>124,1,2,"Webber, Miss. Susan",female,32.5,0,0,27267,13,E101,S</t>
  </si>
  <si>
    <t>125,0,1,"White, Mr. Percival Wayland",male,54,0,1,35281,77.2875,D26,S</t>
  </si>
  <si>
    <t>126,1,3,"Nicola-Yarred, Master. Elias",male,12,1,0,2651,11.2417,,C</t>
  </si>
  <si>
    <t>127,0,3,"McMahon, Mr. Martin",male,,0,0,370372,7.75,,Q</t>
  </si>
  <si>
    <t>128,1,3,"Madsen, Mr. Fridtjof Arne",male,24,0,0,C 17369,7.1417,,S</t>
  </si>
  <si>
    <t>129,1,3,"Peter, Miss. Anna",female,,1,1,2668,22.3583,F E69,C</t>
  </si>
  <si>
    <t>130,0,3,"Ekstrom, Mr. Johan",male,45,0,0,347061,6.975,,S</t>
  </si>
  <si>
    <t>131,0,3,"Drazenoic, Mr. Jozef",male,33,0,0,349241,7.8958,,C</t>
  </si>
  <si>
    <t>132,0,3,"Coelho, Mr. Domingos Fernandeo",male,20,0,0,SOTON/O.Q. 3101307,7.05,,S</t>
  </si>
  <si>
    <t>133,0,3,"Robins, Mrs. Alexander A (Grace Charity Laury)",female,47,1,0,A/5. 3337,14.5,,S</t>
  </si>
  <si>
    <t>134,1,2,"Weisz, Mrs. Leopold (Mathilde Francoise Pede)",female,29,1,0,228414,26,,S</t>
  </si>
  <si>
    <t>135,0,2,"Sobey, Mr. Samuel James Hayden",male,25,0,0,C.A. 29178,13,,S</t>
  </si>
  <si>
    <t>136,0,2,"Richard, Mr. Emile",male,23,0,0,SC/PARIS 2133,15.0458,,C</t>
  </si>
  <si>
    <t>137,1,1,"Newsom, Miss. Helen Monypeny",female,19,0,2,11752,26.2833,D47,S</t>
  </si>
  <si>
    <t>138,0,1,"Futrelle, Mr. Jacques Heath",male,37,1,0,113803,53.1,C123,S</t>
  </si>
  <si>
    <t>139,0,3,"Osen, Mr. Olaf Elon",male,16,0,0,7534,9.2167,,S</t>
  </si>
  <si>
    <t>140,0,1,"Giglio, Mr. Victor",male,24,0,0,PC 17593,79.2,B86,C</t>
  </si>
  <si>
    <t>141,0,3,"Boulos, Mrs. Joseph (Sultana)",female,,0,2,2678,15.2458,,C</t>
  </si>
  <si>
    <t>142,1,3,"Nysten, Miss. Anna Sofia",female,22,0,0,347081,7.75,,S</t>
  </si>
  <si>
    <t>143,1,3,"Hakkarainen, Mrs. Pekka Pietari (Elin Matilda Dolck)",female,24,1,0,STON/O2. 3101279,15.85,,S</t>
  </si>
  <si>
    <t>144,0,3,"Burke, Mr. Jeremiah",male,19,0,0,365222,6.75,,Q</t>
  </si>
  <si>
    <t>145,0,2,"Andrew, Mr. Edgardo Samuel",male,18,0,0,231945,11.5,,S</t>
  </si>
  <si>
    <t>146,0,2,"Nicholls, Mr. Joseph Charles",male,19,1,1,C.A. 33112,36.75,,S</t>
  </si>
  <si>
    <t>147,1,3,"Andersson, Mr. August Edvard (""Wennerstrom"")",male,27,0,0,350043,7.7958,,S</t>
  </si>
  <si>
    <t>148,0,3,"Ford, Miss. Robina Maggie ""Ruby""",female,9,2,2,W./C. 6608,34.375,,S</t>
  </si>
  <si>
    <t>149,0,2,"Navratil, Mr. Michel (""Louis M Hoffman"")",male,36.5,0,2,230080,26,F2,S</t>
  </si>
  <si>
    <t>150,0,2,"Byles, Rev. Thomas Roussel Davids",male,42,0,0,244310,13,,S</t>
  </si>
  <si>
    <t>151,0,2,"Bateman, Rev. Robert James",male,51,0,0,S.O.P. 1166,12.525,,S</t>
  </si>
  <si>
    <t>152,1,1,"Pears, Mrs. Thomas (Edith Wearne)",female,22,1,0,113776,66.6,C2,S</t>
  </si>
  <si>
    <t>153,0,3,"Meo, Mr. Alfonzo",male,55.5,0,0,A.5. 11206,8.05,,S</t>
  </si>
  <si>
    <t>154,0,3,"van Billiard, Mr. Austin Blyler",male,40.5,0,2,A/5. 851,14.5,,S</t>
  </si>
  <si>
    <t>155,0,3,"Olsen, Mr. Ole Martin",male,,0,0,Fa 265302,7.3125,,S</t>
  </si>
  <si>
    <t>156,0,1,"Williams, Mr. Charles Duane",male,51,0,1,PC 17597,61.3792,,C</t>
  </si>
  <si>
    <t>157,1,3,"Gilnagh, Miss. Katherine ""Katie""",female,16,0,0,35851,7.7333,,Q</t>
  </si>
  <si>
    <t>158,0,3,"Corn, Mr. Harry",male,30,0,0,SOTON/OQ 392090,8.05,,S</t>
  </si>
  <si>
    <t>159,0,3,"Smiljanic, Mr. Mile",male,,0,0,315037,8.6625,,S</t>
  </si>
  <si>
    <t>160,0,3,"Sage, Master. Thomas Henry",male,,8,2,CA. 2343,69.55,,S</t>
  </si>
  <si>
    <t>161,0,3,"Cribb, Mr. John Hatfield",male,44,0,1,371362,16.1,,S</t>
  </si>
  <si>
    <t>162,1,2,"Watt, Mrs. James (Elizabeth ""Bessie"" Inglis Milne)",female,40,0,0,C.A. 33595,15.75,,S</t>
  </si>
  <si>
    <t>163,0,3,"Bengtsson, Mr. John Viktor",male,26,0,0,347068,7.775,,S</t>
  </si>
  <si>
    <t>164,0,3,"Calic, Mr. Jovo",male,17,0,0,315093,8.6625,,S</t>
  </si>
  <si>
    <t>165,0,3,"Panula, Master. Eino Viljami",male,1,4,1,3101295,39.6875,,S</t>
  </si>
  <si>
    <t>166,1,3,"Goldsmith, Master. Frank John William ""Frankie""",male,9,0,2,363291,20.525,,S</t>
  </si>
  <si>
    <t>167,1,1,"Chibnall, Mrs. (Edith Martha Bowerman)",female,,0,1,113505,55,E33,S</t>
  </si>
  <si>
    <t>168,0,3,"Skoog, Mrs. William (Anna Bernhardina Karlsson)",female,45,1,4,347088,27.9,,S</t>
  </si>
  <si>
    <t>169,0,1,"Baumann, Mr. John D",male,,0,0,PC 17318,25.925,,S</t>
  </si>
  <si>
    <t>170,0,3,"Ling, Mr. Lee",male,28,0,0,1601,56.4958,,S</t>
  </si>
  <si>
    <t>171,0,1,"Van der hoef, Mr. Wyckoff",male,61,0,0,111240,33.5,B19,S</t>
  </si>
  <si>
    <t>172,0,3,"Rice, Master. Arthur",male,4,4,1,382652,29.125,,Q</t>
  </si>
  <si>
    <t>173,1,3,"Johnson, Miss. Eleanor Ileen",female,1,1,1,347742,11.1333,,S</t>
  </si>
  <si>
    <t>174,0,3,"Sivola, Mr. Antti Wilhelm",male,21,0,0,STON/O 2. 3101280,7.925,,S</t>
  </si>
  <si>
    <t>175,0,1,"Smith, Mr. James Clinch",male,56,0,0,17764,30.6958,A7,C</t>
  </si>
  <si>
    <t>176,0,3,"Klasen, Mr. Klas Albin",male,18,1,1,350404,7.8542,,S</t>
  </si>
  <si>
    <t>177,0,3,"Lefebre, Master. Henry Forbes",male,,3,1,4133,25.4667,,S</t>
  </si>
  <si>
    <t>178,0,1,"Isham, Miss. Ann Elizabeth",female,50,0,0,PC 17595,28.7125,C49,C</t>
  </si>
  <si>
    <t>179,0,2,"Hale, Mr. Reginald",male,30,0,0,250653,13,,S</t>
  </si>
  <si>
    <t>180,0,3,"Leonard, Mr. Lionel",male,36,0,0,LINE,0,,S</t>
  </si>
  <si>
    <t>181,0,3,"Sage, Miss. Constance Gladys",female,,8,2,CA. 2343,69.55,,S</t>
  </si>
  <si>
    <t>182,0,2,"Pernot, Mr. Rene",male,,0,0,SC/PARIS 2131,15.05,,C</t>
  </si>
  <si>
    <t>183,0,3,"Asplund, Master. Clarence Gustaf Hugo",male,9,4,2,347077,31.3875,,S</t>
  </si>
  <si>
    <t>184,1,2,"Becker, Master. Richard F",male,1,2,1,230136,39,F4,S</t>
  </si>
  <si>
    <t>185,1,3,"Kink-Heilmann, Miss. Luise Gretchen",female,4,0,2,315153,22.025,,S</t>
  </si>
  <si>
    <t>186,0,1,"Rood, Mr. Hugh Roscoe",male,,0,0,113767,50,A32,S</t>
  </si>
  <si>
    <t>187,1,3,"O'Brien, Mrs. Thomas (Johanna ""Hannah"" Godfrey)",female,,1,0,370365,15.5,,Q</t>
  </si>
  <si>
    <t>188,1,1,"Romaine, Mr. Charles Hallace (""Mr C Rolmane"")",male,45,0,0,111428,26.55,,S</t>
  </si>
  <si>
    <t>189,0,3,"Bourke, Mr. John",male,40,1,1,364849,15.5,,Q</t>
  </si>
  <si>
    <t>190,0,3,"Turcin, Mr. Stjepan",male,36,0,0,349247,7.8958,,S</t>
  </si>
  <si>
    <t>191,1,2,"Pinsky, Mrs. (Rosa)",female,32,0,0,234604,13,,S</t>
  </si>
  <si>
    <t>192,0,2,"Carbines, Mr. William",male,19,0,0,28424,13,,S</t>
  </si>
  <si>
    <t>193,1,3,"Andersen-Jensen, Miss. Carla Christine Nielsine",female,19,1,0,350046,7.8542,,S</t>
  </si>
  <si>
    <t>194,1,2,"Navratil, Master. Michel M",male,3,1,1,230080,26,F2,S</t>
  </si>
  <si>
    <t>195,1,1,"Brown, Mrs. James Joseph (Margaret Tobin)",female,44,0,0,PC 17610,27.7208,B4,C</t>
  </si>
  <si>
    <t>196,1,1,"Lurette, Miss. Elise",female,58,0,0,PC 17569,146.5208,B80,C</t>
  </si>
  <si>
    <t>197,0,3,"Mernagh, Mr. Robert",male,,0,0,368703,7.75,,Q</t>
  </si>
  <si>
    <t>198,0,3,"Olsen, Mr. Karl Siegwart Andreas",male,42,0,1,4579,8.4042,,S</t>
  </si>
  <si>
    <t>199,1,3,"Madigan, Miss. Margaret ""Maggie""",female,,0,0,370370,7.75,,Q</t>
  </si>
  <si>
    <t>200,0,2,"Yrois, Miss. Henriette (""Mrs Harbeck"")",female,24,0,0,248747,13,,S</t>
  </si>
  <si>
    <t>201,0,3,"Vande Walle, Mr. Nestor Cyriel",male,28,0,0,345770,9.5,,S</t>
  </si>
  <si>
    <t>202,0,3,"Sage, Mr. Frederick",male,,8,2,CA. 2343,69.55,,S</t>
  </si>
  <si>
    <t>203,0,3,"Johanson, Mr. Jakob Alfred",male,34,0,0,3101264,6.4958,,S</t>
  </si>
  <si>
    <t>204,0,3,"Youseff, Mr. Gerious",male,45.5,0,0,2628,7.225,,C</t>
  </si>
  <si>
    <t>205,1,3,"Cohen, Mr. Gurshon ""Gus""",male,18,0,0,A/5 3540,8.05,,S</t>
  </si>
  <si>
    <t>206,0,3,"Strom, Miss. Telma Matilda",female,2,0,1,347054,10.4625,G6,S</t>
  </si>
  <si>
    <t>207,0,3,"Backstrom, Mr. Karl Alfred",male,32,1,0,3101278,15.85,,S</t>
  </si>
  <si>
    <t>208,1,3,"Albimona, Mr. Nassef Cassem",male,26,0,0,2699,18.7875,,C</t>
  </si>
  <si>
    <t>209,1,3,"Carr, Miss. Helen ""Ellen""",female,16,0,0,367231,7.75,,Q</t>
  </si>
  <si>
    <t>210,1,1,"Blank, Mr. Henry",male,40,0,0,112277,31,A31,C</t>
  </si>
  <si>
    <t>211,0,3,"Ali, Mr. Ahmed",male,24,0,0,SOTON/O.Q. 3101311,7.05,,S</t>
  </si>
  <si>
    <t>212,1,2,"Cameron, Miss. Clear Annie",female,35,0,0,F.C.C. 13528,21,,S</t>
  </si>
  <si>
    <t>213,0,3,"Perkin, Mr. John Henry",male,22,0,0,A/5 21174,7.25,,S</t>
  </si>
  <si>
    <t>214,0,2,"Givard, Mr. Hans Kristensen",male,30,0,0,250646,13,,S</t>
  </si>
  <si>
    <t>215,0,3,"Kiernan, Mr. Philip",male,,1,0,367229,7.75,,Q</t>
  </si>
  <si>
    <t>216,1,1,"Newell, Miss. Madeleine",female,31,1,0,35273,113.275,D36,C</t>
  </si>
  <si>
    <t>217,1,3,"Honkanen, Miss. Eliina",female,27,0,0,STON/O2. 3101283,7.925,,S</t>
  </si>
  <si>
    <t>218,0,2,"Jacobsohn, Mr. Sidney Samuel",male,42,1,0,243847,27,,S</t>
  </si>
  <si>
    <t>219,1,1,"Bazzani, Miss. Albina",female,32,0,0,11813,76.2917,D15,C</t>
  </si>
  <si>
    <t>220,0,2,"Harris, Mr. Walter",male,30,0,0,W/C 14208,10.5,,S</t>
  </si>
  <si>
    <t>221,1,3,"Sunderland, Mr. Victor Francis",male,16,0,0,SOTON/OQ 392089,8.05,,S</t>
  </si>
  <si>
    <t>222,0,2,"Bracken, Mr. James H",male,27,0,0,220367,13,,S</t>
  </si>
  <si>
    <t>223,0,3,"Green, Mr. George Henry",male,51,0,0,21440,8.05,,S</t>
  </si>
  <si>
    <t>224,0,3,"Nenkoff, Mr. Christo",male,,0,0,349234,7.8958,,S</t>
  </si>
  <si>
    <t>225,1,1,"Hoyt, Mr. Frederick Maxfield",male,38,1,0,19943,90,C93,S</t>
  </si>
  <si>
    <t>226,0,3,"Berglund, Mr. Karl Ivar Sven",male,22,0,0,PP 4348,9.35,,S</t>
  </si>
  <si>
    <t>227,1,2,"Mellors, Mr. William John",male,19,0,0,SW/PP 751,10.5,,S</t>
  </si>
  <si>
    <t>228,0,3,"Lovell, Mr. John Hall (""Henry"")",male,20.5,0,0,A/5 21173,7.25,,S</t>
  </si>
  <si>
    <t>229,0,2,"Fahlstrom, Mr. Arne Jonas",male,18,0,0,236171,13,,S</t>
  </si>
  <si>
    <t>230,0,3,"Lefebre, Miss. Mathilde",female,,3,1,4133,25.4667,,S</t>
  </si>
  <si>
    <t>231,1,1,"Harris, Mrs. Henry Birkhardt (Irene Wallach)",female,35,1,0,36973,83.475,C83,S</t>
  </si>
  <si>
    <t>232,0,3,"Larsson, Mr. Bengt Edvin",male,29,0,0,347067,7.775,,S</t>
  </si>
  <si>
    <t>233,0,2,"Sjostedt, Mr. Ernst Adolf",male,59,0,0,237442,13.5,,S</t>
  </si>
  <si>
    <t>234,1,3,"Asplund, Miss. Lillian Gertrud",female,5,4,2,347077,31.3875,,S</t>
  </si>
  <si>
    <t>235,0,2,"Leyson, Mr. Robert William Norman",male,24,0,0,C.A. 29566,10.5,,S</t>
  </si>
  <si>
    <t>236,0,3,"Harknett, Miss. Alice Phoebe",female,,0,0,W./C. 6609,7.55,,S</t>
  </si>
  <si>
    <t>237,0,2,"Hold, Mr. Stephen",male,44,1,0,26707,26,,S</t>
  </si>
  <si>
    <t>238,1,2,"Collyer, Miss. Marjorie ""Lottie""",female,8,0,2,C.A. 31921,26.25,,S</t>
  </si>
  <si>
    <t>239,0,2,"Pengelly, Mr. Frederick William",male,19,0,0,28665,10.5,,S</t>
  </si>
  <si>
    <t>240,0,2,"Hunt, Mr. George Henry",male,33,0,0,SCO/W 1585,12.275,,S</t>
  </si>
  <si>
    <t>241,0,3,"Zabour, Miss. Thamine",female,,1,0,2665,14.4542,,C</t>
  </si>
  <si>
    <t>242,1,3,"Murphy, Miss. Katherine ""Kate""",female,,1,0,367230,15.5,,Q</t>
  </si>
  <si>
    <t>243,0,2,"Coleridge, Mr. Reginald Charles",male,29,0,0,W./C. 14263,10.5,,S</t>
  </si>
  <si>
    <t>244,0,3,"Maenpaa, Mr. Matti Alexanteri",male,22,0,0,STON/O 2. 3101275,7.125,,S</t>
  </si>
  <si>
    <t>245,0,3,"Attalah, Mr. Sleiman",male,30,0,0,2694,7.225,,C</t>
  </si>
  <si>
    <t>246,0,1,"Minahan, Dr. William Edward",male,44,2,0,19928,90,C78,Q</t>
  </si>
  <si>
    <t>247,0,3,"Lindahl, Miss. Agda Thorilda Viktoria",female,25,0,0,347071,7.775,,S</t>
  </si>
  <si>
    <t>248,1,2,"Hamalainen, Mrs. William (Anna)",female,24,0,2,250649,14.5,,S</t>
  </si>
  <si>
    <t>249,1,1,"Beckwith, Mr. Richard Leonard",male,37,1,1,11751,52.5542,D35,S</t>
  </si>
  <si>
    <t>250,0,2,"Carter, Rev. Ernest Courtenay",male,54,1,0,244252,26,,S</t>
  </si>
  <si>
    <t>251,0,3,"Reed, Mr. James George",male,,0,0,362316,7.25,,S</t>
  </si>
  <si>
    <t>252,0,3,"Strom, Mrs. Wilhelm (Elna Matilda Persson)",female,29,1,1,347054,10.4625,G6,S</t>
  </si>
  <si>
    <t>253,0,1,"Stead, Mr. William Thomas",male,62,0,0,113514,26.55,C87,S</t>
  </si>
  <si>
    <t>254,0,3,"Lobb, Mr. William Arthur",male,30,1,0,A/5. 3336,16.1,,S</t>
  </si>
  <si>
    <t>255,0,3,"Rosblom, Mrs. Viktor (Helena Wilhelmina)",female,41,0,2,370129,20.2125,,S</t>
  </si>
  <si>
    <t>256,1,3,"Touma, Mrs. Darwis (Hanne Youssef Razi)",female,29,0,2,2650,15.2458,,C</t>
  </si>
  <si>
    <t>257,1,1,"Thorne, Mrs. Gertrude Maybelle",female,,0,0,PC 17585,79.2,,C</t>
  </si>
  <si>
    <t>258,1,1,"Cherry, Miss. Gladys",female,30,0,0,110152,86.5,B77,S</t>
  </si>
  <si>
    <t>259,1,1,"Ward, Miss. Anna",female,35,0,0,PC 17755,512.3292,,C</t>
  </si>
  <si>
    <t>260,1,2,"Parrish, Mrs. (Lutie Davis)",female,50,0,1,230433,26,,S</t>
  </si>
  <si>
    <t>261,0,3,"Smith, Mr. Thomas",male,,0,0,384461,7.75,,Q</t>
  </si>
  <si>
    <t>262,1,3,"Asplund, Master. Edvin Rojj Felix",male,3,4,2,347077,31.3875,,S</t>
  </si>
  <si>
    <t>263,0,1,"Taussig, Mr. Emil",male,52,1,1,110413,79.65,E67,S</t>
  </si>
  <si>
    <t>264,0,1,"Harrison, Mr. William",male,40,0,0,112059,0,B94,S</t>
  </si>
  <si>
    <t>265,0,3,"Henry, Miss. Delia",female,,0,0,382649,7.75,,Q</t>
  </si>
  <si>
    <t>266,0,2,"Reeves, Mr. David",male,36,0,0,C.A. 17248,10.5,,S</t>
  </si>
  <si>
    <t>267,0,3,"Panula, Mr. Ernesti Arvid",male,16,4,1,3101295,39.6875,,S</t>
  </si>
  <si>
    <t>268,1,3,"Persson, Mr. Ernst Ulrik",male,25,1,0,347083,7.775,,S</t>
  </si>
  <si>
    <t>269,1,1,"Graham, Mrs. William Thompson (Edith Junkins)",female,58,0,1,PC 17582,153.4625,C125,S</t>
  </si>
  <si>
    <t>270,1,1,"Bissette, Miss. Amelia",female,35,0,0,PC 17760,135.6333,C99,S</t>
  </si>
  <si>
    <t>271,0,1,"Cairns, Mr. Alexander",male,,0,0,113798,31,,S</t>
  </si>
  <si>
    <t>272,1,3,"Tornquist, Mr. William Henry",male,25,0,0,LINE,0,,S</t>
  </si>
  <si>
    <t>273,1,2,"Mellinger, Mrs. (Elizabeth Anne Maidment)",female,41,0,1,250644,19.5,,S</t>
  </si>
  <si>
    <t>274,0,1,"Natsch, Mr. Charles H",male,37,0,1,PC 17596,29.7,C118,C</t>
  </si>
  <si>
    <t>275,1,3,"Healy, Miss. Hanora ""Nora""",female,,0,0,370375,7.75,,Q</t>
  </si>
  <si>
    <t>276,1,1,"Andrews, Miss. Kornelia Theodosia",female,63,1,0,13502,77.9583,D7,S</t>
  </si>
  <si>
    <t>277,0,3,"Lindblom, Miss. Augusta Charlotta",female,45,0,0,347073,7.75,,S</t>
  </si>
  <si>
    <t>278,0,2,"Parkes, Mr. Francis ""Frank""",male,,0,0,239853,0,,S</t>
  </si>
  <si>
    <t>279,0,3,"Rice, Master. Eric",male,7,4,1,382652,29.125,,Q</t>
  </si>
  <si>
    <t>280,1,3,"Abbott, Mrs. Stanton (Rosa Hunt)",female,35,1,1,C.A. 2673,20.25,,S</t>
  </si>
  <si>
    <t>281,0,3,"Duane, Mr. Frank",male,65,0,0,336439,7.75,,Q</t>
  </si>
  <si>
    <t>282,0,3,"Olsson, Mr. Nils Johan Goransson",male,28,0,0,347464,7.8542,,S</t>
  </si>
  <si>
    <t>283,0,3,"de Pelsmaeker, Mr. Alfons",male,16,0,0,345778,9.5,,S</t>
  </si>
  <si>
    <t>284,1,3,"Dorking, Mr. Edward Arthur",male,19,0,0,A/5. 10482,8.05,,S</t>
  </si>
  <si>
    <t>285,0,1,"Smith, Mr. Richard William",male,,0,0,113056,26,A19,S</t>
  </si>
  <si>
    <t>286,0,3,"Stankovic, Mr. Ivan",male,33,0,0,349239,8.6625,,C</t>
  </si>
  <si>
    <t>287,1,3,"de Mulder, Mr. Theodore",male,30,0,0,345774,9.5,,S</t>
  </si>
  <si>
    <t>288,0,3,"Naidenoff, Mr. Penko",male,22,0,0,349206,7.8958,,S</t>
  </si>
  <si>
    <t>289,1,2,"Hosono, Mr. Masabumi",male,42,0,0,237798,13,,S</t>
  </si>
  <si>
    <t>290,1,3,"Connolly, Miss. Kate",female,22,0,0,370373,7.75,,Q</t>
  </si>
  <si>
    <t>291,1,1,"Barber, Miss. Ellen ""Nellie""",female,26,0,0,19877,78.85,,S</t>
  </si>
  <si>
    <t>292,1,1,"Bishop, Mrs. Dickinson H (Helen Walton)",female,19,1,0,11967,91.0792,B49,C</t>
  </si>
  <si>
    <t>293,0,2,"Levy, Mr. Rene Jacques",male,36,0,0,SC/Paris 2163,12.875,D,C</t>
  </si>
  <si>
    <t>294,0,3,"Haas, Miss. Aloisia",female,24,0,0,349236,8.85,,S</t>
  </si>
  <si>
    <t>295,0,3,"Mineff, Mr. Ivan",male,24,0,0,349233,7.8958,,S</t>
  </si>
  <si>
    <t>296,0,1,"Lewy, Mr. Ervin G",male,,0,0,PC 17612,27.7208,,C</t>
  </si>
  <si>
    <t>297,0,3,"Hanna, Mr. Mansour",male,23.5,0,0,2693,7.2292,,C</t>
  </si>
  <si>
    <t>298,0,1,"Allison, Miss. Helen Loraine",female,2,1,2,113781,151.55,C22 C26,S</t>
  </si>
  <si>
    <t>299,1,1,"Saalfeld, Mr. Adolphe",male,,0,0,19988,30.5,C106,S</t>
  </si>
  <si>
    <t>300,1,1,"Baxter, Mrs. James (Helene DeLaudeniere Chaput)",female,50,0,1,PC 17558,247.5208,B58 B60,C</t>
  </si>
  <si>
    <t>301,1,3,"Kelly, Miss. Anna Katherine ""Annie Kate""",female,,0,0,9234,7.75,,Q</t>
  </si>
  <si>
    <t>302,1,3,"McCoy, Mr. Bernard",male,,2,0,367226,23.25,,Q</t>
  </si>
  <si>
    <t>303,0,3,"Johnson, Mr. William Cahoone Jr",male,19,0,0,LINE,0,,S</t>
  </si>
  <si>
    <t>304,1,2,"Keane, Miss. Nora A",female,,0,0,226593,12.35,E101,Q</t>
  </si>
  <si>
    <t>305,0,3,"Williams, Mr. Howard Hugh ""Harry""",male,,0,0,A/5 2466,8.05,,S</t>
  </si>
  <si>
    <t>306,1,1,"Allison, Master. Hudson Trevor",male,0.92,1,2,113781,151.55,C22 C26,S</t>
  </si>
  <si>
    <t>307,1,1,"Fleming, Miss. Margaret",female,,0,0,17421,110.8833,,C</t>
  </si>
  <si>
    <t>308,1,1,"Penasco y Castellana, Mrs. Victor de Satode (Maria Josefa Perez de Soto y Vallejo)",female,17,1,0,PC 17758,108.9,C65,C</t>
  </si>
  <si>
    <t>309,0,2,"Abelson, Mr. Samuel",male,30,1,0,P/PP 3381,24,,C</t>
  </si>
  <si>
    <t>310,1,1,"Francatelli, Miss. Laura Mabel",female,30,0,0,PC 17485,56.9292,E36,C</t>
  </si>
  <si>
    <t>311,1,1,"Hays, Miss. Margaret Bechstein",female,24,0,0,11767,83.1583,C54,C</t>
  </si>
  <si>
    <t>312,1,1,"Ryerson, Miss. Emily Borie",female,18,2,2,PC 17608,262.375,B57 B59 B63 B66,C</t>
  </si>
  <si>
    <t>313,0,2,"Lahtinen, Mrs. William (Anna Sylfven)",female,26,1,1,250651,26,,S</t>
  </si>
  <si>
    <t>314,0,3,"Hendekovic, Mr. Ignjac",male,28,0,0,349243,7.8958,,S</t>
  </si>
  <si>
    <t>315,0,2,"Hart, Mr. Benjamin",male,43,1,1,F.C.C. 13529,26.25,,S</t>
  </si>
  <si>
    <t>316,1,3,"Nilsson, Miss. Helmina Josefina",female,26,0,0,347470,7.8542,,S</t>
  </si>
  <si>
    <t>317,1,2,"Kantor, Mrs. Sinai (Miriam Sternin)",female,24,1,0,244367,26,,S</t>
  </si>
  <si>
    <t>318,0,2,"Moraweck, Dr. Ernest",male,54,0,0,29011,14,,S</t>
  </si>
  <si>
    <t>319,1,1,"Wick, Miss. Mary Natalie",female,31,0,2,36928,164.8667,C7,S</t>
  </si>
  <si>
    <t>320,1,1,"Spedden, Mrs. Frederic Oakley (Margaretta Corning Stone)",female,40,1,1,16966,134.5,E34,C</t>
  </si>
  <si>
    <t>321,0,3,"Dennis, Mr. Samuel",male,22,0,0,A/5 21172,7.25,,S</t>
  </si>
  <si>
    <t>322,0,3,"Danoff, Mr. Yoto",male,27,0,0,349219,7.8958,,S</t>
  </si>
  <si>
    <t>323,1,2,"Slayter, Miss. Hilda Mary",female,30,0,0,234818,12.35,,Q</t>
  </si>
  <si>
    <t>324,1,2,"Caldwell, Mrs. Albert Francis (Sylvia Mae Harbaugh)",female,22,1,1,248738,29,,S</t>
  </si>
  <si>
    <t>325,0,3,"Sage, Mr. George John Jr",male,,8,2,CA. 2343,69.55,,S</t>
  </si>
  <si>
    <t>326,1,1,"Young, Miss. Marie Grice",female,36,0,0,PC 17760,135.6333,C32,C</t>
  </si>
  <si>
    <t>327,0,3,"Nysveen, Mr. Johan Hansen",male,61,0,0,345364,6.2375,,S</t>
  </si>
  <si>
    <t>328,1,2,"Ball, Mrs. (Ada E Hall)",female,36,0,0,28551,13,D,S</t>
  </si>
  <si>
    <t>329,1,3,"Goldsmith, Mrs. Frank John (Emily Alice Brown)",female,31,1,1,363291,20.525,,S</t>
  </si>
  <si>
    <t>330,1,1,"Hippach, Miss. Jean Gertrude",female,16,0,1,111361,57.9792,B18,C</t>
  </si>
  <si>
    <t>331,1,3,"McCoy, Miss. Agnes",female,,2,0,367226,23.25,,Q</t>
  </si>
  <si>
    <t>332,0,1,"Partner, Mr. Austen",male,45.5,0,0,113043,28.5,C124,S</t>
  </si>
  <si>
    <t>333,0,1,"Graham, Mr. George Edward",male,38,0,1,PC 17582,153.4625,C91,S</t>
  </si>
  <si>
    <t>334,0,3,"Vander Planke, Mr. Leo Edmondus",male,16,2,0,345764,18,,S</t>
  </si>
  <si>
    <t>335,1,1,"Frauenthal, Mrs. Henry William (Clara Heinsheimer)",female,,1,0,PC 17611,133.65,,S</t>
  </si>
  <si>
    <t>336,0,3,"Denkoff, Mr. Mitto",male,,0,0,349225,7.8958,,S</t>
  </si>
  <si>
    <t>337,0,1,"Pears, Mr. Thomas Clinton",male,29,1,0,113776,66.6,C2,S</t>
  </si>
  <si>
    <t>338,1,1,"Burns, Miss. Elizabeth Margaret",female,41,0,0,16966,134.5,E40,C</t>
  </si>
  <si>
    <t>339,1,3,"Dahl, Mr. Karl Edwart",male,45,0,0,7598,8.05,,S</t>
  </si>
  <si>
    <t>340,0,1,"Blackwell, Mr. Stephen Weart",male,45,0,0,113784,35.5,T,S</t>
  </si>
  <si>
    <t>341,1,2,"Navratil, Master. Edmond Roger",male,2,1,1,230080,26,F2,S</t>
  </si>
  <si>
    <t>342,1,1,"Fortune, Miss. Alice Elizabeth",female,24,3,2,19950,263,C23 C25 C27,S</t>
  </si>
  <si>
    <t>343,0,2,"Collander, Mr. Erik Gustaf",male,28,0,0,248740,13,,S</t>
  </si>
  <si>
    <t>344,0,2,"Sedgwick, Mr. Charles Frederick Waddington",male,25,0,0,244361,13,,S</t>
  </si>
  <si>
    <t>345,0,2,"Fox, Mr. Stanley Hubert",male,36,0,0,229236,13,,S</t>
  </si>
  <si>
    <t>346,1,2,"Brown, Miss. Amelia ""Mildred""",female,24,0,0,248733,13,F33,S</t>
  </si>
  <si>
    <t>347,1,2,"Smith, Miss. Marion Elsie",female,40,0,0,31418,13,,S</t>
  </si>
  <si>
    <t>348,1,3,"Davison, Mrs. Thomas Henry (Mary E Finck)",female,,1,0,386525,16.1,,S</t>
  </si>
  <si>
    <t>349,1,3,"Coutts, Master. William Loch ""William""",male,3,1,1,C.A. 37671,15.9,,S</t>
  </si>
  <si>
    <t>350,0,3,"Dimic, Mr. Jovan",male,42,0,0,315088,8.6625,,S</t>
  </si>
  <si>
    <t>351,0,3,"Odahl, Mr. Nils Martin",male,23,0,0,7267,9.225,,S</t>
  </si>
  <si>
    <t>352,0,1,"Williams-Lambert, Mr. Fletcher Fellows",male,,0,0,113510,35,C128,S</t>
  </si>
  <si>
    <t>353,0,3,"Elias, Mr. Tannous",male,15,1,1,2695,7.2292,,C</t>
  </si>
  <si>
    <t>354,0,3,"Arnold-Franchi, Mr. Josef",male,25,1,0,349237,17.8,,S</t>
  </si>
  <si>
    <t>355,0,3,"Yousif, Mr. Wazli",male,,0,0,2647,7.225,,C</t>
  </si>
  <si>
    <t>356,0,3,"Vanden Steen, Mr. Leo Peter",male,28,0,0,345783,9.5,,S</t>
  </si>
  <si>
    <t>357,1,1,"Bowerman, Miss. Elsie Edith",female,22,0,1,113505,55,E33,S</t>
  </si>
  <si>
    <t>358,0,2,"Funk, Miss. Annie Clemmer",female,38,0,0,237671,13,,S</t>
  </si>
  <si>
    <t>359,1,3,"McGovern, Miss. Mary",female,,0,0,330931,7.8792,,Q</t>
  </si>
  <si>
    <t>360,1,3,"Mockler, Miss. Helen Mary ""Ellie""",female,,0,0,330980,7.8792,,Q</t>
  </si>
  <si>
    <t>361,0,3,"Skoog, Mr. Wilhelm",male,40,1,4,347088,27.9,,S</t>
  </si>
  <si>
    <t>362,0,2,"del Carlo, Mr. Sebastiano",male,29,1,0,SC/PARIS 2167,27.7208,,C</t>
  </si>
  <si>
    <t>363,0,3,"Barbara, Mrs. (Catherine David)",female,45,0,1,2691,14.4542,,C</t>
  </si>
  <si>
    <t>364,0,3,"Asim, Mr. Adola",male,35,0,0,SOTON/O.Q. 3101310,7.05,,S</t>
  </si>
  <si>
    <t>365,0,3,"O'Brien, Mr. Thomas",male,,1,0,370365,15.5,,Q</t>
  </si>
  <si>
    <t>366,0,3,"Adahl, Mr. Mauritz Nils Martin",male,30,0,0,C 7076,7.25,,S</t>
  </si>
  <si>
    <t>367,1,1,"Warren, Mrs. Frank Manley (Anna Sophia Atkinson)",female,60,1,0,110813,75.25,D37,C</t>
  </si>
  <si>
    <t>368,1,3,"Moussa, Mrs. (Mantoura Boulos)",female,,0,0,2626,7.2292,,C</t>
  </si>
  <si>
    <t>369,1,3,"Jermyn, Miss. Annie",female,,0,0,14313,7.75,,Q</t>
  </si>
  <si>
    <t>370,1,1,"Aubart, Mme. Leontine Pauline",female,24,0,0,PC 17477,69.3,B35,C</t>
  </si>
  <si>
    <t>371,1,1,"Harder, Mr. George Achilles",male,25,1,0,11765,55.4417,E50,C</t>
  </si>
  <si>
    <t>372,0,3,"Wiklund, Mr. Jakob Alfred",male,18,1,0,3101267,6.4958,,S</t>
  </si>
  <si>
    <t>373,0,3,"Beavan, Mr. William Thomas",male,19,0,0,323951,8.05,,S</t>
  </si>
  <si>
    <t>374,0,1,"Ringhini, Mr. Sante",male,22,0,0,PC 17760,135.6333,,C</t>
  </si>
  <si>
    <t>375,0,3,"Palsson, Miss. Stina Viola",female,3,3,1,349909,21.075,,S</t>
  </si>
  <si>
    <t>376,1,1,"Meyer, Mrs. Edgar Joseph (Leila Saks)",female,,1,0,PC 17604,82.1708,,C</t>
  </si>
  <si>
    <t>377,1,3,"Landergren, Miss. Aurora Adelia",female,22,0,0,C 7077,7.25,,S</t>
  </si>
  <si>
    <t>378,0,1,"Widener, Mr. Harry Elkins",male,27,0,2,113503,211.5,C82,C</t>
  </si>
  <si>
    <t>379,0,3,"Betros, Mr. Tannous",male,20,0,0,2648,4.0125,,C</t>
  </si>
  <si>
    <t>380,0,3,"Gustafsson, Mr. Karl Gideon",male,19,0,0,347069,7.775,,S</t>
  </si>
  <si>
    <t>381,1,1,"Bidois, Miss. Rosalie",female,42,0,0,PC 17757,227.525,,C</t>
  </si>
  <si>
    <t>382,1,3,"Nakid, Miss. Maria (""Mary"")",female,1,0,2,2653,15.7417,,C</t>
  </si>
  <si>
    <t>383,0,3,"Tikkanen, Mr. Juho",male,32,0,0,STON/O 2. 3101293,7.925,,S</t>
  </si>
  <si>
    <t>384,1,1,"Holverson, Mrs. Alexander Oskar (Mary Aline Towner)",female,35,1,0,113789,52,,S</t>
  </si>
  <si>
    <t>385,0,3,"Plotcharsky, Mr. Vasil",male,,0,0,349227,7.8958,,S</t>
  </si>
  <si>
    <t>386,0,2,"Davies, Mr. Charles Henry",male,18,0,0,S.O.C. 14879,73.5,,S</t>
  </si>
  <si>
    <t>387,0,3,"Goodwin, Master. Sidney Leonard",male,1,5,2,CA 2144,46.9,,S</t>
  </si>
  <si>
    <t>388,1,2,"Buss, Miss. Kate",female,36,0,0,27849,13,,S</t>
  </si>
  <si>
    <t>389,0,3,"Sadlier, Mr. Matthew",male,,0,0,367655,7.7292,,Q</t>
  </si>
  <si>
    <t>390,1,2,"Lehmann, Miss. Bertha",female,17,0,0,SC 1748,12,,C</t>
  </si>
  <si>
    <t>391,1,1,"Carter, Mr. William Ernest",male,36,1,2,113760,120,B96 B98,S</t>
  </si>
  <si>
    <t>392,1,3,"Jansson, Mr. Carl Olof",male,21,0,0,350034,7.7958,,S</t>
  </si>
  <si>
    <t>393,0,3,"Gustafsson, Mr. Johan Birger",male,28,2,0,3101277,7.925,,S</t>
  </si>
  <si>
    <t>394,1,1,"Newell, Miss. Marjorie",female,23,1,0,35273,113.275,D36,C</t>
  </si>
  <si>
    <t>395,1,3,"Sandstrom, Mrs. Hjalmar (Agnes Charlotta Bengtsson)",female,24,0,2,PP 9549,16.7,G6,S</t>
  </si>
  <si>
    <t>396,0,3,"Johansson, Mr. Erik",male,22,0,0,350052,7.7958,,S</t>
  </si>
  <si>
    <t>397,0,3,"Olsson, Miss. Elina",female,31,0,0,350407,7.8542,,S</t>
  </si>
  <si>
    <t>398,0,2,"McKane, Mr. Peter David",male,46,0,0,28403,26,,S</t>
  </si>
  <si>
    <t>399,0,2,"Pain, Dr. Alfred",male,23,0,0,244278,10.5,,S</t>
  </si>
  <si>
    <t>400,1,2,"Trout, Mrs. William H (Jessie L)",female,28,0,0,240929,12.65,,S</t>
  </si>
  <si>
    <t>401,1,3,"Niskanen, Mr. Juha",male,39,0,0,STON/O 2. 3101289,7.925,,S</t>
  </si>
  <si>
    <t>402,0,3,"Adams, Mr. John",male,26,0,0,341826,8.05,,S</t>
  </si>
  <si>
    <t>403,0,3,"Jussila, Miss. Mari Aina",female,21,1,0,4137,9.825,,S</t>
  </si>
  <si>
    <t>404,0,3,"Hakkarainen, Mr. Pekka Pietari",male,28,1,0,STON/O2. 3101279,15.85,,S</t>
  </si>
  <si>
    <t>405,0,3,"Oreskovic, Miss. Marija",female,20,0,0,315096,8.6625,,S</t>
  </si>
  <si>
    <t>406,0,2,"Gale, Mr. Shadrach",male,34,1,0,28664,21,,S</t>
  </si>
  <si>
    <t>407,0,3,"Widegren, Mr. Carl/Charles Peter",male,51,0,0,347064,7.75,,S</t>
  </si>
  <si>
    <t>408,1,2,"Richards, Master. William Rowe",male,3,1,1,29106,18.75,,S</t>
  </si>
  <si>
    <t>409,0,3,"Birkeland, Mr. Hans Martin Monsen",male,21,0,0,312992,7.775,,S</t>
  </si>
  <si>
    <t>410,0,3,"Lefebre, Miss. Ida",female,,3,1,4133,25.4667,,S</t>
  </si>
  <si>
    <t>411,0,3,"Sdycoff, Mr. Todor",male,,0,0,349222,7.8958,,S</t>
  </si>
  <si>
    <t>412,0,3,"Hart, Mr. Henry",male,,0,0,394140,6.8583,,Q</t>
  </si>
  <si>
    <t>413,1,1,"Minahan, Miss. Daisy E",female,33,1,0,19928,90,C78,Q</t>
  </si>
  <si>
    <t>414,0,2,"Cunningham, Mr. Alfred Fleming",male,,0,0,239853,0,,S</t>
  </si>
  <si>
    <t>415,1,3,"Sundman, Mr. Johan Julian",male,44,0,0,STON/O 2. 3101269,7.925,,S</t>
  </si>
  <si>
    <t>416,0,3,"Meek, Mrs. Thomas (Annie Louise Rowley)",female,,0,0,343095,8.05,,S</t>
  </si>
  <si>
    <t>417,1,2,"Drew, Mrs. James Vivian (Lulu Thorne Christian)",female,34,1,1,28220,32.5,,S</t>
  </si>
  <si>
    <t>418,1,2,"Silven, Miss. Lyyli Karoliina",female,18,0,2,250652,13,,S</t>
  </si>
  <si>
    <t>419,0,2,"Matthews, Mr. William John",male,30,0,0,28228,13,,S</t>
  </si>
  <si>
    <t>420,0,3,"Van Impe, Miss. Catharina",female,10,0,2,345773,24.15,,S</t>
  </si>
  <si>
    <t>421,0,3,"Gheorgheff, Mr. Stanio",male,,0,0,349254,7.8958,,C</t>
  </si>
  <si>
    <t>422,0,3,"Charters, Mr. David",male,21,0,0,A/5. 13032,7.7333,,Q</t>
  </si>
  <si>
    <t>423,0,3,"Zimmerman, Mr. Leo",male,29,0,0,315082,7.875,,S</t>
  </si>
  <si>
    <t>424,0,3,"Danbom, Mrs. Ernst Gilbert (Anna Sigrid Maria Brogren)",female,28,1,1,347080,14.4,,S</t>
  </si>
  <si>
    <t>425,0,3,"Rosblom, Mr. Viktor Richard",male,18,1,1,370129,20.2125,,S</t>
  </si>
  <si>
    <t>426,0,3,"Wiseman, Mr. Phillippe",male,,0,0,A/4. 34244,7.25,,S</t>
  </si>
  <si>
    <t>427,1,2,"Clarke, Mrs. Charles V (Ada Maria Winfield)",female,28,1,0,2003,26,,S</t>
  </si>
  <si>
    <t>428,1,2,"Phillips, Miss. Kate Florence (""Mrs Kate Louise Phillips Marshall"")",female,19,0,0,250655,26,,S</t>
  </si>
  <si>
    <t>429,0,3,"Flynn, Mr. James",male,,0,0,364851,7.75,,Q</t>
  </si>
  <si>
    <t>430,1,3,"Pickard, Mr. Berk (Berk Trembisky)",male,32,0,0,SOTON/O.Q. 392078,8.05,E10,S</t>
  </si>
  <si>
    <t>431,1,1,"Bjornstrom-Steffansson, Mr. Mauritz Hakan",male,28,0,0,110564,26.55,C52,S</t>
  </si>
  <si>
    <t>432,1,3,"Thorneycroft, Mrs. Percival (Florence Kate White)",female,,1,0,376564,16.1,,S</t>
  </si>
  <si>
    <t>433,1,2,"Louch, Mrs. Charles Alexander (Alice Adelaide Slow)",female,42,1,0,SC/AH 3085,26,,S</t>
  </si>
  <si>
    <t>434,0,3,"Kallio, Mr. Nikolai Erland",male,17,0,0,STON/O 2. 3101274,7.125,,S</t>
  </si>
  <si>
    <t>435,0,1,"Silvey, Mr. William Baird",male,50,1,0,13507,55.9,E44,S</t>
  </si>
  <si>
    <t>436,1,1,"Carter, Miss. Lucile Polk",female,14,1,2,113760,120,B96 B98,S</t>
  </si>
  <si>
    <t>437,0,3,"Ford, Miss. Doolina Margaret ""Daisy""",female,21,2,2,W./C. 6608,34.375,,S</t>
  </si>
  <si>
    <t>438,1,2,"Richards, Mrs. Sidney (Emily Hocking)",female,24,2,3,29106,18.75,,S</t>
  </si>
  <si>
    <t>439,0,1,"Fortune, Mr. Mark",male,64,1,4,19950,263,C23 C25 C27,S</t>
  </si>
  <si>
    <t>440,0,2,"Kvillner, Mr. Johan Henrik Johannesson",male,31,0,0,C.A. 18723,10.5,,S</t>
  </si>
  <si>
    <t>441,1,2,"Hart, Mrs. Benjamin (Esther Ada Bloomfield)",female,45,1,1,F.C.C. 13529,26.25,,S</t>
  </si>
  <si>
    <t>442,0,3,"Hampe, Mr. Leon",male,20,0,0,345769,9.5,,S</t>
  </si>
  <si>
    <t>443,0,3,"Petterson, Mr. Johan Emil",male,25,1,0,347076,7.775,,S</t>
  </si>
  <si>
    <t>444,1,2,"Reynaldo, Ms. Encarnacion",female,28,0,0,230434,13,,S</t>
  </si>
  <si>
    <t>445,1,3,"Johannesen-Bratthammer, Mr. Bernt",male,,0,0,65306,8.1125,,S</t>
  </si>
  <si>
    <t>446,1,1,"Dodge, Master. Washington",male,4,0,2,33638,81.8583,A34,S</t>
  </si>
  <si>
    <t>447,1,2,"Mellinger, Miss. Madeleine Violet",female,13,0,1,250644,19.5,,S</t>
  </si>
  <si>
    <t>448,1,1,"Seward, Mr. Frederic Kimber",male,34,0,0,113794,26.55,,S</t>
  </si>
  <si>
    <t>449,1,3,"Baclini, Miss. Marie Catherine",female,5,2,1,2666,19.2583,,C</t>
  </si>
  <si>
    <t>450,1,1,"Peuchen, Major. Arthur Godfrey",male,52,0,0,113786,30.5,C104,S</t>
  </si>
  <si>
    <t>451,0,2,"West, Mr. Edwy Arthur",male,36,1,2,C.A. 34651,27.75,,S</t>
  </si>
  <si>
    <t>452,0,3,"Hagland, Mr. Ingvald Olai Olsen",male,,1,0,65303,19.9667,,S</t>
  </si>
  <si>
    <t>453,0,1,"Foreman, Mr. Benjamin Laventall",male,30,0,0,113051,27.75,C111,C</t>
  </si>
  <si>
    <t>454,1,1,"Goldenberg, Mr. Samuel L",male,49,1,0,17453,89.1042,C92,C</t>
  </si>
  <si>
    <t>455,0,3,"Peduzzi, Mr. Joseph",male,,0,0,A/5 2817,8.05,,S</t>
  </si>
  <si>
    <t>456,1,3,"Jalsevac, Mr. Ivan",male,29,0,0,349240,7.8958,,C</t>
  </si>
  <si>
    <t>457,0,1,"Millet, Mr. Francis Davis",male,65,0,0,13509,26.55,E38,S</t>
  </si>
  <si>
    <t>458,1,1,"Kenyon, Mrs. Frederick R (Marion)",female,,1,0,17464,51.8625,D21,S</t>
  </si>
  <si>
    <t>459,1,2,"Toomey, Miss. Ellen",female,50,0,0,F.C.C. 13531,10.5,,S</t>
  </si>
  <si>
    <t>460,0,3,"O'Connor, Mr. Maurice",male,,0,0,371060,7.75,,Q</t>
  </si>
  <si>
    <t>461,1,1,"Anderson, Mr. Harry",male,48,0,0,19952,26.55,E12,S</t>
  </si>
  <si>
    <t>462,0,3,"Morley, Mr. William",male,34,0,0,364506,8.05,,S</t>
  </si>
  <si>
    <t>463,0,1,"Gee, Mr. Arthur H",male,47,0,0,111320,38.5,E63,S</t>
  </si>
  <si>
    <t>464,0,2,"Milling, Mr. Jacob Christian",male,48,0,0,234360,13,,S</t>
  </si>
  <si>
    <t>465,0,3,"Maisner, Mr. Simon",male,,0,0,A/S 2816,8.05,,S</t>
  </si>
  <si>
    <t>466,0,3,"Goncalves, Mr. Manuel Estanslas",male,38,0,0,SOTON/O.Q. 3101306,7.05,,S</t>
  </si>
  <si>
    <t>467,0,2,"Campbell, Mr. William",male,,0,0,239853,0,,S</t>
  </si>
  <si>
    <t>468,0,1,"Smart, Mr. John Montgomery",male,56,0,0,113792,26.55,,S</t>
  </si>
  <si>
    <t>469,0,3,"Scanlan, Mr. James",male,,0,0,36209,7.725,,Q</t>
  </si>
  <si>
    <t>470,1,3,"Baclini, Miss. Helene Barbara",female,0.75,2,1,2666,19.2583,,C</t>
  </si>
  <si>
    <t>471,0,3,"Keefe, Mr. Arthur",male,,0,0,323592,7.25,,S</t>
  </si>
  <si>
    <t>472,0,3,"Cacic, Mr. Luka",male,38,0,0,315089,8.6625,,S</t>
  </si>
  <si>
    <t>473,1,2,"West, Mrs. Edwy Arthur (Ada Mary Worth)",female,33,1,2,C.A. 34651,27.75,,S</t>
  </si>
  <si>
    <t>474,1,2,"Jerwan, Mrs. Amin S (Marie Marthe Thuillard)",female,23,0,0,SC/AH Basle 541,13.7917,D,C</t>
  </si>
  <si>
    <t>475,0,3,"Strandberg, Miss. Ida Sofia",female,22,0,0,7553,9.8375,,S</t>
  </si>
  <si>
    <t>476,0,1,"Clifford, Mr. George Quincy",male,,0,0,110465,52,A14,S</t>
  </si>
  <si>
    <t>477,0,2,"Renouf, Mr. Peter Henry",male,34,1,0,31027,21,,S</t>
  </si>
  <si>
    <t>478,0,3,"Braund, Mr. Lewis Richard",male,29,1,0,3460,7.0458,,S</t>
  </si>
  <si>
    <t>479,0,3,"Karlsson, Mr. Nils August",male,22,0,0,350060,7.5208,,S</t>
  </si>
  <si>
    <t>480,1,3,"Hirvonen, Miss. Hildur E",female,2,0,1,3101298,12.2875,,S</t>
  </si>
  <si>
    <t>481,0,3,"Goodwin, Master. Harold Victor",male,9,5,2,CA 2144,46.9,,S</t>
  </si>
  <si>
    <t>482,0,2,"Frost, Mr. Anthony Wood ""Archie""",male,,0,0,239854,0,,S</t>
  </si>
  <si>
    <t>483,0,3,"Rouse, Mr. Richard Henry",male,50,0,0,A/5 3594,8.05,,S</t>
  </si>
  <si>
    <t>484,1,3,"Turkula, Mrs. (Hedwig)",female,63,0,0,4134,9.5875,,S</t>
  </si>
  <si>
    <t>485,1,1,"Bishop, Mr. Dickinson H",male,25,1,0,11967,91.0792,B49,C</t>
  </si>
  <si>
    <t>486,0,3,"Lefebre, Miss. Jeannie",female,,3,1,4133,25.4667,,S</t>
  </si>
  <si>
    <t>487,1,1,"Hoyt, Mrs. Frederick Maxfield (Jane Anne Forby)",female,35,1,0,19943,90,C93,S</t>
  </si>
  <si>
    <t>488,0,1,"Kent, Mr. Edward Austin",male,58,0,0,11771,29.7,B37,C</t>
  </si>
  <si>
    <t>489,0,3,"Somerton, Mr. Francis William",male,30,0,0,A.5. 18509,8.05,,S</t>
  </si>
  <si>
    <t>490,1,3,"Coutts, Master. Eden Leslie ""Neville""",male,9,1,1,C.A. 37671,15.9,,S</t>
  </si>
  <si>
    <t>491,0,3,"Hagland, Mr. Konrad Mathias Reiersen",male,,1,0,65304,19.9667,,S</t>
  </si>
  <si>
    <t>492,0,3,"Windelov, Mr. Einar",male,21,0,0,SOTON/OQ 3101317,7.25,,S</t>
  </si>
  <si>
    <t>493,0,1,"Molson, Mr. Harry Markland",male,55,0,0,113787,30.5,C30,S</t>
  </si>
  <si>
    <t>494,0,1,"Artagaveytia, Mr. Ramon",male,71,0,0,PC 17609,49.5042,,C</t>
  </si>
  <si>
    <t>495,0,3,"Stanley, Mr. Edward Roland",male,21,0,0,A/4 45380,8.05,,S</t>
  </si>
  <si>
    <t>496,0,3,"Yousseff, Mr. Gerious",male,,0,0,2627,14.4583,,C</t>
  </si>
  <si>
    <t>497,1,1,"Eustis, Miss. Elizabeth Mussey",female,54,1,0,36947,78.2667,D20,C</t>
  </si>
  <si>
    <t>498,0,3,"Shellard, Mr. Frederick William",male,,0,0,C.A. 6212,15.1,,S</t>
  </si>
  <si>
    <t>499,0,1,"Allison, Mrs. Hudson J C (Bessie Waldo Daniels)",female,25,1,2,113781,151.55,C22 C26,S</t>
  </si>
  <si>
    <t>500,0,3,"Svensson, Mr. Olof",male,24,0,0,350035,7.7958,,S</t>
  </si>
  <si>
    <t>501,0,3,"Calic, Mr. Petar",male,17,0,0,315086,8.6625,,S</t>
  </si>
  <si>
    <t>502,0,3,"Canavan, Miss. Mary",female,21,0,0,364846,7.75,,Q</t>
  </si>
  <si>
    <t>503,0,3,"O'Sullivan, Miss. Bridget Mary",female,,0,0,330909,7.6292,,Q</t>
  </si>
  <si>
    <t>504,0,3,"Laitinen, Miss. Kristina Sofia",female,37,0,0,4135,9.5875,,S</t>
  </si>
  <si>
    <t>505,1,1,"Maioni, Miss. Roberta",female,16,0,0,110152,86.5,B79,S</t>
  </si>
  <si>
    <t>506,0,1,"Penasco y Castellana, Mr. Victor de Satode",male,18,1,0,PC 17758,108.9,C65,C</t>
  </si>
  <si>
    <t>507,1,2,"Quick, Mrs. Frederick Charles (Jane Richards)",female,33,0,2,26360,26,,S</t>
  </si>
  <si>
    <t>508,1,1,"Bradley, Mr. George (""George Arthur Brayton"")",male,,0,0,111427,26.55,,S</t>
  </si>
  <si>
    <t>509,0,3,"Olsen, Mr. Henry Margido",male,28,0,0,C 4001,22.525,,S</t>
  </si>
  <si>
    <t>510,1,3,"Lang, Mr. Fang",male,26,0,0,1601,56.4958,,S</t>
  </si>
  <si>
    <t>511,1,3,"Daly, Mr. Eugene Patrick",male,29,0,0,382651,7.75,,Q</t>
  </si>
  <si>
    <t>512,0,3,"Webber, Mr. James",male,,0,0,SOTON/OQ 3101316,8.05,,S</t>
  </si>
  <si>
    <t>513,1,1,"McGough, Mr. James Robert",male,36,0,0,PC 17473,26.2875,E25,S</t>
  </si>
  <si>
    <t>514,1,1,"Rothschild, Mrs. Martin (Elizabeth L. Barrett)",female,54,1,0,PC 17603,59.4,,C</t>
  </si>
  <si>
    <t>515,0,3,"Coleff, Mr. Satio",male,24,0,0,349209,7.4958,,S</t>
  </si>
  <si>
    <t>516,0,1,"Walker, Mr. William Anderson",male,47,0,0,36967,34.0208,D46,S</t>
  </si>
  <si>
    <t>517,1,2,"Lemore, Mrs. (Amelia Milley)",female,34,0,0,C.A. 34260,10.5,F33,S</t>
  </si>
  <si>
    <t>518,0,3,"Ryan, Mr. Patrick",male,,0,0,371110,24.15,,Q</t>
  </si>
  <si>
    <t>519,1,2,"Angle, Mrs. William A (Florence ""Mary"" Agnes Hughes)",female,36,1,0,226875,26,,S</t>
  </si>
  <si>
    <t>520,0,3,"Pavlovic, Mr. Stefo",male,32,0,0,349242,7.8958,,S</t>
  </si>
  <si>
    <t>521,1,1,"Perreault, Miss. Anne",female,30,0,0,12749,93.5,B73,S</t>
  </si>
  <si>
    <t>522,0,3,"Vovk, Mr. Janko",male,22,0,0,349252,7.8958,,S</t>
  </si>
  <si>
    <t>523,0,3,"Lahoud, Mr. Sarkis",male,,0,0,2624,7.225,,C</t>
  </si>
  <si>
    <t>524,1,1,"Hippach, Mrs. Louis Albert (Ida Sophia Fischer)",female,44,0,1,111361,57.9792,B18,C</t>
  </si>
  <si>
    <t>525,0,3,"Kassem, Mr. Fared",male,,0,0,2700,7.2292,,C</t>
  </si>
  <si>
    <t>526,0,3,"Farrell, Mr. James",male,40.5,0,0,367232,7.75,,Q</t>
  </si>
  <si>
    <t>527,1,2,"Ridsdale, Miss. Lucy",female,50,0,0,W./C. 14258,10.5,,S</t>
  </si>
  <si>
    <t>528,0,1,"Farthing, Mr. John",male,,0,0,PC 17483,221.7792,C95,S</t>
  </si>
  <si>
    <t>529,0,3,"Salonen, Mr. Johan Werner",male,39,0,0,3101296,7.925,,S</t>
  </si>
  <si>
    <t>530,0,2,"Hocking, Mr. Richard George",male,23,2,1,29104,11.5,,S</t>
  </si>
  <si>
    <t>531,1,2,"Quick, Miss. Phyllis May",female,2,1,1,26360,26,,S</t>
  </si>
  <si>
    <t>532,0,3,"Toufik, Mr. Nakli",male,,0,0,2641,7.2292,,C</t>
  </si>
  <si>
    <t>533,0,3,"Elias, Mr. Joseph Jr",male,17,1,1,2690,7.2292,,C</t>
  </si>
  <si>
    <t>534,1,3,"Peter, Mrs. Catherine (Catherine Rizk)",female,,0,2,2668,22.3583,,C</t>
  </si>
  <si>
    <t>535,0,3,"Cacic, Miss. Marija",female,30,0,0,315084,8.6625,,S</t>
  </si>
  <si>
    <t>536,1,2,"Hart, Miss. Eva Miriam",female,7,0,2,F.C.C. 13529,26.25,,S</t>
  </si>
  <si>
    <t>537,0,1,"Butt, Major. Archibald Willingham",male,45,0,0,113050,26.55,B38,S</t>
  </si>
  <si>
    <t>538,1,1,"LeRoy, Miss. Bertha",female,30,0,0,PC 17761,106.425,,C</t>
  </si>
  <si>
    <t>539,0,3,"Risien, Mr. Samuel Beard",male,,0,0,364498,14.5,,S</t>
  </si>
  <si>
    <t>540,1,1,"Frolicher, Miss. Hedwig Margaritha",female,22,0,2,13568,49.5,B39,C</t>
  </si>
  <si>
    <t>541,1,1,"Crosby, Miss. Harriet R",female,36,0,2,WE/P 5735,71,B22,S</t>
  </si>
  <si>
    <t>542,0,3,"Andersson, Miss. Ingeborg Constanzia",female,9,4,2,347082,31.275,,S</t>
  </si>
  <si>
    <t>543,0,3,"Andersson, Miss. Sigrid Elisabeth",female,11,4,2,347082,31.275,,S</t>
  </si>
  <si>
    <t>544,1,2,"Beane, Mr. Edward",male,32,1,0,2908,26,,S</t>
  </si>
  <si>
    <t>545,0,1,"Douglas, Mr. Walter Donald",male,50,1,0,PC 17761,106.425,C86,C</t>
  </si>
  <si>
    <t>546,0,1,"Nicholson, Mr. Arthur Ernest",male,64,0,0,693,26,,S</t>
  </si>
  <si>
    <t>547,1,2,"Beane, Mrs. Edward (Ethel Clarke)",female,19,1,0,2908,26,,S</t>
  </si>
  <si>
    <t>548,1,2,"Padro y Manent, Mr. Julian",male,,0,0,SC/PARIS 2146,13.8625,,C</t>
  </si>
  <si>
    <t>549,0,3,"Goldsmith, Mr. Frank John",male,33,1,1,363291,20.525,,S</t>
  </si>
  <si>
    <t>550,1,2,"Davies, Master. John Morgan Jr",male,8,1,1,C.A. 33112,36.75,,S</t>
  </si>
  <si>
    <t>551,1,1,"Thayer, Mr. John Borland Jr",male,17,0,2,17421,110.8833,C70,C</t>
  </si>
  <si>
    <t>552,0,2,"Sharp, Mr. Percival James R",male,27,0,0,244358,26,,S</t>
  </si>
  <si>
    <t>553,0,3,"O'Brien, Mr. Timothy",male,,0,0,330979,7.8292,,Q</t>
  </si>
  <si>
    <t>554,1,3,"Leeni, Mr. Fahim (""Philip Zenni"")",male,22,0,0,2620,7.225,,C</t>
  </si>
  <si>
    <t>555,1,3,"Ohman, Miss. Velin",female,22,0,0,347085,7.775,,S</t>
  </si>
  <si>
    <t>556,0,1,"Wright, Mr. George",male,62,0,0,113807,26.55,,S</t>
  </si>
  <si>
    <t>557,1,1,"Duff Gordon, Lady. (Lucille Christiana Sutherland) (""Mrs Morgan"")",female,48,1,0,11755,39.6,A16,C</t>
  </si>
  <si>
    <t>558,0,1,"Robbins, Mr. Victor",male,,0,0,PC 17757,227.525,,C</t>
  </si>
  <si>
    <t>559,1,1,"Taussig, Mrs. Emil (Tillie Mandelbaum)",female,39,1,1,110413,79.65,E67,S</t>
  </si>
  <si>
    <t>560,1,3,"de Messemaeker, Mrs. Guillaume Joseph (Emma)",female,36,1,0,345572,17.4,,S</t>
  </si>
  <si>
    <t>561,0,3,"Morrow, Mr. Thomas Rowan",male,,0,0,372622,7.75,,Q</t>
  </si>
  <si>
    <t>562,0,3,"Sivic, Mr. Husein",male,40,0,0,349251,7.8958,,S</t>
  </si>
  <si>
    <t>563,0,2,"Norman, Mr. Robert Douglas",male,28,0,0,218629,13.5,,S</t>
  </si>
  <si>
    <t>564,0,3,"Simmons, Mr. John",male,,0,0,SOTON/OQ 392082,8.05,,S</t>
  </si>
  <si>
    <t>565,0,3,"Meanwell, Miss. (Marion Ogden)",female,,0,0,SOTON/O.Q. 392087,8.05,,S</t>
  </si>
  <si>
    <t>566,0,3,"Davies, Mr. Alfred J",male,24,2,0,A/4 48871,24.15,,S</t>
  </si>
  <si>
    <t>567,0,3,"Stoytcheff, Mr. Ilia",male,19,0,0,349205,7.8958,,S</t>
  </si>
  <si>
    <t>568,0,3,"Palsson, Mrs. Nils (Alma Cornelia Berglund)",female,29,0,4,349909,21.075,,S</t>
  </si>
  <si>
    <t>569,0,3,"Doharr, Mr. Tannous",male,,0,0,2686,7.2292,,C</t>
  </si>
  <si>
    <t>570,1,3,"Jonsson, Mr. Carl",male,32,0,0,350417,7.8542,,S</t>
  </si>
  <si>
    <t>571,1,2,"Harris, Mr. George",male,62,0,0,S.W./PP 752,10.5,,S</t>
  </si>
  <si>
    <t>572,1,1,"Appleton, Mrs. Edward Dale (Charlotte Lamson)",female,53,2,0,11769,51.4792,C101,S</t>
  </si>
  <si>
    <t>573,1,1,"Flynn, Mr. John Irwin (""Irving"")",male,36,0,0,PC 17474,26.3875,E25,S</t>
  </si>
  <si>
    <t>574,1,3,"Kelly, Miss. Mary",female,,0,0,14312,7.75,,Q</t>
  </si>
  <si>
    <t>575,0,3,"Rush, Mr. Alfred George John",male,16,0,0,A/4. 20589,8.05,,S</t>
  </si>
  <si>
    <t>576,0,3,"Patchett, Mr. George",male,19,0,0,358585,14.5,,S</t>
  </si>
  <si>
    <t>577,1,2,"Garside, Miss. Ethel",female,34,0,0,243880,13,,S</t>
  </si>
  <si>
    <t>578,1,1,"Silvey, Mrs. William Baird (Alice Munger)",female,39,1,0,13507,55.9,E44,S</t>
  </si>
  <si>
    <t>579,0,3,"Caram, Mrs. Joseph (Maria Elias)",female,,1,0,2689,14.4583,,C</t>
  </si>
  <si>
    <t>580,1,3,"Jussila, Mr. Eiriik",male,32,0,0,STON/O 2. 3101286,7.925,,S</t>
  </si>
  <si>
    <t>581,1,2,"Christy, Miss. Julie Rachel",female,25,1,1,237789,30,,S</t>
  </si>
  <si>
    <t>582,1,1,"Thayer, Mrs. John Borland (Marian Longstreth Morris)",female,39,1,1,17421,110.8833,C68,C</t>
  </si>
  <si>
    <t>583,0,2,"Downton, Mr. William James",male,54,0,0,28403,26,,S</t>
  </si>
  <si>
    <t>584,0,1,"Ross, Mr. John Hugo",male,36,0,0,13049,40.125,A10,C</t>
  </si>
  <si>
    <t>585,0,3,"Paulner, Mr. Uscher",male,,0,0,3411,8.7125,,C</t>
  </si>
  <si>
    <t>586,1,1,"Taussig, Miss. Ruth",female,18,0,2,110413,79.65,E68,S</t>
  </si>
  <si>
    <t>587,0,2,"Jarvis, Mr. John Denzil",male,47,0,0,237565,15,,S</t>
  </si>
  <si>
    <t>588,1,1,"Frolicher-Stehli, Mr. Maxmillian",male,60,1,1,13567,79.2,B41,C</t>
  </si>
  <si>
    <t>589,0,3,"Gilinski, Mr. Eliezer",male,22,0,0,14973,8.05,,S</t>
  </si>
  <si>
    <t>590,0,3,"Murdlin, Mr. Joseph",male,,0,0,A./5. 3235,8.05,,S</t>
  </si>
  <si>
    <t>591,0,3,"Rintamaki, Mr. Matti",male,35,0,0,STON/O 2. 3101273,7.125,,S</t>
  </si>
  <si>
    <t>592,1,1,"Stephenson, Mrs. Walter Bertram (Martha Eustis)",female,52,1,0,36947,78.2667,D20,C</t>
  </si>
  <si>
    <t>593,0,3,"Elsbury, Mr. William James",male,47,0,0,A/5 3902,7.25,,S</t>
  </si>
  <si>
    <t>594,0,3,"Bourke, Miss. Mary",female,,0,2,364848,7.75,,Q</t>
  </si>
  <si>
    <t>595,0,2,"Chapman, Mr. John Henry",male,37,1,0,SC/AH 29037,26,,S</t>
  </si>
  <si>
    <t>596,0,3,"Van Impe, Mr. Jean Baptiste",male,36,1,1,345773,24.15,,S</t>
  </si>
  <si>
    <t>597,1,2,"Leitch, Miss. Jessie Wills",female,,0,0,248727,33,,S</t>
  </si>
  <si>
    <t>598,0,3,"Johnson, Mr. Alfred",male,49,0,0,LINE,0,,S</t>
  </si>
  <si>
    <t>599,0,3,"Boulos, Mr. Hanna",male,,0,0,2664,7.225,,C</t>
  </si>
  <si>
    <t>600,1,1,"Duff Gordon, Sir. Cosmo Edmund (""Mr Morgan"")",male,49,1,0,PC 17485,56.9292,A20,C</t>
  </si>
  <si>
    <t>601,1,2,"Jacobsohn, Mrs. Sidney Samuel (Amy Frances Christy)",female,24,2,1,243847,27,,S</t>
  </si>
  <si>
    <t>602,0,3,"Slabenoff, Mr. Petco",male,,0,0,349214,7.8958,,S</t>
  </si>
  <si>
    <t>603,0,1,"Harrington, Mr. Charles H",male,,0,0,113796,42.4,,S</t>
  </si>
  <si>
    <t>604,0,3,"Torber, Mr. Ernst William",male,44,0,0,364511,8.05,,S</t>
  </si>
  <si>
    <t>605,1,1,"Homer, Mr. Harry (""Mr E Haven"")",male,35,0,0,111426,26.55,,C</t>
  </si>
  <si>
    <t>606,0,3,"Lindell, Mr. Edvard Bengtsson",male,36,1,0,349910,15.55,,S</t>
  </si>
  <si>
    <t>607,0,3,"Karaic, Mr. Milan",male,30,0,0,349246,7.8958,,S</t>
  </si>
  <si>
    <t>608,1,1,"Daniel, Mr. Robert Williams",male,27,0,0,113804,30.5,,S</t>
  </si>
  <si>
    <t>609,1,2,"Laroche, Mrs. Joseph (Juliette Marie Louise Lafargue)",female,22,1,2,SC/Paris 2123,41.5792,,C</t>
  </si>
  <si>
    <t>610,1,1,"Shutes, Miss. Elizabeth W",female,40,0,0,PC 17582,153.4625,C125,S</t>
  </si>
  <si>
    <t>611,0,3,"Andersson, Mrs. Anders Johan (Alfrida Konstantia Brogren)",female,39,1,5,347082,31.275,,S</t>
  </si>
  <si>
    <t>612,0,3,"Jardin, Mr. Jose Neto",male,,0,0,SOTON/O.Q. 3101305,7.05,,S</t>
  </si>
  <si>
    <t>613,1,3,"Murphy, Miss. Margaret Jane",female,,1,0,367230,15.5,,Q</t>
  </si>
  <si>
    <t>614,0,3,"Horgan, Mr. John",male,,0,0,370377,7.75,,Q</t>
  </si>
  <si>
    <t>615,0,3,"Brocklebank, Mr. William Alfred",male,35,0,0,364512,8.05,,S</t>
  </si>
  <si>
    <t>616,1,2,"Herman, Miss. Alice",female,24,1,2,220845,65,,S</t>
  </si>
  <si>
    <t>617,0,3,"Danbom, Mr. Ernst Gilbert",male,34,1,1,347080,14.4,,S</t>
  </si>
  <si>
    <t>618,0,3,"Lobb, Mrs. William Arthur (Cordelia K Stanlick)",female,26,1,0,A/5. 3336,16.1,,S</t>
  </si>
  <si>
    <t>619,1,2,"Becker, Miss. Marion Louise",female,4,2,1,230136,39,F4,S</t>
  </si>
  <si>
    <t>620,0,2,"Gavey, Mr. Lawrence",male,26,0,0,31028,10.5,,S</t>
  </si>
  <si>
    <t>621,0,3,"Yasbeck, Mr. Antoni",male,27,1,0,2659,14.4542,,C</t>
  </si>
  <si>
    <t>622,1,1,"Kimball, Mr. Edwin Nelson Jr",male,42,1,0,11753,52.5542,D19,S</t>
  </si>
  <si>
    <t>623,1,3,"Nakid, Mr. Sahid",male,20,1,1,2653,15.7417,,C</t>
  </si>
  <si>
    <t>624,0,3,"Hansen, Mr. Henry Damsgaard",male,21,0,0,350029,7.8542,,S</t>
  </si>
  <si>
    <t>625,0,3,"Bowen, Mr. David John ""Dai""",male,21,0,0,54636,16.1,,S</t>
  </si>
  <si>
    <t>626,0,1,"Sutton, Mr. Frederick",male,61,0,0,36963,32.3208,D50,S</t>
  </si>
  <si>
    <t>627,0,2,"Kirkland, Rev. Charles Leonard",male,57,0,0,219533,12.35,,Q</t>
  </si>
  <si>
    <t>628,1,1,"Longley, Miss. Gretchen Fiske",female,21,0,0,13502,77.9583,D9,S</t>
  </si>
  <si>
    <t>629,0,3,"Bostandyeff, Mr. Guentcho",male,26,0,0,349224,7.8958,,S</t>
  </si>
  <si>
    <t>630,0,3,"O'Connell, Mr. Patrick D",male,,0,0,334912,7.7333,,Q</t>
  </si>
  <si>
    <t>631,1,1,"Barkworth, Mr. Algernon Henry Wilson",male,80,0,0,27042,30,A23,S</t>
  </si>
  <si>
    <t>632,0,3,"Lundahl, Mr. Johan Svensson",male,51,0,0,347743,7.0542,,S</t>
  </si>
  <si>
    <t>633,1,1,"Stahelin-Maeglin, Dr. Max",male,32,0,0,13214,30.5,B50,C</t>
  </si>
  <si>
    <t>634,0,1,"Parr, Mr. William Henry Marsh",male,,0,0,112052,0,,S</t>
  </si>
  <si>
    <t>635,0,3,"Skoog, Miss. Mabel",female,9,3,2,347088,27.9,,S</t>
  </si>
  <si>
    <t>636,1,2,"Davis, Miss. Mary",female,28,0,0,237668,13,,S</t>
  </si>
  <si>
    <t>637,0,3,"Leinonen, Mr. Antti Gustaf",male,32,0,0,STON/O 2. 3101292,7.925,,S</t>
  </si>
  <si>
    <t>638,0,2,"Collyer, Mr. Harvey",male,31,1,1,C.A. 31921,26.25,,S</t>
  </si>
  <si>
    <t>639,0,3,"Panula, Mrs. Juha (Maria Emilia Ojala)",female,41,0,5,3101295,39.6875,,S</t>
  </si>
  <si>
    <t>640,0,3,"Thorneycroft, Mr. Percival",male,,1,0,376564,16.1,,S</t>
  </si>
  <si>
    <t>641,0,3,"Jensen, Mr. Hans Peder",male,20,0,0,350050,7.8542,,S</t>
  </si>
  <si>
    <t>642,1,1,"Sagesser, Mlle. Emma",female,24,0,0,PC 17477,69.3,B35,C</t>
  </si>
  <si>
    <t>643,0,3,"Skoog, Miss. Margit Elizabeth",female,2,3,2,347088,27.9,,S</t>
  </si>
  <si>
    <t>644,1,3,"Foo, Mr. Choong",male,,0,0,1601,56.4958,,S</t>
  </si>
  <si>
    <t>645,1,3,"Baclini, Miss. Eugenie",female,0.75,2,1,2666,19.2583,,C</t>
  </si>
  <si>
    <t>646,1,1,"Harper, Mr. Henry Sleeper",male,48,1,0,PC 17572,76.7292,D33,C</t>
  </si>
  <si>
    <t>647,0,3,"Cor, Mr. Liudevit",male,19,0,0,349231,7.8958,,S</t>
  </si>
  <si>
    <t>648,1,1,"Simonius-Blumer, Col. Oberst Alfons",male,56,0,0,13213,35.5,A26,C</t>
  </si>
  <si>
    <t>649,0,3,"Willey, Mr. Edward",male,,0,0,S.O./P.P. 751,7.55,,S</t>
  </si>
  <si>
    <t>650,1,3,"Stanley, Miss. Amy Zillah Elsie",female,23,0,0,CA. 2314,7.55,,S</t>
  </si>
  <si>
    <t>651,0,3,"Mitkoff, Mr. Mito",male,,0,0,349221,7.8958,,S</t>
  </si>
  <si>
    <t>652,1,2,"Doling, Miss. Elsie",female,18,0,1,231919,23,,S</t>
  </si>
  <si>
    <t>653,0,3,"Kalvik, Mr. Johannes Halvorsen",male,21,0,0,8475,8.4333,,S</t>
  </si>
  <si>
    <t>654,1,3,"O'Leary, Miss. Hanora ""Norah""",female,,0,0,330919,7.8292,,Q</t>
  </si>
  <si>
    <t>655,0,3,"Hegarty, Miss. Hanora ""Nora""",female,18,0,0,365226,6.75,,Q</t>
  </si>
  <si>
    <t>656,0,2,"Hickman, Mr. Leonard Mark",male,24,2,0,S.O.C. 14879,73.5,,S</t>
  </si>
  <si>
    <t>657,0,3,"Radeff, Mr. Alexander",male,,0,0,349223,7.8958,,S</t>
  </si>
  <si>
    <t>658,0,3,"Bourke, Mrs. John (Catherine)",female,32,1,1,364849,15.5,,Q</t>
  </si>
  <si>
    <t>659,0,2,"Eitemiller, Mr. George Floyd",male,23,0,0,29751,13,,S</t>
  </si>
  <si>
    <t>660,0,1,"Newell, Mr. Arthur Webster",male,58,0,2,35273,113.275,D48,C</t>
  </si>
  <si>
    <t>661,1,1,"Frauenthal, Dr. Henry William",male,50,2,0,PC 17611,133.65,,S</t>
  </si>
  <si>
    <t>662,0,3,"Badt, Mr. Mohamed",male,40,0,0,2623,7.225,,C</t>
  </si>
  <si>
    <t>663,0,1,"Colley, Mr. Edward Pomeroy",male,47,0,0,5727,25.5875,E58,S</t>
  </si>
  <si>
    <t>664,0,3,"Coleff, Mr. Peju",male,36,0,0,349210,7.4958,,S</t>
  </si>
  <si>
    <t>665,1,3,"Lindqvist, Mr. Eino William",male,20,1,0,STON/O 2. 3101285,7.925,,S</t>
  </si>
  <si>
    <t>666,0,2,"Hickman, Mr. Lewis",male,32,2,0,S.O.C. 14879,73.5,,S</t>
  </si>
  <si>
    <t>667,0,2,"Butler, Mr. Reginald Fenton",male,25,0,0,234686,13,,S</t>
  </si>
  <si>
    <t>668,0,3,"Rommetvedt, Mr. Knud Paust",male,,0,0,312993,7.775,,S</t>
  </si>
  <si>
    <t>669,0,3,"Cook, Mr. Jacob",male,43,0,0,A/5 3536,8.05,,S</t>
  </si>
  <si>
    <t>670,1,1,"Taylor, Mrs. Elmer Zebley (Juliet Cummins Wright)",female,,1,0,19996,52,C126,S</t>
  </si>
  <si>
    <t>671,1,2,"Brown, Mrs. Thomas William Solomon (Elizabeth Catherine Ford)",female,40,1,1,29750,39,,S</t>
  </si>
  <si>
    <t>672,0,1,"Davidson, Mr. Thornton",male,31,1,0,F.C. 12750,52,B71,S</t>
  </si>
  <si>
    <t>673,0,2,"Mitchell, Mr. Henry Michael",male,70,0,0,C.A. 24580,10.5,,S</t>
  </si>
  <si>
    <t>674,1,2,"Wilhelms, Mr. Charles",male,31,0,0,244270,13,,S</t>
  </si>
  <si>
    <t>675,0,2,"Watson, Mr. Ennis Hastings",male,,0,0,239856,0,,S</t>
  </si>
  <si>
    <t>676,0,3,"Edvardsson, Mr. Gustaf Hjalmar",male,18,0,0,349912,7.775,,S</t>
  </si>
  <si>
    <t>677,0,3,"Sawyer, Mr. Frederick Charles",male,24.5,0,0,342826,8.05,,S</t>
  </si>
  <si>
    <t>678,1,3,"Turja, Miss. Anna Sofia",female,18,0,0,4138,9.8417,,S</t>
  </si>
  <si>
    <t>679,0,3,"Goodwin, Mrs. Frederick (Augusta Tyler)",female,43,1,6,CA 2144,46.9,,S</t>
  </si>
  <si>
    <t>680,1,1,"Cardeza, Mr. Thomas Drake Martinez",male,36,0,1,PC 17755,512.3292,B51 B53 B55,C</t>
  </si>
  <si>
    <t>681,0,3,"Peters, Miss. Katie",female,,0,0,330935,8.1375,,Q</t>
  </si>
  <si>
    <t>682,1,1,"Hassab, Mr. Hammad",male,27,0,0,PC 17572,76.7292,D49,C</t>
  </si>
  <si>
    <t>683,0,3,"Olsvigen, Mr. Thor Anderson",male,20,0,0,6563,9.225,,S</t>
  </si>
  <si>
    <t>684,0,3,"Goodwin, Mr. Charles Edward",male,14,5,2,CA 2144,46.9,,S</t>
  </si>
  <si>
    <t>685,0,2,"Brown, Mr. Thomas William Solomon",male,60,1,1,29750,39,,S</t>
  </si>
  <si>
    <t>686,0,2,"Laroche, Mr. Joseph Philippe Lemercier",male,25,1,2,SC/Paris 2123,41.5792,,C</t>
  </si>
  <si>
    <t>687,0,3,"Panula, Mr. Jaako Arnold",male,14,4,1,3101295,39.6875,,S</t>
  </si>
  <si>
    <t>688,0,3,"Dakic, Mr. Branko",male,19,0,0,349228,10.1708,,S</t>
  </si>
  <si>
    <t>689,0,3,"Fischer, Mr. Eberhard Thelander",male,18,0,0,350036,7.7958,,S</t>
  </si>
  <si>
    <t>690,1,1,"Madill, Miss. Georgette Alexandra",female,15,0,1,24160,211.3375,B5,S</t>
  </si>
  <si>
    <t>691,1,1,"Dick, Mr. Albert Adrian",male,31,1,0,17474,57,B20,S</t>
  </si>
  <si>
    <t>692,1,3,"Karun, Miss. Manca",female,4,0,1,349256,13.4167,,C</t>
  </si>
  <si>
    <t>693,1,3,"Lam, Mr. Ali",male,,0,0,1601,56.4958,,S</t>
  </si>
  <si>
    <t>694,0,3,"Saad, Mr. Khalil",male,25,0,0,2672,7.225,,C</t>
  </si>
  <si>
    <t>695,0,1,"Weir, Col. John",male,60,0,0,113800,26.55,,S</t>
  </si>
  <si>
    <t>696,0,2,"Chapman, Mr. Charles Henry",male,52,0,0,248731,13.5,,S</t>
  </si>
  <si>
    <t>697,0,3,"Kelly, Mr. James",male,44,0,0,363592,8.05,,S</t>
  </si>
  <si>
    <t>698,1,3,"Mullens, Miss. Katherine ""Katie""",female,,0,0,35852,7.7333,,Q</t>
  </si>
  <si>
    <t>699,0,1,"Thayer, Mr. John Borland",male,49,1,1,17421,110.8833,C68,C</t>
  </si>
  <si>
    <t>700,0,3,"Humblen, Mr. Adolf Mathias Nicolai Olsen",male,42,0,0,348121,7.65,F G63,S</t>
  </si>
  <si>
    <t>701,1,1,"Astor, Mrs. John Jacob (Madeleine Talmadge Force)",female,18,1,0,PC 17757,227.525,C62 C64,C</t>
  </si>
  <si>
    <t>702,1,1,"Silverthorne, Mr. Spencer Victor",male,35,0,0,PC 17475,26.2875,E24,S</t>
  </si>
  <si>
    <t>703,0,3,"Barbara, Miss. Saiide",female,18,0,1,2691,14.4542,,C</t>
  </si>
  <si>
    <t>704,0,3,"Gallagher, Mr. Martin",male,25,0,0,36864,7.7417,,Q</t>
  </si>
  <si>
    <t>705,0,3,"Hansen, Mr. Henrik Juul",male,26,1,0,350025,7.8542,,S</t>
  </si>
  <si>
    <t>706,0,2,"Morley, Mr. Henry Samuel (""Mr Henry Marshall"")",male,39,0,0,250655,26,,S</t>
  </si>
  <si>
    <t>707,1,2,"Kelly, Mrs. Florence ""Fannie""",female,45,0,0,223596,13.5,,S</t>
  </si>
  <si>
    <t>708,1,1,"Calderhead, Mr. Edward Pennington",male,42,0,0,PC 17476,26.2875,E24,S</t>
  </si>
  <si>
    <t>709,1,1,"Cleaver, Miss. Alice",female,22,0,0,113781,151.55,,S</t>
  </si>
  <si>
    <t>710,1,3,"Moubarek, Master. Halim Gonios (""William George"")",male,,1,1,2661,15.2458,,C</t>
  </si>
  <si>
    <t>711,1,1,"Mayne, Mlle. Berthe Antonine (""Mrs de Villiers"")",female,24,0,0,PC 17482,49.5042,C90,C</t>
  </si>
  <si>
    <t>712,0,1,"Klaber, Mr. Herman",male,,0,0,113028,26.55,C124,S</t>
  </si>
  <si>
    <t>713,1,1,"Taylor, Mr. Elmer Zebley",male,48,1,0,19996,52,C126,S</t>
  </si>
  <si>
    <t>714,0,3,"Larsson, Mr. August Viktor",male,29,0,0,7545,9.4833,,S</t>
  </si>
  <si>
    <t>715,0,2,"Greenberg, Mr. Samuel",male,52,0,0,250647,13,,S</t>
  </si>
  <si>
    <t>716,0,3,"Soholt, Mr. Peter Andreas Lauritz Andersen",male,19,0,0,348124,7.65,F G73,S</t>
  </si>
  <si>
    <t>717,1,1,"Endres, Miss. Caroline Louise",female,38,0,0,PC 17757,227.525,C45,C</t>
  </si>
  <si>
    <t>718,1,2,"Troutt, Miss. Edwina Celia ""Winnie""",female,27,0,0,34218,10.5,E101,S</t>
  </si>
  <si>
    <t>719,0,3,"McEvoy, Mr. Michael",male,,0,0,36568,15.5,,Q</t>
  </si>
  <si>
    <t>720,0,3,"Johnson, Mr. Malkolm Joackim",male,33,0,0,347062,7.775,,S</t>
  </si>
  <si>
    <t>721,1,2,"Harper, Miss. Annie Jessie ""Nina""",female,6,0,1,248727,33,,S</t>
  </si>
  <si>
    <t>722,0,3,"Jensen, Mr. Svend Lauritz",male,17,1,0,350048,7.0542,,S</t>
  </si>
  <si>
    <t>723,0,2,"Gillespie, Mr. William Henry",male,34,0,0,12233,13,,S</t>
  </si>
  <si>
    <t>724,0,2,"Hodges, Mr. Henry Price",male,50,0,0,250643,13,,S</t>
  </si>
  <si>
    <t>725,1,1,"Chambers, Mr. Norman Campbell",male,27,1,0,113806,53.1,E8,S</t>
  </si>
  <si>
    <t>726,0,3,"Oreskovic, Mr. Luka",male,20,0,0,315094,8.6625,,S</t>
  </si>
  <si>
    <t>727,1,2,"Renouf, Mrs. Peter Henry (Lillian Jefferys)",female,30,3,0,31027,21,,S</t>
  </si>
  <si>
    <t>728,1,3,"Mannion, Miss. Margareth",female,,0,0,36866,7.7375,,Q</t>
  </si>
  <si>
    <t>729,0,2,"Bryhl, Mr. Kurt Arnold Gottfrid",male,25,1,0,236853,26,,S</t>
  </si>
  <si>
    <t>730,0,3,"Ilmakangas, Miss. Pieta Sofia",female,25,1,0,STON/O2. 3101271,7.925,,S</t>
  </si>
  <si>
    <t>731,1,1,"Allen, Miss. Elisabeth Walton",female,29,0,0,24160,211.3375,B5,S</t>
  </si>
  <si>
    <t>732,0,3,"Hassan, Mr. Houssein G N",male,11,0,0,2699,18.7875,,C</t>
  </si>
  <si>
    <t>733,0,2,"Knight, Mr. Robert J",male,,0,0,239855,0,,S</t>
  </si>
  <si>
    <t>734,0,2,"Berriman, Mr. William John",male,23,0,0,28425,13,,S</t>
  </si>
  <si>
    <t>735,0,2,"Troupiansky, Mr. Moses Aaron",male,23,0,0,233639,13,,S</t>
  </si>
  <si>
    <t>736,0,3,"Williams, Mr. Leslie",male,28.5,0,0,54636,16.1,,S</t>
  </si>
  <si>
    <t>737,0,3,"Ford, Mrs. Edward (Margaret Ann Watson)",female,48,1,3,W./C. 6608,34.375,,S</t>
  </si>
  <si>
    <t>738,1,1,"Lesurer, Mr. Gustave J",male,35,0,0,PC 17755,512.3292,B101,C</t>
  </si>
  <si>
    <t>739,0,3,"Ivanoff, Mr. Kanio",male,,0,0,349201,7.8958,,S</t>
  </si>
  <si>
    <t>740,0,3,"Nankoff, Mr. Minko",male,,0,0,349218,7.8958,,S</t>
  </si>
  <si>
    <t>741,1,1,"Hawksford, Mr. Walter James",male,,0,0,16988,30,D45,S</t>
  </si>
  <si>
    <t>742,0,1,"Cavendish, Mr. Tyrell William",male,36,1,0,19877,78.85,C46,S</t>
  </si>
  <si>
    <t>743,1,1,"Ryerson, Miss. Susan Parker ""Suzette""",female,21,2,2,PC 17608,262.375,B57 B59 B63 B66,C</t>
  </si>
  <si>
    <t>744,0,3,"McNamee, Mr. Neal",male,24,1,0,376566,16.1,,S</t>
  </si>
  <si>
    <t>745,1,3,"Stranden, Mr. Juho",male,31,0,0,STON/O 2. 3101288,7.925,,S</t>
  </si>
  <si>
    <t>746,0,1,"Crosby, Capt. Edward Gifford",male,70,1,1,WE/P 5735,71,B22,S</t>
  </si>
  <si>
    <t>747,0,3,"Abbott, Mr. Rossmore Edward",male,16,1,1,C.A. 2673,20.25,,S</t>
  </si>
  <si>
    <t>748,1,2,"Sinkkonen, Miss. Anna",female,30,0,0,250648,13,,S</t>
  </si>
  <si>
    <t>749,0,1,"Marvin, Mr. Daniel Warner",male,19,1,0,113773,53.1,D30,S</t>
  </si>
  <si>
    <t>750,0,3,"Connaghton, Mr. Michael",male,31,0,0,335097,7.75,,Q</t>
  </si>
  <si>
    <t>751,1,2,"Wells, Miss. Joan",female,4,1,1,29103,23,,S</t>
  </si>
  <si>
    <t>752,1,3,"Moor, Master. Meier",male,6,0,1,392096,12.475,E121,S</t>
  </si>
  <si>
    <t>753,0,3,"Vande Velde, Mr. Johannes Joseph",male,33,0,0,345780,9.5,,S</t>
  </si>
  <si>
    <t>754,0,3,"Jonkoff, Mr. Lalio",male,23,0,0,349204,7.8958,,S</t>
  </si>
  <si>
    <t>755,1,2,"Herman, Mrs. Samuel (Jane Laver)",female,48,1,2,220845,65,,S</t>
  </si>
  <si>
    <t>756,1,2,"Hamalainen, Master. Viljo",male,0.67,1,1,250649,14.5,,S</t>
  </si>
  <si>
    <t>757,0,3,"Carlsson, Mr. August Sigfrid",male,28,0,0,350042,7.7958,,S</t>
  </si>
  <si>
    <t>758,0,2,"Bailey, Mr. Percy Andrew",male,18,0,0,29108,11.5,,S</t>
  </si>
  <si>
    <t>759,0,3,"Theobald, Mr. Thomas Leonard",male,34,0,0,363294,8.05,,S</t>
  </si>
  <si>
    <t>760,1,1,"Rothes, the Countess. of (Lucy Noel Martha Dyer-Edwards)",female,33,0,0,110152,86.5,B77,S</t>
  </si>
  <si>
    <t>761,0,3,"Garfirth, Mr. John",male,,0,0,358585,14.5,,S</t>
  </si>
  <si>
    <t>762,0,3,"Nirva, Mr. Iisakki Antino Aijo",male,41,0,0,SOTON/O2 3101272,7.125,,S</t>
  </si>
  <si>
    <t>763,1,3,"Barah, Mr. Hanna Assi",male,20,0,0,2663,7.2292,,C</t>
  </si>
  <si>
    <t>764,1,1,"Carter, Mrs. William Ernest (Lucile Polk)",female,36,1,2,113760,120,B96 B98,S</t>
  </si>
  <si>
    <t>765,0,3,"Eklund, Mr. Hans Linus",male,16,0,0,347074,7.775,,S</t>
  </si>
  <si>
    <t>766,1,1,"Hogeboom, Mrs. John C (Anna Andrews)",female,51,1,0,13502,77.9583,D11,S</t>
  </si>
  <si>
    <t>767,0,1,"Brewe, Dr. Arthur Jackson",male,,0,0,112379,39.6,,C</t>
  </si>
  <si>
    <t>768,0,3,"Mangan, Miss. Mary",female,30.5,0,0,364850,7.75,,Q</t>
  </si>
  <si>
    <t>769,0,3,"Moran, Mr. Daniel J",male,,1,0,371110,24.15,,Q</t>
  </si>
  <si>
    <t>770,0,3,"Gronnestad, Mr. Daniel Danielsen",male,32,0,0,8471,8.3625,,S</t>
  </si>
  <si>
    <t>771,0,3,"Lievens, Mr. Rene Aime",male,24,0,0,345781,9.5,,S</t>
  </si>
  <si>
    <t>772,0,3,"Jensen, Mr. Niels Peder",male,48,0,0,350047,7.8542,,S</t>
  </si>
  <si>
    <t>773,0,2,"Mack, Mrs. (Mary)",female,57,0,0,S.O./P.P. 3,10.5,E77,S</t>
  </si>
  <si>
    <t>774,0,3,"Elias, Mr. Dibo",male,,0,0,2674,7.225,,C</t>
  </si>
  <si>
    <t>775,1,2,"Hocking, Mrs. Elizabeth (Eliza Needs)",female,54,1,3,29105,23,,S</t>
  </si>
  <si>
    <t>776,0,3,"Myhrman, Mr. Pehr Fabian Oliver Malkolm",male,18,0,0,347078,7.75,,S</t>
  </si>
  <si>
    <t>777,0,3,"Tobin, Mr. Roger",male,,0,0,383121,7.75,F38,Q</t>
  </si>
  <si>
    <t>778,1,3,"Emanuel, Miss. Virginia Ethel",female,5,0,0,364516,12.475,,S</t>
  </si>
  <si>
    <t>779,0,3,"Kilgannon, Mr. Thomas J",male,,0,0,36865,7.7375,,Q</t>
  </si>
  <si>
    <t>780,1,1,"Robert, Mrs. Edward Scott (Elisabeth Walton McMillan)",female,43,0,1,24160,211.3375,B3,S</t>
  </si>
  <si>
    <t>781,1,3,"Ayoub, Miss. Banoura",female,13,0,0,2687,7.2292,,C</t>
  </si>
  <si>
    <t>782,1,1,"Dick, Mrs. Albert Adrian (Vera Gillespie)",female,17,1,0,17474,57,B20,S</t>
  </si>
  <si>
    <t>783,0,1,"Long, Mr. Milton Clyde",male,29,0,0,113501,30,D6,S</t>
  </si>
  <si>
    <t>784,0,3,"Johnston, Mr. Andrew G",male,,1,2,W./C. 6607,23.45,,S</t>
  </si>
  <si>
    <t>785,0,3,"Ali, Mr. William",male,25,0,0,SOTON/O.Q. 3101312,7.05,,S</t>
  </si>
  <si>
    <t>786,0,3,"Harmer, Mr. Abraham (David Lishin)",male,25,0,0,374887,7.25,,S</t>
  </si>
  <si>
    <t>787,1,3,"Sjoblom, Miss. Anna Sofia",female,18,0,0,3101265,7.4958,,S</t>
  </si>
  <si>
    <t>788,0,3,"Rice, Master. George Hugh",male,8,4,1,382652,29.125,,Q</t>
  </si>
  <si>
    <t>789,1,3,"Dean, Master. Bertram Vere",male,1,1,2,C.A. 2315,20.575,,S</t>
  </si>
  <si>
    <t>790,0,1,"Guggenheim, Mr. Benjamin",male,46,0,0,PC 17593,79.2,B82 B84,C</t>
  </si>
  <si>
    <t>791,0,3,"Keane, Mr. Andrew ""Andy""",male,,0,0,12460,7.75,,Q</t>
  </si>
  <si>
    <t>792,0,2,"Gaskell, Mr. Alfred",male,16,0,0,239865,26,,S</t>
  </si>
  <si>
    <t>793,0,3,"Sage, Miss. Stella Anna",female,,8,2,CA. 2343,69.55,,S</t>
  </si>
  <si>
    <t>794,0,1,"Hoyt, Mr. William Fisher",male,,0,0,PC 17600,30.6958,,C</t>
  </si>
  <si>
    <t>795,0,3,"Dantcheff, Mr. Ristiu",male,25,0,0,349203,7.8958,,S</t>
  </si>
  <si>
    <t>796,0,2,"Otter, Mr. Richard",male,39,0,0,28213,13,,S</t>
  </si>
  <si>
    <t>797,1,1,"Leader, Dr. Alice (Farnham)",female,49,0,0,17465,25.9292,D17,S</t>
  </si>
  <si>
    <t>798,1,3,"Osman, Mrs. Mara",female,31,0,0,349244,8.6833,,S</t>
  </si>
  <si>
    <t>799,0,3,"Ibrahim Shawah, Mr. Yousseff",male,30,0,0,2685,7.2292,,C</t>
  </si>
  <si>
    <t>800,0,3,"Van Impe, Mrs. Jean Baptiste (Rosalie Paula Govaert)",female,30,1,1,345773,24.15,,S</t>
  </si>
  <si>
    <t>801,0,2,"Ponesell, Mr. Martin",male,34,0,0,250647,13,,S</t>
  </si>
  <si>
    <t>802,1,2,"Collyer, Mrs. Harvey (Charlotte Annie Tate)",female,31,1,1,C.A. 31921,26.25,,S</t>
  </si>
  <si>
    <t>803,1,1,"Carter, Master. William Thornton II",male,11,1,2,113760,120,B96 B98,S</t>
  </si>
  <si>
    <t>804,1,3,"Thomas, Master. Assad Alexander",male,0.42,0,1,2625,8.5167,,C</t>
  </si>
  <si>
    <t>805,1,3,"Hedman, Mr. Oskar Arvid",male,27,0,0,347089,6.975,,S</t>
  </si>
  <si>
    <t>806,0,3,"Johansson, Mr. Karl Johan",male,31,0,0,347063,7.775,,S</t>
  </si>
  <si>
    <t>807,0,1,"Andrews, Mr. Thomas Jr",male,39,0,0,112050,0,A36,S</t>
  </si>
  <si>
    <t>808,0,3,"Pettersson, Miss. Ellen Natalia",female,18,0,0,347087,7.775,,S</t>
  </si>
  <si>
    <t>809,0,2,"Meyer, Mr. August",male,39,0,0,248723,13,,S</t>
  </si>
  <si>
    <t>810,1,1,"Chambers, Mrs. Norman Campbell (Bertha Griggs)",female,33,1,0,113806,53.1,E8,S</t>
  </si>
  <si>
    <t>811,0,3,"Alexander, Mr. William",male,26,0,0,3474,7.8875,,S</t>
  </si>
  <si>
    <t>812,0,3,"Lester, Mr. James",male,39,0,0,A/4 48871,24.15,,S</t>
  </si>
  <si>
    <t>813,0,2,"Slemen, Mr. Richard James",male,35,0,0,28206,10.5,,S</t>
  </si>
  <si>
    <t>814,0,3,"Andersson, Miss. Ebba Iris Alfrida",female,6,4,2,347082,31.275,,S</t>
  </si>
  <si>
    <t>815,0,3,"Tomlin, Mr. Ernest Portage",male,30.5,0,0,364499,8.05,,S</t>
  </si>
  <si>
    <t>816,0,1,"Fry, Mr. Richard",male,,0,0,112058,0,B102,S</t>
  </si>
  <si>
    <t>817,0,3,"Heininen, Miss. Wendla Maria",female,23,0,0,STON/O2. 3101290,7.925,,S</t>
  </si>
  <si>
    <t>818,0,2,"Mallet, Mr. Albert",male,31,1,1,S.C./PARIS 2079,37.0042,,C</t>
  </si>
  <si>
    <t>819,0,3,"Holm, Mr. John Fredrik Alexander",male,43,0,0,C 7075,6.45,,S</t>
  </si>
  <si>
    <t>820,0,3,"Skoog, Master. Karl Thorsten",male,10,3,2,347088,27.9,,S</t>
  </si>
  <si>
    <t>821,1,1,"Hays, Mrs. Charles Melville (Clara Jennings Gregg)",female,52,1,1,12749,93.5,B69,S</t>
  </si>
  <si>
    <t>822,1,3,"Lulic, Mr. Nikola",male,27,0,0,315098,8.6625,,S</t>
  </si>
  <si>
    <t>823,0,1,"Reuchlin, Jonkheer. John George",male,38,0,0,19972,0,,S</t>
  </si>
  <si>
    <t>824,1,3,"Moor, Mrs. (Beila)",female,27,0,1,392096,12.475,E121,S</t>
  </si>
  <si>
    <t>825,0,3,"Panula, Master. Urho Abraham",male,2,4,1,3101295,39.6875,,S</t>
  </si>
  <si>
    <t>826,0,3,"Flynn, Mr. John",male,,0,0,368323,6.95,,Q</t>
  </si>
  <si>
    <t>827,0,3,"Lam, Mr. Len",male,,0,0,1601,56.4958,,S</t>
  </si>
  <si>
    <t>828,1,2,"Mallet, Master. Andre",male,1,0,2,S.C./PARIS 2079,37.0042,,C</t>
  </si>
  <si>
    <t>829,1,3,"McCormack, Mr. Thomas Joseph",male,,0,0,367228,7.75,,Q</t>
  </si>
  <si>
    <t>830,1,1,"Stone, Mrs. George Nelson (Martha Evelyn)",female,62,0,0,113572,80,B28,</t>
  </si>
  <si>
    <t>831,1,3,"Yasbeck, Mrs. Antoni (Selini Alexander)",female,15,1,0,2659,14.4542,,C</t>
  </si>
  <si>
    <t>832,1,2,"Richards, Master. George Sibley",male,0.83,1,1,29106,18.75,,S</t>
  </si>
  <si>
    <t>833,0,3,"Saad, Mr. Amin",male,,0,0,2671,7.2292,,C</t>
  </si>
  <si>
    <t>834,0,3,"Augustsson, Mr. Albert",male,23,0,0,347468,7.8542,,S</t>
  </si>
  <si>
    <t>835,0,3,"Allum, Mr. Owen George",male,18,0,0,2223,8.3,,S</t>
  </si>
  <si>
    <t>836,1,1,"Compton, Miss. Sara Rebecca",female,39,1,1,PC 17756,83.1583,E49,C</t>
  </si>
  <si>
    <t>837,0,3,"Pasic, Mr. Jakob",male,21,0,0,315097,8.6625,,S</t>
  </si>
  <si>
    <t>838,0,3,"Sirota, Mr. Maurice",male,,0,0,392092,8.05,,S</t>
  </si>
  <si>
    <t>839,1,3,"Chip, Mr. Chang",male,32,0,0,1601,56.4958,,S</t>
  </si>
  <si>
    <t>840,1,1,"Marechal, Mr. Pierre",male,,0,0,11774,29.7,C47,C</t>
  </si>
  <si>
    <t>841,0,3,"Alhomaki, Mr. Ilmari Rudolf",male,20,0,0,SOTON/O2 3101287,7.925,,S</t>
  </si>
  <si>
    <t>842,0,2,"Mudd, Mr. Thomas Charles",male,16,0,0,S.O./P.P. 3,10.5,,S</t>
  </si>
  <si>
    <t>843,1,1,"Serepeca, Miss. Augusta",female,30,0,0,113798,31,,C</t>
  </si>
  <si>
    <t>844,0,3,"Lemberopolous, Mr. Peter L",male,34.5,0,0,2683,6.4375,,C</t>
  </si>
  <si>
    <t>845,0,3,"Culumovic, Mr. Jeso",male,17,0,0,315090,8.6625,,S</t>
  </si>
  <si>
    <t>846,0,3,"Abbing, Mr. Anthony",male,42,0,0,C.A. 5547,7.55,,S</t>
  </si>
  <si>
    <t>847,0,3,"Sage, Mr. Douglas Bullen",male,,8,2,CA. 2343,69.55,,S</t>
  </si>
  <si>
    <t>848,0,3,"Markoff, Mr. Marin",male,35,0,0,349213,7.8958,,C</t>
  </si>
  <si>
    <t>849,0,2,"Harper, Rev. John",male,28,0,1,248727,33,,S</t>
  </si>
  <si>
    <t>850,1,1,"Goldenberg, Mrs. Samuel L (Edwiga Grabowska)",female,,1,0,17453,89.1042,C92,C</t>
  </si>
  <si>
    <t>851,0,3,"Andersson, Master. Sigvard Harald Elias",male,4,4,2,347082,31.275,,S</t>
  </si>
  <si>
    <t>852,0,3,"Svensson, Mr. Johan",male,74,0,0,347060,7.775,,S</t>
  </si>
  <si>
    <t>853,0,3,"Boulos, Miss. Nourelain",female,9,1,1,2678,15.2458,,C</t>
  </si>
  <si>
    <t>854,1,1,"Lines, Miss. Mary Conover",female,16,0,1,PC 17592,39.4,D28,S</t>
  </si>
  <si>
    <t>855,0,2,"Carter, Mrs. Ernest Courtenay (Lilian Hughes)",female,44,1,0,244252,26,,S</t>
  </si>
  <si>
    <t>856,1,3,"Aks, Mrs. Sam (Leah Rosen)",female,18,0,1,392091,9.35,,S</t>
  </si>
  <si>
    <t>857,1,1,"Wick, Mrs. George Dennick (Mary Hitchcock)",female,45,1,1,36928,164.8667,,S</t>
  </si>
  <si>
    <t>858,1,1,"Daly, Mr. Peter Denis ",male,51,0,0,113055,26.55,E17,S</t>
  </si>
  <si>
    <t>859,1,3,"Baclini, Mrs. Solomon (Latifa Qurban)",female,24,0,3,2666,19.2583,,C</t>
  </si>
  <si>
    <t>860,0,3,"Razi, Mr. Raihed",male,,0,0,2629,7.2292,,C</t>
  </si>
  <si>
    <t>861,0,3,"Hansen, Mr. Claus Peter",male,41,2,0,350026,14.1083,,S</t>
  </si>
  <si>
    <t>862,0,2,"Giles, Mr. Frederick Edward",male,21,1,0,28134,11.5,,S</t>
  </si>
  <si>
    <t>863,1,1,"Swift, Mrs. Frederick Joel (Margaret Welles Barron)",female,48,0,0,17466,25.9292,D17,S</t>
  </si>
  <si>
    <t>864,0,3,"Sage, Miss. Dorothy Edith ""Dolly""",female,,8,2,CA. 2343,69.55,,S</t>
  </si>
  <si>
    <t>865,0,2,"Gill, Mr. John William",male,24,0,0,233866,13,,S</t>
  </si>
  <si>
    <t>866,1,2,"Bystrom, Mrs. (Karolina)",female,42,0,0,236852,13,,S</t>
  </si>
  <si>
    <t>867,1,2,"Duran y More, Miss. Asuncion",female,27,1,0,SC/PARIS 2149,13.8583,,C</t>
  </si>
  <si>
    <t>868,0,1,"Roebling, Mr. Washington Augustus II",male,31,0,0,PC 17590,50.4958,A24,S</t>
  </si>
  <si>
    <t>869,0,3,"van Melkebeke, Mr. Philemon",male,,0,0,345777,9.5,,S</t>
  </si>
  <si>
    <t>870,1,3,"Johnson, Master. Harold Theodor",male,4,1,1,347742,11.1333,,S</t>
  </si>
  <si>
    <t>871,0,3,"Balkic, Mr. Cerin",male,26,0,0,349248,7.8958,,S</t>
  </si>
  <si>
    <t>872,1,1,"Beckwith, Mrs. Richard Leonard (Sallie Monypeny)",female,47,1,1,11751,52.5542,D35,S</t>
  </si>
  <si>
    <t>873,0,1,"Carlsson, Mr. Frans Olof",male,33,0,0,695,5,B51 B53 B55,S</t>
  </si>
  <si>
    <t>874,0,3,"Vander Cruyssen, Mr. Victor",male,47,0,0,345765,9,,S</t>
  </si>
  <si>
    <t>875,1,2,"Abelson, Mrs. Samuel (Hannah Wizosky)",female,28,1,0,P/PP 3381,24,,C</t>
  </si>
  <si>
    <t>876,1,3,"Najib, Miss. Adele Kiamie ""Jane""",female,15,0,0,2667,7.225,,C</t>
  </si>
  <si>
    <t>877,0,3,"Gustafsson, Mr. Alfred Ossian",male,20,0,0,7534,9.8458,,S</t>
  </si>
  <si>
    <t>878,0,3,"Petroff, Mr. Nedelio",male,19,0,0,349212,7.8958,,S</t>
  </si>
  <si>
    <t>879,0,3,"Laleff, Mr. Kristo",male,,0,0,349217,7.8958,,S</t>
  </si>
  <si>
    <t>880,1,1,"Potter, Mrs. Thomas Jr (Lily Alexenia Wilson)",female,56,0,1,11767,83.1583,C50,C</t>
  </si>
  <si>
    <t>881,1,2,"Shelley, Mrs. William (Imanita Parrish Hall)",female,25,0,1,230433,26,,S</t>
  </si>
  <si>
    <t>882,0,3,"Markun, Mr. Johann",male,33,0,0,349257,7.8958,,S</t>
  </si>
  <si>
    <t>883,0,3,"Dahlberg, Miss. Gerda Ulrika",female,22,0,0,7552,10.5167,,S</t>
  </si>
  <si>
    <t>884,0,2,"Banfield, Mr. Frederick James",male,28,0,0,C.A./SOTON 34068,10.5,,S</t>
  </si>
  <si>
    <t>885,0,3,"Sutehall, Mr. Henry Jr",male,25,0,0,SOTON/OQ 392076,7.05,,S</t>
  </si>
  <si>
    <t>886,0,3,"Rice, Mrs. William (Margaret Norton)",female,39,0,5,382652,29.125,,Q</t>
  </si>
  <si>
    <t>887,0,2,"Montvila, Rev. Juozas",male,27,0,0,211536,13,,S</t>
  </si>
  <si>
    <t>888,1,1,"Graham, Miss. Margaret Edith",female,19,0,0,112053,30,B42,S</t>
  </si>
  <si>
    <t>889,0,3,"Johnston, Miss. Catherine Helen ""Carrie""",female,,1,2,W./C. 6607,23.45,,S</t>
  </si>
  <si>
    <t>890,1,1,"Behr, Mr. Karl Howell",male,26,0,0,111369,30,C148,C</t>
  </si>
  <si>
    <t>891,0,3,"Dooley, Mr. Patrick",male,32,0,0,370376,7.75,,Q</t>
  </si>
  <si>
    <t>Survived</t>
  </si>
  <si>
    <t>Pclass</t>
  </si>
  <si>
    <t>Age</t>
  </si>
  <si>
    <t>SibSp</t>
  </si>
  <si>
    <t>Parch</t>
  </si>
  <si>
    <t>Ticket</t>
  </si>
  <si>
    <t>Fare</t>
  </si>
  <si>
    <t>Cabin</t>
  </si>
  <si>
    <t>Embarked</t>
  </si>
  <si>
    <t>Braund, Mr. Owen Harris</t>
  </si>
  <si>
    <t>male</t>
  </si>
  <si>
    <t>A/5 21171</t>
  </si>
  <si>
    <t>7.25</t>
  </si>
  <si>
    <t>S</t>
  </si>
  <si>
    <t>Cumings, Mrs. John Bradley (Florence Briggs Thayer)</t>
  </si>
  <si>
    <t>female</t>
  </si>
  <si>
    <t>PC 17599</t>
  </si>
  <si>
    <t>C85</t>
  </si>
  <si>
    <t>C</t>
  </si>
  <si>
    <t>Heikkinen, Miss. Laina</t>
  </si>
  <si>
    <t>STON/O2. 3101282</t>
  </si>
  <si>
    <t>Futrelle, Mrs. Jacques Heath (Lily May Peel)</t>
  </si>
  <si>
    <t>53.1</t>
  </si>
  <si>
    <t>C123</t>
  </si>
  <si>
    <t>Allen, Mr. William Henry</t>
  </si>
  <si>
    <t>8.05</t>
  </si>
  <si>
    <t>Moran, Mr. James</t>
  </si>
  <si>
    <t>Q</t>
  </si>
  <si>
    <t>McCarthy, Mr. Timothy J</t>
  </si>
  <si>
    <t>E46</t>
  </si>
  <si>
    <t>Palsson, Master. Gosta Leonard</t>
  </si>
  <si>
    <t>Johnson, Mrs. Oscar W (Elisabeth Vilhelmina Berg)</t>
  </si>
  <si>
    <t>Nasser, Mrs. Nicholas (Adele Achem)</t>
  </si>
  <si>
    <t>Sandstrom, Miss. Marguerite Rut</t>
  </si>
  <si>
    <t>PP 9549</t>
  </si>
  <si>
    <t>16.7</t>
  </si>
  <si>
    <t>G6</t>
  </si>
  <si>
    <t>Bonnell, Miss. Elizabeth</t>
  </si>
  <si>
    <t>26.55</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</si>
  <si>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</si>
  <si>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</si>
  <si>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</si>
  <si>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</si>
  <si>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</si>
  <si>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</si>
  <si>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</si>
  <si>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</si>
  <si>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</si>
  <si>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</si>
  <si>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</si>
  <si>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</si>
  <si>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</si>
  <si>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</si>
  <si>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</si>
  <si>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35.5</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</si>
  <si>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</si>
  <si>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</si>
  <si>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</si>
  <si>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</si>
  <si>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</si>
  <si>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</si>
  <si>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</si>
  <si>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</si>
  <si>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</si>
  <si>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</si>
  <si>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</si>
  <si>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</si>
  <si>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</si>
  <si>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</si>
  <si>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7.75</t>
  </si>
  <si>
    <t>Wheadon, Mr. Edward H</t>
  </si>
  <si>
    <t>C.A. 24579</t>
  </si>
  <si>
    <t>10.5</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</si>
  <si>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</si>
  <si>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</si>
  <si>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</si>
  <si>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</si>
  <si>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</si>
  <si>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</si>
  <si>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</si>
  <si>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</si>
  <si>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</si>
  <si>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</si>
  <si>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</si>
  <si>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</si>
  <si>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</si>
  <si>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</si>
  <si>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</si>
  <si>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</si>
  <si>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</si>
  <si>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15.5</t>
  </si>
  <si>
    <t>O'Driscoll, Miss. Bridget</t>
  </si>
  <si>
    <t>Samaan, Mr. Youssef</t>
  </si>
  <si>
    <t>Arnold-Franchi, Mrs. Josef (Josefine Franchi)</t>
  </si>
  <si>
    <t>17.8</t>
  </si>
  <si>
    <t>Panula, Master. Juha Niilo</t>
  </si>
  <si>
    <t>Nosworthy, Mr. Richard Cater</t>
  </si>
  <si>
    <t>A/4. 39886</t>
  </si>
  <si>
    <t>7.8</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</si>
  <si>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</si>
  <si>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</si>
  <si>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</si>
  <si>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</si>
  <si>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</si>
  <si>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</si>
  <si>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</si>
  <si>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</si>
  <si>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</si>
  <si>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</si>
  <si>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</si>
  <si>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28.5</t>
  </si>
  <si>
    <t>West, Miss. Constance Mirium</t>
  </si>
  <si>
    <t>C.A. 34651</t>
  </si>
  <si>
    <t>27.75</t>
  </si>
  <si>
    <t>Goodwin, Master. William Frederick</t>
  </si>
  <si>
    <t>CA 2144</t>
  </si>
  <si>
    <t>46.9</t>
  </si>
  <si>
    <t>Sirayanian, Mr. Orsen</t>
  </si>
  <si>
    <t>Icard, Miss. Amelie</t>
  </si>
  <si>
    <t>B28</t>
  </si>
  <si>
    <t>Harris, Mr. Henry Birkhardt</t>
  </si>
  <si>
    <t>C83</t>
  </si>
  <si>
    <t>Skoog, Master. Harald</t>
  </si>
  <si>
    <t>27.9</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</si>
  <si>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</si>
  <si>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</si>
  <si>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</si>
  <si>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</si>
  <si>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</si>
  <si>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</si>
  <si>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</si>
  <si>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</si>
  <si>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</si>
  <si>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</si>
  <si>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</si>
  <si>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</si>
  <si>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</si>
  <si>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</si>
  <si>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</si>
  <si>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73.5</t>
  </si>
  <si>
    <t>Chronopoulos, Mr. Apostolos</t>
  </si>
  <si>
    <t>Bing, Mr. Lee</t>
  </si>
  <si>
    <t>Moen, Mr. Sigurd Hansen</t>
  </si>
  <si>
    <t>7.65</t>
  </si>
  <si>
    <t>F G73</t>
  </si>
  <si>
    <t>Staneff, Mr. Ivan</t>
  </si>
  <si>
    <t>Moutal, Mr. Rahamin Haim</t>
  </si>
  <si>
    <t>Caldwell, Master. Alden Gates</t>
  </si>
  <si>
    <t>0.83</t>
  </si>
  <si>
    <t>Dowdell, Miss. Elizabeth</t>
  </si>
  <si>
    <t>Waelens, Mr. Achille</t>
  </si>
  <si>
    <t>Sheerlinck, Mr. Jan Baptist</t>
  </si>
  <si>
    <t>9.5</t>
  </si>
  <si>
    <t>McDermott, Miss. Brigdet Delia</t>
  </si>
  <si>
    <t>Carrau, Mr. Francisco M</t>
  </si>
  <si>
    <t>47.1</t>
  </si>
  <si>
    <t>Ilett, Miss. Bertha</t>
  </si>
  <si>
    <t>SO/C 14885</t>
  </si>
  <si>
    <t>Backstrom, Mrs. Karl Alfred (Maria Mathilda Gustafsson)</t>
  </si>
  <si>
    <t>15.85</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</si>
  <si>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</si>
  <si>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</si>
  <si>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</si>
  <si>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</si>
  <si>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</si>
  <si>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</si>
  <si>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</si>
  <si>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</si>
  <si>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</si>
  <si>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</si>
  <si>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</si>
  <si>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</si>
  <si>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</si>
  <si>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</si>
  <si>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</si>
  <si>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</si>
  <si>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</si>
  <si>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</si>
  <si>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</si>
  <si>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</si>
  <si>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</si>
  <si>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</si>
  <si>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</si>
  <si>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</si>
  <si>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</si>
  <si>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</si>
  <si>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</si>
  <si>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</si>
  <si>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</si>
  <si>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</si>
  <si>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</si>
  <si>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</si>
  <si>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</si>
  <si>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</si>
  <si>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24.15</t>
  </si>
  <si>
    <t>Porter, Mr. Walter Chamberlain</t>
  </si>
  <si>
    <t>C110</t>
  </si>
  <si>
    <t>Zabour, Miss. Hileni</t>
  </si>
  <si>
    <t>14.5</t>
  </si>
  <si>
    <t>Barton, Mr. David John</t>
  </si>
  <si>
    <t>Jussila, Miss. Katriina</t>
  </si>
  <si>
    <t>Attalah, Miss. Malake</t>
  </si>
  <si>
    <t>Pekoniemi, Mr. Edvard</t>
  </si>
  <si>
    <t>STON/O 2. 3101294</t>
  </si>
  <si>
    <t>Connors, Mr. Patrick</t>
  </si>
  <si>
    <t>70.5</t>
  </si>
  <si>
    <t>Turpin, Mr. William John Robert</t>
  </si>
  <si>
    <t>Baxter, Mr. Quigg Edmond</t>
  </si>
  <si>
    <t>PC 17558</t>
  </si>
  <si>
    <t>B58 B60</t>
  </si>
  <si>
    <t>Andersson, Miss. Ellis Anna Maria</t>
  </si>
  <si>
    <t>Hickman, Mr. Stanley George</t>
  </si>
  <si>
    <t>Moore, Mr. Leonard Charles</t>
  </si>
  <si>
    <t>A4. 54510</t>
  </si>
  <si>
    <t>Nasser, Mr. Nicholas</t>
  </si>
  <si>
    <t>32.5</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</si>
  <si>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</si>
  <si>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</si>
  <si>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</si>
  <si>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</si>
  <si>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</si>
  <si>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</si>
  <si>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</si>
  <si>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</si>
  <si>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</si>
  <si>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</si>
  <si>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</si>
  <si>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</si>
  <si>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</si>
  <si>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7.05</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</si>
  <si>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</si>
  <si>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</si>
  <si>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</si>
  <si>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</si>
  <si>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</si>
  <si>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</si>
  <si>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</si>
  <si>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</si>
  <si>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</si>
  <si>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</si>
  <si>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</si>
  <si>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</si>
  <si>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</si>
  <si>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79.2</t>
  </si>
  <si>
    <t>B86</t>
  </si>
  <si>
    <t>Boulos, Mrs. Joseph (Sultana)</t>
  </si>
  <si>
    <t>Nysten, Miss. Anna Sofia</t>
  </si>
  <si>
    <t>Hakkarainen, Mrs. Pekka Pietari (Elin Matilda Dolck)</t>
  </si>
  <si>
    <t>STON/O2. 3101279</t>
  </si>
  <si>
    <t>Burke, Mr. Jeremiah</t>
  </si>
  <si>
    <t>6.75</t>
  </si>
  <si>
    <t>Andrew, Mr. Edgardo Samuel</t>
  </si>
  <si>
    <t>11.5</t>
  </si>
  <si>
    <t>Nicholls, Mr. Joseph Charles</t>
  </si>
  <si>
    <t>C.A. 33112</t>
  </si>
  <si>
    <t>36.75</t>
  </si>
  <si>
    <t>Andersson, Mr. August Edvard ("Wennerstrom")</t>
  </si>
  <si>
    <t>Ford, Miss. Robina Maggie "Ruby"</t>
  </si>
  <si>
    <t>Navratil, Mr. Michel ("Louis M Hoffman")</t>
  </si>
  <si>
    <t>36.5</t>
  </si>
  <si>
    <t>F2</t>
  </si>
  <si>
    <t>Byles, Rev. Thomas Roussel Davids</t>
  </si>
  <si>
    <t>Bateman, Rev. Robert James</t>
  </si>
  <si>
    <t>S.O.P. 1166</t>
  </si>
  <si>
    <t>Pears, Mrs. Thomas (Edith Wearne)</t>
  </si>
  <si>
    <t>66.6</t>
  </si>
  <si>
    <t>C2</t>
  </si>
  <si>
    <t>Meo, Mr. Alfonzo</t>
  </si>
  <si>
    <t>55.5</t>
  </si>
  <si>
    <t>A.5. 11206</t>
  </si>
  <si>
    <t>van Billiard, Mr. Austin Blyler</t>
  </si>
  <si>
    <t>40.5</t>
  </si>
  <si>
    <t>A/5. 851</t>
  </si>
  <si>
    <t>Olsen, Mr. Ole Martin</t>
  </si>
  <si>
    <t>Fa 265302</t>
  </si>
  <si>
    <t>Williams, Mr. Charles Duane</t>
  </si>
  <si>
    <t>PC 17597</t>
  </si>
  <si>
    <t>Gilnagh, Miss. Katherine "Katie"</t>
  </si>
  <si>
    <t>Corn, Mr. Harry</t>
  </si>
  <si>
    <t>SOTON/OQ 392090</t>
  </si>
  <si>
    <t>Smiljanic, Mr. Mile</t>
  </si>
  <si>
    <t>Sage, Master. Thomas Henry</t>
  </si>
  <si>
    <t>CA. 2343</t>
  </si>
  <si>
    <t>69.55</t>
  </si>
  <si>
    <t>Cribb, Mr. John Hatfield</t>
  </si>
  <si>
    <t>16.1</t>
  </si>
  <si>
    <t>Watt, Mrs. James (Elizabeth "Bessie" Inglis Milne)</t>
  </si>
  <si>
    <t>C.A. 33595</t>
  </si>
  <si>
    <t>15.75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</si>
  <si>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</si>
  <si>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</si>
  <si>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</si>
  <si>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</si>
  <si>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</si>
  <si>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</si>
  <si>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</si>
  <si>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</si>
  <si>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</si>
  <si>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</si>
  <si>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</si>
  <si>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33.5</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</si>
  <si>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</si>
  <si>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</si>
  <si>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</si>
  <si>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</si>
  <si>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</si>
  <si>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</si>
  <si>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</si>
  <si>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</si>
  <si>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</si>
  <si>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</si>
  <si>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</si>
  <si>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</si>
  <si>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</si>
  <si>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</si>
  <si>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</si>
  <si>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</si>
  <si>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</si>
  <si>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</si>
  <si>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15.05</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</si>
  <si>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</si>
  <si>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</si>
  <si>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</si>
  <si>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</si>
  <si>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</si>
  <si>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</si>
  <si>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</si>
  <si>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</si>
  <si>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</si>
  <si>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</si>
  <si>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</si>
  <si>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</si>
  <si>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</si>
  <si>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</si>
  <si>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</si>
  <si>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</si>
  <si>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</si>
  <si>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</si>
  <si>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</si>
  <si>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</si>
  <si>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</si>
  <si>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</si>
  <si>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</si>
  <si>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</si>
  <si>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</si>
  <si>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</si>
  <si>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</si>
  <si>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45.5</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</si>
  <si>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</si>
  <si>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</si>
  <si>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</si>
  <si>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</si>
  <si>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</si>
  <si>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</si>
  <si>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</si>
  <si>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</si>
  <si>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</si>
  <si>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</si>
  <si>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</si>
  <si>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</si>
  <si>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</si>
  <si>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</si>
  <si>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</si>
  <si>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</si>
  <si>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</si>
  <si>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</si>
  <si>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</si>
  <si>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</si>
  <si>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</si>
  <si>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</si>
  <si>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</si>
  <si>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</si>
  <si>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</si>
  <si>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</si>
  <si>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</si>
  <si>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</si>
  <si>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</si>
  <si>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</si>
  <si>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</si>
  <si>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</si>
  <si>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</si>
  <si>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</si>
  <si>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9.35</t>
  </si>
  <si>
    <t>Mellors, Mr. William John</t>
  </si>
  <si>
    <t>SW/PP 751</t>
  </si>
  <si>
    <t>Lovell, Mr. John Hall ("Henry")</t>
  </si>
  <si>
    <t>20.5</t>
  </si>
  <si>
    <t>A/5 21173</t>
  </si>
  <si>
    <t>Fahlstrom, Mr. Arne Jonas</t>
  </si>
  <si>
    <t>Lefebre, Miss. Mathilde</t>
  </si>
  <si>
    <t>Harris, Mrs. Henry Birkhardt (Irene Wallach)</t>
  </si>
  <si>
    <t>Larsson, Mr. Bengt Edvin</t>
  </si>
  <si>
    <t>Sjostedt, Mr. Ernst Adolf</t>
  </si>
  <si>
    <t>13.5</t>
  </si>
  <si>
    <t>Asplund, Miss. Lillian Gertrud</t>
  </si>
  <si>
    <t>Leyson, Mr. Robert William Norman</t>
  </si>
  <si>
    <t>C.A. 29566</t>
  </si>
  <si>
    <t>Harknett, Miss. Alice Phoebe</t>
  </si>
  <si>
    <t>W./C. 6609</t>
  </si>
  <si>
    <t>7.55</t>
  </si>
  <si>
    <t>Hold, Mr. Stephen</t>
  </si>
  <si>
    <t>Collyer, Miss. Marjorie "Lottie"</t>
  </si>
  <si>
    <t>C.A. 31921</t>
  </si>
  <si>
    <t>26.25</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</si>
  <si>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</si>
  <si>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</si>
  <si>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</si>
  <si>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</si>
  <si>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</si>
  <si>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</si>
  <si>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</si>
  <si>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</si>
  <si>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</si>
  <si>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</si>
  <si>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</si>
  <si>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</si>
  <si>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</si>
  <si>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</si>
  <si>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</si>
  <si>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</si>
  <si>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</si>
  <si>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</si>
  <si>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</si>
  <si>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</si>
  <si>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</si>
  <si>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</si>
  <si>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</si>
  <si>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</si>
  <si>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</si>
  <si>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</si>
  <si>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</si>
  <si>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</si>
  <si>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86.5</t>
  </si>
  <si>
    <t>B77</t>
  </si>
  <si>
    <t>Ward, Miss. Anna</t>
  </si>
  <si>
    <t>PC 17755</t>
  </si>
  <si>
    <t>Parrish, Mrs. (Lutie Davis)</t>
  </si>
  <si>
    <t>Smith, Mr. Thomas</t>
  </si>
  <si>
    <t>Asplund, Master. Edvin Rojj Felix</t>
  </si>
  <si>
    <t>Taussig, Mr. Emil</t>
  </si>
  <si>
    <t>79.65</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</si>
  <si>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</si>
  <si>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</si>
  <si>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</si>
  <si>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</si>
  <si>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</si>
  <si>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</si>
  <si>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</si>
  <si>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</si>
  <si>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</si>
  <si>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</si>
  <si>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</si>
  <si>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</si>
  <si>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</si>
  <si>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</si>
  <si>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</si>
  <si>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</si>
  <si>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</si>
  <si>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19.5</t>
  </si>
  <si>
    <t>Natsch, Mr. Charles H</t>
  </si>
  <si>
    <t>PC 17596</t>
  </si>
  <si>
    <t>29.7</t>
  </si>
  <si>
    <t>C118</t>
  </si>
  <si>
    <t>Healy, Miss. Hanora "Nora"</t>
  </si>
  <si>
    <t>Andrews, Miss. Kornelia Theodosia</t>
  </si>
  <si>
    <t>D7</t>
  </si>
  <si>
    <t>Lindblom, Miss. Augusta Charlotta</t>
  </si>
  <si>
    <t>Parkes, Mr. Francis "Frank"</t>
  </si>
  <si>
    <t>Rice, Master. Eric</t>
  </si>
  <si>
    <t>Abbott, Mrs. Stanton (Rosa Hunt)</t>
  </si>
  <si>
    <t>C.A. 2673</t>
  </si>
  <si>
    <t>20.25</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</si>
  <si>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</si>
  <si>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</si>
  <si>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</si>
  <si>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</si>
  <si>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</si>
  <si>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</si>
  <si>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</si>
  <si>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</si>
  <si>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</si>
  <si>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</si>
  <si>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</si>
  <si>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</si>
  <si>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</si>
  <si>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78.85</t>
  </si>
  <si>
    <t>Bishop, Mrs. Dickinson H (Helen Walton)</t>
  </si>
  <si>
    <t>B49</t>
  </si>
  <si>
    <t>Levy, Mr. Rene Jacques</t>
  </si>
  <si>
    <t>SC/Paris 2163</t>
  </si>
  <si>
    <t>D</t>
  </si>
  <si>
    <t>Haas, Miss. Aloisia</t>
  </si>
  <si>
    <t>8.85</t>
  </si>
  <si>
    <t>Mineff, Mr. Ivan</t>
  </si>
  <si>
    <t>Lewy, Mr. Ervin G</t>
  </si>
  <si>
    <t>PC 17612</t>
  </si>
  <si>
    <t>Hanna, Mr. Mansour</t>
  </si>
  <si>
    <t>23.5</t>
  </si>
  <si>
    <t>Allison, Miss. Helen Loraine</t>
  </si>
  <si>
    <t>151.55</t>
  </si>
  <si>
    <t>C22 C26</t>
  </si>
  <si>
    <t>Saalfeld, Mr. Adolphe</t>
  </si>
  <si>
    <t>30.5</t>
  </si>
  <si>
    <t>C106</t>
  </si>
  <si>
    <t>Baxter, Mrs. James (Helene DeLaudeniere Chaput)</t>
  </si>
  <si>
    <t>Kelly, Miss. Anna Katherine "Annie Kate"</t>
  </si>
  <si>
    <t>McCoy, Mr. Bernard</t>
  </si>
  <si>
    <t>23.25</t>
  </si>
  <si>
    <t>Johnson, Mr. William Cahoone Jr</t>
  </si>
  <si>
    <t>Keane, Miss. Nora A</t>
  </si>
  <si>
    <t>12.35</t>
  </si>
  <si>
    <t>Williams, Mr. Howard Hugh "Harry"</t>
  </si>
  <si>
    <t>A/5 2466</t>
  </si>
  <si>
    <t>Allison, Master. Hudson Trevor</t>
  </si>
  <si>
    <t>0.92</t>
  </si>
  <si>
    <t>Fleming, Miss. Margaret</t>
  </si>
  <si>
    <t>Penasco y Castellana, Mrs. Victor de Satode (Maria Josefa Perez de Soto y Vallejo)</t>
  </si>
  <si>
    <t>PC 17758</t>
  </si>
  <si>
    <t>108.9</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</si>
  <si>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</si>
  <si>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</si>
  <si>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</si>
  <si>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</si>
  <si>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</si>
  <si>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</si>
  <si>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</si>
  <si>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</si>
  <si>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</si>
  <si>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</si>
  <si>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</si>
  <si>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</si>
  <si>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</si>
  <si>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</si>
  <si>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</si>
  <si>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</si>
  <si>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</si>
  <si>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</si>
  <si>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</si>
  <si>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</si>
  <si>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</si>
  <si>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134.5</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</si>
  <si>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</si>
  <si>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</si>
  <si>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</si>
  <si>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</si>
  <si>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</si>
  <si>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</si>
  <si>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</si>
  <si>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</si>
  <si>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</si>
  <si>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</si>
  <si>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</si>
  <si>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</si>
  <si>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</si>
  <si>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</si>
  <si>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</si>
  <si>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</si>
  <si>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</si>
  <si>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</si>
  <si>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</si>
  <si>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</si>
  <si>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</si>
  <si>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</si>
  <si>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133.65</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</si>
  <si>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</si>
  <si>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</si>
  <si>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</si>
  <si>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</si>
  <si>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</si>
  <si>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</si>
  <si>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</si>
  <si>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</si>
  <si>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</si>
  <si>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</si>
  <si>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</si>
  <si>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</si>
  <si>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</si>
  <si>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</si>
  <si>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</si>
  <si>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</si>
  <si>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</si>
  <si>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15.9</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</si>
  <si>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</si>
  <si>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</si>
  <si>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</si>
  <si>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</si>
  <si>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</si>
  <si>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</si>
  <si>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</si>
  <si>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</si>
  <si>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</si>
  <si>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</si>
  <si>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</si>
  <si>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</si>
  <si>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</si>
  <si>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</si>
  <si>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</si>
  <si>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</si>
  <si>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</si>
  <si>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</si>
  <si>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</si>
  <si>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</si>
  <si>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</si>
  <si>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</si>
  <si>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75.25</t>
  </si>
  <si>
    <t>D37</t>
  </si>
  <si>
    <t>Moussa, Mrs. (Mantoura Boulos)</t>
  </si>
  <si>
    <t>Jermyn, Miss. Annie</t>
  </si>
  <si>
    <t>Aubart, Mme. Leontine Pauline</t>
  </si>
  <si>
    <t>PC 17477</t>
  </si>
  <si>
    <t>69.3</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</si>
  <si>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</si>
  <si>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</si>
  <si>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</si>
  <si>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</si>
  <si>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</si>
  <si>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</si>
  <si>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</si>
  <si>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</si>
  <si>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</si>
  <si>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</si>
  <si>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</si>
  <si>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211.5</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</si>
  <si>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</si>
  <si>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</si>
  <si>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</si>
  <si>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</si>
  <si>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</si>
  <si>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</si>
  <si>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</si>
  <si>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</si>
  <si>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</si>
  <si>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</si>
  <si>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</si>
  <si>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</si>
  <si>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</si>
  <si>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</si>
  <si>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</si>
  <si>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</si>
  <si>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</si>
  <si>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</si>
  <si>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</si>
  <si>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</si>
  <si>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</si>
  <si>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</si>
  <si>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</si>
  <si>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</si>
  <si>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</si>
  <si>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</si>
  <si>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</si>
  <si>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12.65</t>
  </si>
  <si>
    <t>Niskanen, Mr. Juha</t>
  </si>
  <si>
    <t>STON/O 2. 3101289</t>
  </si>
  <si>
    <t>Adams, Mr. John</t>
  </si>
  <si>
    <t>Jussila, Miss. Mari Aina</t>
  </si>
  <si>
    <t>Hakkarainen, Mr. Pekka Pietari</t>
  </si>
  <si>
    <t>Oreskovic, Miss. Marija</t>
  </si>
  <si>
    <t>Gale, Mr. Shadrach</t>
  </si>
  <si>
    <t>Widegren, Mr. Carl/Charles Peter</t>
  </si>
  <si>
    <t>Richards, Master. William Rowe</t>
  </si>
  <si>
    <t>18.75</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</si>
  <si>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</si>
  <si>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</si>
  <si>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</si>
  <si>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</si>
  <si>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</si>
  <si>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</si>
  <si>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</si>
  <si>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</si>
  <si>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</si>
  <si>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</si>
  <si>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</si>
  <si>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</si>
  <si>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</si>
  <si>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</si>
  <si>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</si>
  <si>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</si>
  <si>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</si>
  <si>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</si>
  <si>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14.4</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</si>
  <si>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</si>
  <si>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</si>
  <si>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</si>
  <si>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</si>
  <si>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</si>
  <si>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</si>
  <si>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</si>
  <si>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</si>
  <si>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</si>
  <si>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</si>
  <si>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</si>
  <si>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</si>
  <si>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</si>
  <si>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</si>
  <si>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</si>
  <si>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</si>
  <si>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55.9</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</si>
  <si>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</si>
  <si>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</si>
  <si>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</si>
  <si>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</si>
  <si>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</si>
  <si>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</si>
  <si>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</si>
  <si>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</si>
  <si>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</si>
  <si>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</si>
  <si>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</si>
  <si>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</si>
  <si>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</si>
  <si>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</si>
  <si>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</si>
  <si>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</si>
  <si>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</si>
  <si>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</si>
  <si>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</si>
  <si>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</si>
  <si>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</si>
  <si>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</si>
  <si>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</si>
  <si>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</si>
  <si>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</si>
  <si>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</si>
  <si>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</si>
  <si>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</si>
  <si>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</si>
  <si>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</si>
  <si>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</si>
  <si>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</si>
  <si>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</si>
  <si>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</si>
  <si>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</si>
  <si>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</si>
  <si>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</si>
  <si>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</si>
  <si>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</si>
  <si>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38.5</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</si>
  <si>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</si>
  <si>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</si>
  <si>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</si>
  <si>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</si>
  <si>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</si>
  <si>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</si>
  <si>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</si>
  <si>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</si>
  <si>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</si>
  <si>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</si>
  <si>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0.75</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</si>
  <si>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</si>
  <si>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</si>
  <si>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</si>
  <si>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</si>
  <si>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</si>
  <si>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</si>
  <si>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</si>
  <si>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</si>
  <si>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</si>
  <si>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</si>
  <si>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</si>
  <si>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</si>
  <si>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</si>
  <si>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</si>
  <si>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</si>
  <si>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</si>
  <si>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</si>
  <si>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</si>
  <si>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</si>
  <si>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</si>
  <si>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</si>
  <si>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</si>
  <si>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</si>
  <si>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</si>
  <si>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</si>
  <si>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</si>
  <si>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</si>
  <si>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</si>
  <si>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</si>
  <si>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</si>
  <si>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</si>
  <si>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</si>
  <si>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</si>
  <si>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</si>
  <si>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</si>
  <si>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</si>
  <si>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</si>
  <si>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</si>
  <si>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</si>
  <si>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15.1</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</si>
  <si>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</si>
  <si>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</si>
  <si>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</si>
  <si>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</si>
  <si>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</si>
  <si>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</si>
  <si>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</si>
  <si>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</si>
  <si>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</si>
  <si>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</si>
  <si>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</si>
  <si>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</si>
  <si>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</si>
  <si>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</si>
  <si>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</si>
  <si>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</si>
  <si>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</si>
  <si>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</si>
  <si>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</si>
  <si>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</si>
  <si>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</si>
  <si>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</si>
  <si>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59.4</t>
  </si>
  <si>
    <t>Coleff, Mr. Satio</t>
  </si>
  <si>
    <t>Walker, Mr. William Anderson</t>
  </si>
  <si>
    <t>D46</t>
  </si>
  <si>
    <t>Lemore, Mrs. (Amelia Milley)</t>
  </si>
  <si>
    <t>C.A. 34260</t>
  </si>
  <si>
    <t>Ryan, Mr. Patrick</t>
  </si>
  <si>
    <t>Angle, Mrs. William A (Florence "Mary" Agnes Hughes)</t>
  </si>
  <si>
    <t>Pavlovic, Mr. Stefo</t>
  </si>
  <si>
    <t>Perreault, Miss. Anne</t>
  </si>
  <si>
    <t>93.5</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</si>
  <si>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</si>
  <si>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</si>
  <si>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</si>
  <si>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</si>
  <si>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</si>
  <si>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</si>
  <si>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</si>
  <si>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</si>
  <si>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</si>
  <si>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</si>
  <si>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</si>
  <si>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</si>
  <si>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</si>
  <si>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</si>
  <si>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</si>
  <si>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</si>
  <si>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</si>
  <si>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</si>
  <si>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</si>
  <si>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</si>
  <si>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</si>
  <si>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</si>
  <si>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</si>
  <si>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</si>
  <si>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</si>
  <si>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49.5</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</si>
  <si>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</si>
  <si>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</si>
  <si>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</si>
  <si>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</si>
  <si>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</si>
  <si>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</si>
  <si>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</si>
  <si>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</si>
  <si>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</si>
  <si>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</si>
  <si>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</si>
  <si>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</si>
  <si>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</si>
  <si>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</si>
  <si>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</si>
  <si>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</si>
  <si>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</si>
  <si>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</si>
  <si>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</si>
  <si>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</si>
  <si>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</si>
  <si>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</si>
  <si>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</si>
  <si>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39.6</t>
  </si>
  <si>
    <t>A16</t>
  </si>
  <si>
    <t>Robbins, Mr. Victor</t>
  </si>
  <si>
    <t>Taussig, Mrs. Emil (Tillie Mandelbaum)</t>
  </si>
  <si>
    <t>de Messemaeker, Mrs. Guillaume Joseph (Emma)</t>
  </si>
  <si>
    <t>17.4</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</si>
  <si>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</si>
  <si>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</si>
  <si>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</si>
  <si>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</si>
  <si>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</si>
  <si>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</si>
  <si>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</si>
  <si>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</si>
  <si>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</si>
  <si>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</si>
  <si>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</si>
  <si>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</si>
  <si>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</si>
  <si>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</si>
  <si>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</si>
  <si>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</si>
  <si>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</si>
  <si>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</si>
  <si>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</si>
  <si>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</si>
  <si>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</si>
  <si>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</si>
  <si>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</si>
  <si>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</si>
  <si>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</si>
  <si>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</si>
  <si>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</si>
  <si>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</si>
  <si>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</si>
  <si>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</si>
  <si>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</si>
  <si>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</si>
  <si>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</si>
  <si>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</si>
  <si>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</si>
  <si>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</si>
  <si>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</si>
  <si>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</si>
  <si>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</si>
  <si>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</si>
  <si>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</si>
  <si>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</si>
  <si>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</si>
  <si>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</si>
  <si>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</si>
  <si>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</si>
  <si>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</si>
  <si>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</si>
  <si>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</si>
  <si>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</si>
  <si>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</si>
  <si>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</si>
  <si>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</si>
  <si>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</si>
  <si>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</si>
  <si>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</si>
  <si>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</si>
  <si>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</si>
  <si>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</si>
  <si>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</si>
  <si>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42.4</t>
  </si>
  <si>
    <t>Torber, Mr. Ernst William</t>
  </si>
  <si>
    <t>Homer, Mr. Harry ("Mr E Haven")</t>
  </si>
  <si>
    <t>Lindell, Mr. Edvard Bengtsson</t>
  </si>
  <si>
    <t>15.55</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</si>
  <si>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</si>
  <si>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</si>
  <si>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</si>
  <si>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</si>
  <si>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</si>
  <si>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</si>
  <si>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</si>
  <si>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</si>
  <si>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</si>
  <si>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</si>
  <si>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</si>
  <si>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</si>
  <si>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</si>
  <si>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</si>
  <si>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</si>
  <si>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</si>
  <si>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</si>
  <si>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</si>
  <si>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</si>
  <si>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</si>
  <si>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</si>
  <si>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</si>
  <si>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</si>
  <si>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</si>
  <si>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</si>
  <si>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</si>
  <si>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</si>
  <si>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</si>
  <si>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</si>
  <si>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</si>
  <si>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</si>
  <si>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</si>
  <si>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</si>
  <si>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</si>
  <si>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</si>
  <si>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</si>
  <si>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</si>
  <si>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</si>
  <si>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</si>
  <si>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</si>
  <si>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</si>
  <si>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</si>
  <si>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</si>
  <si>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</si>
  <si>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</si>
  <si>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</si>
  <si>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</si>
  <si>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</si>
  <si>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</si>
  <si>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</si>
  <si>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</si>
  <si>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</si>
  <si>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</si>
  <si>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</si>
  <si>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</si>
  <si>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</si>
  <si>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</si>
  <si>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</si>
  <si>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</si>
  <si>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</si>
  <si>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</si>
  <si>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</si>
  <si>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</si>
  <si>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</si>
  <si>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</si>
  <si>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</si>
  <si>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</si>
  <si>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</si>
  <si>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</si>
  <si>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</si>
  <si>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</si>
  <si>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</si>
  <si>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</si>
  <si>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</si>
  <si>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</si>
  <si>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</si>
  <si>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</si>
  <si>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</si>
  <si>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</si>
  <si>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</si>
  <si>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</si>
  <si>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</si>
  <si>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</si>
  <si>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</si>
  <si>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</si>
  <si>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</si>
  <si>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</si>
  <si>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</si>
  <si>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</si>
  <si>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24.5</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</si>
  <si>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</si>
  <si>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</si>
  <si>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</si>
  <si>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</si>
  <si>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</si>
  <si>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</si>
  <si>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</si>
  <si>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</si>
  <si>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</si>
  <si>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</si>
  <si>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</si>
  <si>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</si>
  <si>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</si>
  <si>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</si>
  <si>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</si>
  <si>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</si>
  <si>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</si>
  <si>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</si>
  <si>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</si>
  <si>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</si>
  <si>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</si>
  <si>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</si>
  <si>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</si>
  <si>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</si>
  <si>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</si>
  <si>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</si>
  <si>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</si>
  <si>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</si>
  <si>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</si>
  <si>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</si>
  <si>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</si>
  <si>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</si>
  <si>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</si>
  <si>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</si>
  <si>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</si>
  <si>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</si>
  <si>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</si>
  <si>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</si>
  <si>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</si>
  <si>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</si>
  <si>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</si>
  <si>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</si>
  <si>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</si>
  <si>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</si>
  <si>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</si>
  <si>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</si>
  <si>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</si>
  <si>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</si>
  <si>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</si>
  <si>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</si>
  <si>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</si>
  <si>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</si>
  <si>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</si>
  <si>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</si>
  <si>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</si>
  <si>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</si>
  <si>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</si>
  <si>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</si>
  <si>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</si>
  <si>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</si>
  <si>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</si>
  <si>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</si>
  <si>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</si>
  <si>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</si>
  <si>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</si>
  <si>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</si>
  <si>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</si>
  <si>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</si>
  <si>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</si>
  <si>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</si>
  <si>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</si>
  <si>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</si>
  <si>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</si>
  <si>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</si>
  <si>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</si>
  <si>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</si>
  <si>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</si>
  <si>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</si>
  <si>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</si>
  <si>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</si>
  <si>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</si>
  <si>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</si>
  <si>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</si>
  <si>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</si>
  <si>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</si>
  <si>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</si>
  <si>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</si>
  <si>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</si>
  <si>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</si>
  <si>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</si>
  <si>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</si>
  <si>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</si>
  <si>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</si>
  <si>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</si>
  <si>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</si>
  <si>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</si>
  <si>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</si>
  <si>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</si>
  <si>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</si>
  <si>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0.67</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</si>
  <si>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</si>
  <si>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</si>
  <si>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</si>
  <si>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</si>
  <si>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</si>
  <si>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</si>
  <si>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</si>
  <si>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</si>
  <si>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</si>
  <si>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</si>
  <si>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</si>
  <si>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</si>
  <si>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</si>
  <si>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</si>
  <si>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</si>
  <si>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</si>
  <si>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</si>
  <si>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</si>
  <si>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</si>
  <si>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</si>
  <si>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</si>
  <si>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</si>
  <si>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</si>
  <si>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</si>
  <si>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</si>
  <si>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</si>
  <si>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</si>
  <si>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</si>
  <si>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</si>
  <si>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</si>
  <si>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</si>
  <si>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</si>
  <si>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</si>
  <si>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</si>
  <si>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</si>
  <si>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</si>
  <si>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23.45</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</si>
  <si>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</si>
  <si>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</si>
  <si>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</si>
  <si>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</si>
  <si>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</si>
  <si>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</si>
  <si>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</si>
  <si>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</si>
  <si>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</si>
  <si>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</si>
  <si>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</si>
  <si>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</si>
  <si>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</si>
  <si>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</si>
  <si>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</si>
  <si>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</si>
  <si>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</si>
  <si>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</si>
  <si>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</si>
  <si>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</si>
  <si>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</si>
  <si>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</si>
  <si>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</si>
  <si>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</si>
  <si>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0.42</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</si>
  <si>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</si>
  <si>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</si>
  <si>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</si>
  <si>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</si>
  <si>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</si>
  <si>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</si>
  <si>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</si>
  <si>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</si>
  <si>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</si>
  <si>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</si>
  <si>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</si>
  <si>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</si>
  <si>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</si>
  <si>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</si>
  <si>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</si>
  <si>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</si>
  <si>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</si>
  <si>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</si>
  <si>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</si>
  <si>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</si>
  <si>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6.45</t>
  </si>
  <si>
    <t>Skoog, Master. Karl Thorsten</t>
  </si>
  <si>
    <t>Hays, Mrs. Charles Melville (Clara Jennings Gregg)</t>
  </si>
  <si>
    <t>B69</t>
  </si>
  <si>
    <t>Lulic, Mr. Nikola</t>
  </si>
  <si>
    <t>Reuchlin, Jonkheer. John George</t>
  </si>
  <si>
    <t>Moor, Mrs. (Beila)</t>
  </si>
  <si>
    <t>Panula, Master. Urho Abraham</t>
  </si>
  <si>
    <t>Flynn, Mr. John</t>
  </si>
  <si>
    <t>6.95</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</si>
  <si>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</si>
  <si>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</si>
  <si>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</si>
  <si>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</si>
  <si>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</si>
  <si>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</si>
  <si>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</si>
  <si>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</si>
  <si>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</si>
  <si>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8.3</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</si>
  <si>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</si>
  <si>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</si>
  <si>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</si>
  <si>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</si>
  <si>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</si>
  <si>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</si>
  <si>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</si>
  <si>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</si>
  <si>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</si>
  <si>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</si>
  <si>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</si>
  <si>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</si>
  <si>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</si>
  <si>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34.5</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</si>
  <si>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</si>
  <si>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</si>
  <si>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</si>
  <si>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</si>
  <si>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</si>
  <si>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</si>
  <si>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</si>
  <si>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</si>
  <si>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</si>
  <si>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</si>
  <si>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</si>
  <si>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</si>
  <si>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39.4</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</si>
  <si>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</si>
  <si>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</si>
  <si>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</si>
  <si>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</si>
  <si>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</si>
  <si>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</si>
  <si>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</si>
  <si>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</si>
  <si>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</si>
  <si>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</si>
  <si>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</si>
  <si>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</si>
  <si>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</si>
  <si>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</si>
  <si>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</si>
  <si>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</si>
  <si>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</si>
  <si>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</si>
  <si>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</si>
  <si>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</si>
  <si>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</si>
  <si>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</si>
  <si>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</si>
  <si>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</si>
  <si>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</si>
  <si>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</si>
  <si>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</si>
  <si>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</si>
  <si>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</si>
  <si>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</si>
  <si>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</si>
  <si>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</si>
  <si>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</si>
  <si>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</si>
  <si>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</si>
  <si>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</si>
  <si>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</si>
  <si>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</si>
  <si>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</si>
  <si>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</si>
  <si>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</si>
  <si>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</si>
  <si>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</si>
  <si>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</si>
  <si>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</si>
  <si>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</si>
  <si>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</si>
  <si>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Name .</t>
  </si>
  <si>
    <t>Sex .</t>
  </si>
  <si>
    <t>3.En el caso de la columna Cabina, habia muchisimos mas datos faltantes que en Edad. Y al tratarse de un dato distinto y mas complejo, Decidí utilizar la formula : " =SI(ESBLANCO(M2);"Desconocido";M2)) " insertando una columna a la izquierda y luego copiando los datos como valores</t>
  </si>
  <si>
    <t>2.Para solucionar el error detectado en la columna Edad inserte una columna a la izquierda. Yutilice la formula : " =Si(ES.BLANCO(G2)ALEATORIO.ENTRE(1;80);G2) "  y luego Copié y pegue los datos como Valor, para que no cambie constantemente dichos valores.</t>
  </si>
  <si>
    <t>Cabin Correción</t>
  </si>
  <si>
    <t>Age Correción.</t>
  </si>
  <si>
    <t>PassengerId.</t>
  </si>
  <si>
    <t>Fare correción</t>
  </si>
  <si>
    <t>4.En el caso de la columna Fare, Precio: Tenia valores mixtos en formato Texto y Número. Siendo  Precio de los pasajes, necesitamos el dato en Número. Entonces utilice la formula " =VALOR(SUSTITUIR;L2;".";",") " y asi logre tener todas las celdas con valor Número</t>
  </si>
  <si>
    <t>Age Correción 2</t>
  </si>
  <si>
    <t>Age Clean</t>
  </si>
  <si>
    <t>Desconocido</t>
  </si>
  <si>
    <t>Nombre</t>
  </si>
  <si>
    <t>Sexo</t>
  </si>
  <si>
    <t>ID_Pasajero</t>
  </si>
  <si>
    <t>Edad</t>
  </si>
  <si>
    <t>Hermanos/Cónyuge</t>
  </si>
  <si>
    <t>Clase_Del_Pasaje</t>
  </si>
  <si>
    <t>Sobreviviente</t>
  </si>
  <si>
    <t>Tarifa</t>
  </si>
  <si>
    <t>Cabina</t>
  </si>
  <si>
    <t>Embarque</t>
  </si>
  <si>
    <t xml:space="preserve">5. En DATASET_CLEAN Re ordené las columnas de manera coherente. Y Reformulé los titulos de dichas columnas con los nombres al español. </t>
  </si>
  <si>
    <t>6.Aplique Validación de datos en la columna Sexo y Embarque. En Sexo utilice como validación de datos tipo " Lista "y que los generos sean male ; female ( hombre ; mujer). En embarque también aplique formato Lista y que las opciones sean " S;C;Q "</t>
  </si>
  <si>
    <t>Lista_Embarque</t>
  </si>
  <si>
    <t>Lista_Sexo</t>
  </si>
  <si>
    <t xml:space="preserve">           VALIDACIONES</t>
  </si>
  <si>
    <t>Hombres:</t>
  </si>
  <si>
    <t>Mujeres:</t>
  </si>
  <si>
    <t>Total Pasajeros:</t>
  </si>
  <si>
    <t>a)</t>
  </si>
  <si>
    <t>b)</t>
  </si>
  <si>
    <r>
      <rPr>
        <b/>
        <sz val="11"/>
        <color theme="1"/>
        <rFont val="Aptos Narrow"/>
        <family val="2"/>
        <scheme val="minor"/>
      </rPr>
      <t>1a)</t>
    </r>
    <r>
      <rPr>
        <sz val="11"/>
        <color theme="1"/>
        <rFont val="Aptos Narrow"/>
        <family val="2"/>
        <scheme val="minor"/>
      </rPr>
      <t>.¿Cuántos Pasajeros había en total en el barco?, ¿Cuántos de ellos eran hombres y cuántos mujeres?.</t>
    </r>
    <r>
      <rPr>
        <b/>
        <sz val="11"/>
        <color theme="1"/>
        <rFont val="Aptos Narrow"/>
        <family val="2"/>
        <scheme val="minor"/>
      </rPr>
      <t>b)</t>
    </r>
    <r>
      <rPr>
        <sz val="11"/>
        <color theme="1"/>
        <rFont val="Aptos Narrow"/>
        <family val="2"/>
        <scheme val="minor"/>
      </rPr>
      <t>¿Qué porcentaje de cada uno hay respecto al total?</t>
    </r>
  </si>
  <si>
    <t>Edad Promedio:</t>
  </si>
  <si>
    <t>7.Para la primer pregunta Calculé cantidades de pasarejos clasificados en " male " (hombres) y "female" (mujeres) utilizando Formula "=CONTAR.SI " luego calcule el porcentaje de hombres y mujeres sobre el total de pasarejos, utilizando CONTAR.SI / CONTARA y REDONDEAR.MAS  REDONDEAR.MENOS</t>
  </si>
  <si>
    <t>Edad Promedio Sobrevivientes:</t>
  </si>
  <si>
    <t>Edad Promedio No Sobrevivientes:</t>
  </si>
  <si>
    <t>8.Me pregunté si existian diferencias entre la edad de pasarejos que sobrevivieron y los que no. Increiblemente la diferencia en promedio de edad de cada uno es minima. Y es por ello me abrió la incertidumbre a generar otra pregunta.</t>
  </si>
  <si>
    <r>
      <t>2a).</t>
    </r>
    <r>
      <rPr>
        <sz val="11"/>
        <color theme="1"/>
        <rFont val="Aptos Narrow"/>
        <family val="2"/>
        <scheme val="minor"/>
      </rPr>
      <t>¿Existen diferencias en la edad promedio entre los pasarejos que sobrevivieron y los que no sobrevivieron?</t>
    </r>
  </si>
  <si>
    <r>
      <t>2b).</t>
    </r>
    <r>
      <rPr>
        <sz val="11"/>
        <color theme="1"/>
        <rFont val="Aptos Narrow"/>
        <family val="2"/>
        <scheme val="minor"/>
      </rPr>
      <t>Dado que la diferencia en la edad promedio entre sobrevivientes y no sobrevivientes es mínima, ¿Existen diferencias en la tasa de supervivencia al analizar la edad por rangos etarios?</t>
    </r>
  </si>
  <si>
    <t>Niños(0—12)):</t>
  </si>
  <si>
    <t>Adultos Mayores(51+):</t>
  </si>
  <si>
    <t>Adultos(19—50):</t>
  </si>
  <si>
    <t>TOTAL</t>
  </si>
  <si>
    <t>Sobrevivientes.</t>
  </si>
  <si>
    <t>No Sobrevivientes.</t>
  </si>
  <si>
    <t>Rango etario</t>
  </si>
  <si>
    <t>Tasa de Supervivencia(%)</t>
  </si>
  <si>
    <t>Jóvenes(13—18):</t>
  </si>
  <si>
    <t>9. Dicha pregunta fue saber la tasa de supervivencia, de cada grupo etario: ( Niños, Jóvenes, Adultos y Adultos mayores). Al obtener estos datos utilizando formula " = CONTAR.SI.CONJUNTO" luego pude identificar y sacar una conclusión.</t>
  </si>
  <si>
    <t>10. La conclusión que pude sacar es que los adultos mayores con la tasa menor de supervivencia(31%), Y los Jóvenes (35%) Me dieron a entender que claramente, El enfoque estaba en que los niños fueran quienes debían sobrevivir por encima del resto, Mientras que los grupos de mayor edad tenían menos prioridad en la evacuación</t>
  </si>
  <si>
    <t>DeWitt Bukater, Miss. Rose</t>
  </si>
  <si>
    <t>11.Para fines del análisis se agregó un registro ficticio llamado "DeWitt Bukater, Miss. Rose" en el DATASET_CLEAN. Este registro se basa en un ejemplo conceptual para demostrar el uso de funciones BUSCARX, SI y CONCATENAR en Excel.</t>
  </si>
  <si>
    <r>
      <rPr>
        <b/>
        <sz val="11"/>
        <color theme="1"/>
        <rFont val="Aptos Narrow"/>
        <family val="2"/>
        <scheme val="minor"/>
      </rPr>
      <t>3.</t>
    </r>
    <r>
      <rPr>
        <sz val="11"/>
        <color theme="1"/>
        <rFont val="Aptos Narrow"/>
        <family val="2"/>
        <scheme val="minor"/>
      </rPr>
      <t xml:space="preserve">Tomando como ejemplo al pasajero "DeWitt Bukater, Miss. Rose", Mostrar: </t>
    </r>
  </si>
  <si>
    <r>
      <rPr>
        <b/>
        <sz val="11"/>
        <color theme="1"/>
        <rFont val="Aptos Narrow"/>
        <family val="2"/>
        <scheme val="minor"/>
      </rPr>
      <t>b)</t>
    </r>
    <r>
      <rPr>
        <sz val="11"/>
        <color theme="1"/>
        <rFont val="Aptos Narrow"/>
        <family val="2"/>
        <scheme val="minor"/>
      </rPr>
      <t>¿Sobrevivió?</t>
    </r>
  </si>
  <si>
    <r>
      <rPr>
        <b/>
        <sz val="11"/>
        <color theme="1"/>
        <rFont val="Aptos Narrow"/>
        <family val="2"/>
        <scheme val="minor"/>
      </rPr>
      <t>a)</t>
    </r>
    <r>
      <rPr>
        <sz val="11"/>
        <color theme="1"/>
        <rFont val="Aptos Narrow"/>
        <family val="2"/>
        <scheme val="minor"/>
      </rPr>
      <t>¿Qué clase de pasaje tenía?</t>
    </r>
  </si>
  <si>
    <t>Sobrevivió</t>
  </si>
  <si>
    <t>Clase_De_Pasaje</t>
  </si>
  <si>
    <t>c)</t>
  </si>
  <si>
    <t>Cantidad</t>
  </si>
  <si>
    <r>
      <t>4a)</t>
    </r>
    <r>
      <rPr>
        <sz val="11"/>
        <color theme="1"/>
        <rFont val="Aptos Narrow"/>
        <family val="2"/>
        <scheme val="minor"/>
      </rPr>
      <t>En cuestión de Tipos de pasaje. Teníamos Clase 1. Clase 2 Clase 3. ¿Cuántos había de cada uno?</t>
    </r>
  </si>
  <si>
    <r>
      <t>b)</t>
    </r>
    <r>
      <rPr>
        <sz val="11"/>
        <color theme="1"/>
        <rFont val="Aptos Narrow"/>
        <family val="2"/>
        <scheme val="minor"/>
      </rPr>
      <t>¿Cuántos tripulantes de cada clase lograron sobrevivir?</t>
    </r>
  </si>
  <si>
    <t>a.</t>
  </si>
  <si>
    <t>b.</t>
  </si>
  <si>
    <t>Tipos de Pasaje</t>
  </si>
  <si>
    <t>Clase 1</t>
  </si>
  <si>
    <t>Clase 2</t>
  </si>
  <si>
    <t>Clase 3</t>
  </si>
  <si>
    <t>Sobrevivientes por Clase</t>
  </si>
  <si>
    <t>Total Sobrevivientes</t>
  </si>
  <si>
    <t>Total Tripulantes</t>
  </si>
  <si>
    <t>Porcentaje de sobrevivientes</t>
  </si>
  <si>
    <t>c.</t>
  </si>
  <si>
    <r>
      <rPr>
        <b/>
        <sz val="11"/>
        <color theme="1"/>
        <rFont val="Aptos Narrow"/>
        <family val="2"/>
        <scheme val="minor"/>
      </rPr>
      <t>c)</t>
    </r>
    <r>
      <rPr>
        <sz val="11"/>
        <color theme="1"/>
        <rFont val="Aptos Narrow"/>
        <family val="2"/>
        <scheme val="minor"/>
      </rPr>
      <t>¿Qué porcentaje de cada uno nos da?</t>
    </r>
  </si>
  <si>
    <t>12.Sabiendo que tenemos Pasajes de Clase 1, Clase 2 y Clase 3. Me pregunté cuantos pasajes había de cada Clase. Utilizando CONTAR.SI. Obtuvimos un resultado en el cual La gran cantidad de mayoría estaba en la Clase 3, que era el pasaje de menor costo. Sabemos que los pasajes de Clase 1 eran quienes mas poder adquisitivo tenian.</t>
  </si>
  <si>
    <t>Los pasajes de clase 2 podían ser una Media. Al obtener esta información. se me ocurrió conseguir otro dato mas,  el porcentaje de sobrevivientes de cada clase. Y al obtener dicha información pude analizar que claramente, los pasajeros, tuvieron mayor tasa de supervivencia, según  el tipo de Pasaje que tenían. Los que tenían la Clase alta(1) sobrevivieron en su mayoría con un 63%, Los de clase media(2) lograron llegar a un 47%. Pero en los de la clase mas baja(3) solo lograron sobrevivir un 24%.</t>
  </si>
  <si>
    <t>Es claro que estadisticamente al ser una cantidad bastante mas amplia de pasajeros, iban a sobrevivir menos personas. Pero también denota una clara situación en quienes tuvieron el " Privilegio " de sobrevivir  y salvarse primero en esta situación.</t>
  </si>
  <si>
    <r>
      <t>5.</t>
    </r>
    <r>
      <rPr>
        <sz val="11"/>
        <color theme="1"/>
        <rFont val="Aptos Narrow"/>
        <family val="2"/>
        <scheme val="minor"/>
      </rPr>
      <t>Dentro de cada Clase.¿Cuál es la tasa de supervivencia según el sexo?</t>
    </r>
  </si>
  <si>
    <t>Clase de Pasaje</t>
  </si>
  <si>
    <t>Mujeres</t>
  </si>
  <si>
    <t>Hombres</t>
  </si>
  <si>
    <t>Tasa de supervivencia</t>
  </si>
  <si>
    <t>13.Para la última pregunta calculé la tasa de supervivencia según sexo y clase. Entendimos que en torno a la cantidad total de hombres y mujeres. Hombres en su mayoría eran los pasajeros del Titanic. Y en la tasa de supervivencia, predominan las mujeres en ambas tres clases. casi al 100% en la Clase 1 y Clase 2. En el caso de los hombres en ambas clases 2 y 3 tienen una minoría por debajo del 20%. Y los hombres de la Clase 1 Cerca del 40%.</t>
  </si>
  <si>
    <t>El análisis muestra que el sexo tuvo un impacto más determinado que la clase en la tasa de supervivencia. En todas las clases las mujeres presentaron porcentajes de supervivencia considerablemente superiores a los hombres. Sin embargo la clase social también influyó. observándose mayores tasas en primera clase en comparación con tercera.</t>
  </si>
  <si>
    <t>Adición de pasajero</t>
  </si>
  <si>
    <t>Fare corrección</t>
  </si>
  <si>
    <t>Fare correción 2</t>
  </si>
  <si>
    <t>Fare correción 3</t>
  </si>
  <si>
    <t>(=MAX FC2)</t>
  </si>
  <si>
    <t>(MAX FC3)</t>
  </si>
  <si>
    <t>Tarifa Max Clase 3</t>
  </si>
  <si>
    <t>Tarifa Max Clase 2</t>
  </si>
  <si>
    <t xml:space="preserve">Clase 1 </t>
  </si>
  <si>
    <t xml:space="preserve">Tarifa Max Clase 1 </t>
  </si>
  <si>
    <r>
      <t>6.</t>
    </r>
    <r>
      <rPr>
        <sz val="11"/>
        <color theme="1"/>
        <rFont val="Aptos Narrow"/>
        <family val="2"/>
        <scheme val="minor"/>
      </rPr>
      <t>¿Cuál es el promedio de pago de tarifa en cada clase?</t>
    </r>
  </si>
  <si>
    <r>
      <rPr>
        <b/>
        <sz val="11"/>
        <color theme="1"/>
        <rFont val="Aptos Narrow"/>
        <family val="2"/>
        <scheme val="minor"/>
      </rPr>
      <t>7.</t>
    </r>
    <r>
      <rPr>
        <sz val="11"/>
        <color theme="1"/>
        <rFont val="Aptos Narrow"/>
        <family val="2"/>
        <scheme val="minor"/>
      </rPr>
      <t>¿Cuál es la tarifa máxima pagada en cada clase y qué indica esto sobre distribución de precios?</t>
    </r>
  </si>
  <si>
    <t>Esto indica que, aunque la clase 3 corresponde a un nivel socioeconomico inferior, existen casos puntuales de tarifas elevadas dentros de dicha clase. Lo que sugiere una distribución con cierta dispersión y presencia de valores extremos.</t>
  </si>
  <si>
    <t>El análisis de valores centrales confirma que la mayor concentración de precios sigue correspondiendo a la Clase 1, lo que mantiene coherencia en la estructura general de tarifas.</t>
  </si>
  <si>
    <t>15. Para la pregunta 6: Utilice la función PROMEDIO.SI Para calcular  valor promedio según la clase de la tarifa. Claramente notamos que la clase 1 tenia un valor muy superior en promedio a las clases 2 y 3 que muestran valores considerablemente menores.</t>
  </si>
  <si>
    <t xml:space="preserve">16. Pregunta 7: Se utilizó la función MAX.SI.CONJUNTO para identificar la tarifa mas alta registrada en cada clase. Los resultaods muestran que la clase 1 presenta el valor maximo mas elevado, seguida por la clase 3 y luego la clase 2. </t>
  </si>
  <si>
    <t>14.Al darme cuenta que los valores de Fare, no eran correctos, ya que la conversión a número, con decimales habia sido erronea. Decidi crear una tabla auxiliar llamada " Chequeo_Fare" en donde realizo la correcta limpieza y orden de datos para utilizar dicha columna en DATASET_CLEAN</t>
  </si>
  <si>
    <t>Apliqué una serie de validaciones: Verificación de valores numéricos mediante ESNUMERO. Correción de valores mayores a 1000 diviendosolos por 1000. Ajuste adicional en casos =&gt; 1000 dividiendo por 10  para eliminar decimal excedente. Finalmente Utilice la función MAX sobre las columnas c orregidas para verificar que lso valores extremos fueran coherentes a ntes de incorporarlos al DATASET_CLEAN</t>
  </si>
  <si>
    <t xml:space="preserve">RESPUESTA:b) Los hombres representan aproximadamente 65% del total. Mientras que las mujeres un 35%. </t>
  </si>
  <si>
    <t>Evidenciando una composición mayoritariamente masculina</t>
  </si>
  <si>
    <t xml:space="preserve">RESPUESTA:a) El total de pasajeros registrador es de 891. De ellos 314 son mujeres y 577 son hombres. </t>
  </si>
  <si>
    <t>Se observa mayor proporción de masculinos.</t>
  </si>
  <si>
    <t>RESPUESTA a: La diferencia de edad promedio en ambos grupos es mínima lo que suguiere que la edad</t>
  </si>
  <si>
    <t>en términos generales, no fue un factor determinante por sí sola en la supervivencia.</t>
  </si>
  <si>
    <t>RESPUESTA b: Al segmentar por rangos de edad se observan variaciones en la tasa de supervivencia</t>
  </si>
  <si>
    <t>especialmente en determinados grupos etarios. Lo que indica que el análisis</t>
  </si>
  <si>
    <t>por promedio general oculta diferencias internas relevantes</t>
  </si>
  <si>
    <t>RESPUESTA a: La clase 3 concentra mayor cantidad de pasarejos, seguida por la clase 1 y luego la fclase 3. Lo que suguiere</t>
  </si>
  <si>
    <t>una relación directa entre categoría de pasaje y  probabildiad de supervivencia.</t>
  </si>
  <si>
    <t>RESPUESTA b: La tasa de supervivencia es significativamente mayor en la Clase 1 en comparación con las Clases 2 y 3.</t>
  </si>
  <si>
    <t>Lo que suigiere una relación directa entre categoría de pasaje y posibilidad de supervivencia.</t>
  </si>
  <si>
    <t xml:space="preserve">RESPUESTA c: En todas las clases de observa una mayor tasa de supervivencia femenina en comparación con la masculina. </t>
  </si>
  <si>
    <t>Esto refuerza el patron general de priorización por sexo.</t>
  </si>
  <si>
    <t>RESPUESTA:  La tasa de supervivencia según el sexo, tiene mucha amplitud en torno al grupo femenino. Esto se debe a la priorización</t>
  </si>
  <si>
    <t>por se xo, que se tuvo en el momento del accidente y de decidir quienes iban primero camino a la supervivencia.</t>
  </si>
  <si>
    <t>Observando que las mujeres en las Clases 1 y 2  lograron una mayoría de mas del 90% y las de la Clase 3 50%.</t>
  </si>
  <si>
    <t>Siendo que los hombres tienen porcentajes BAJISIMOS. Teniendo en cuenta la Clase 1 que si tenia prioridad debido a su Status</t>
  </si>
  <si>
    <t>RESPUESTA: La clase 1 presenta un promedio de tarifa considerablemente superior al de las Clases 2 y 3.</t>
  </si>
  <si>
    <t xml:space="preserve">Reflejando diferencias marcadas en el nivel socioeconómico de los pasajeros. </t>
  </si>
  <si>
    <t>RESPUESTA: La clase 1 registra la tarifa más elevada. Sin embargo la presencia de valores altos en otras clases sugiere cierta</t>
  </si>
  <si>
    <t>Dispersión en la distribución de precios y posibles valores atipicos.</t>
  </si>
  <si>
    <t>CONCLUSIÓN FINAL:</t>
  </si>
  <si>
    <t xml:space="preserve">A partir del análisis realizado, se observa que la supervivencia en el titanic no fue un fenómeno aleatorio, si no que estuvo influenciada principalmente por la clase del pasaje, y el sexo de los pasajeros. La edad, en términos generales, no mostró diferencias significativas cuando se </t>
  </si>
  <si>
    <t>analiza únicamente el promedio, aunque el estudio por rangos etarios permitió identificar matices relevantes.</t>
  </si>
  <si>
    <t>Asimismo las diferencias en las tarifas reflejan una marcada desiguladad socioeconomica entre clases, l ocual se vincula con las distintas tasas de supervivencia observadas. En conjunto, los datos evidencian que factores estructurales y sociales tuvieron peso determinante en los resultados.</t>
  </si>
  <si>
    <t>Total general</t>
  </si>
  <si>
    <t>Rango Etario</t>
  </si>
  <si>
    <t>Agregué una columna llamada "Rango Etario" en donde clasifica a cada persona en su respectivo rango. Esta columna nos permitira Pivotar estos datos de manera sencilla. Obtuve estos datos utilizando la formula " =Si.Conjunto"</t>
  </si>
  <si>
    <t>Sobrevivientes</t>
  </si>
  <si>
    <t>Padres_Hijos</t>
  </si>
  <si>
    <t>Suma de Sobreviviente</t>
  </si>
  <si>
    <t>Clase</t>
  </si>
  <si>
    <t>Etiquetas de fila</t>
  </si>
  <si>
    <t>Adultos</t>
  </si>
  <si>
    <t>Adultos Mayores</t>
  </si>
  <si>
    <t>Jóvenes</t>
  </si>
  <si>
    <t>Niños</t>
  </si>
  <si>
    <t>ANÁLISIS DE SUPERVIVENCIA — TITANIC</t>
  </si>
  <si>
    <t>Trabájo Practico Final — Excel</t>
  </si>
  <si>
    <t>Dashboard interactivo con segmentación dinámica y análisis multivariable</t>
  </si>
  <si>
    <t>Matias Lieggi</t>
  </si>
  <si>
    <t>Versión 1.0 — Marzo 2026</t>
  </si>
  <si>
    <t>Resumen estadistico de pasajeros y tasas de supervivencia</t>
  </si>
  <si>
    <t>TOTAL DE PASAJEROS</t>
  </si>
  <si>
    <t>TOTAL SOBREVIVIENTES</t>
  </si>
  <si>
    <t>TASA DE SUPERVIVENCIA</t>
  </si>
  <si>
    <t>SOBREVIVIENTES</t>
  </si>
  <si>
    <t>TOTAL MUJERES</t>
  </si>
  <si>
    <t>TOTAL HOMBRES</t>
  </si>
  <si>
    <t>TASA DE SUP HOMBRES</t>
  </si>
  <si>
    <t>TASA DE SUP MUJERES</t>
  </si>
  <si>
    <t>HOMBRES SOBREVIVIENTES</t>
  </si>
  <si>
    <t>MUJERES SOBREVIVIENTES</t>
  </si>
  <si>
    <t>Promedio de Sobreviviente</t>
  </si>
  <si>
    <t>Promedio de Tarifa</t>
  </si>
  <si>
    <t>Mediana_X_Clas</t>
  </si>
  <si>
    <t>Tarifa_Max</t>
  </si>
  <si>
    <t>Total_Clase</t>
  </si>
  <si>
    <t>Tripulantes</t>
  </si>
  <si>
    <t>Promedio General</t>
  </si>
  <si>
    <t>Cuenta de Clase_Del_Pasaje</t>
  </si>
  <si>
    <t xml:space="preserve"> </t>
  </si>
  <si>
    <t>0-9</t>
  </si>
  <si>
    <t>10-19</t>
  </si>
  <si>
    <t>20-29</t>
  </si>
  <si>
    <t>30-39</t>
  </si>
  <si>
    <t>40-49</t>
  </si>
  <si>
    <t>50-59</t>
  </si>
  <si>
    <t>60-69</t>
  </si>
  <si>
    <t>70-80</t>
  </si>
  <si>
    <t>NO SOBREVIVIENTES</t>
  </si>
  <si>
    <t>1.Se exporto el archivo CSV, a excel. Al copiar el dataset crudo, se utilizo la funcion Texto en columnas.</t>
  </si>
  <si>
    <t>Dataset Extraído de Kaggle, con  información sobre la tragedia del Titanic.</t>
  </si>
  <si>
    <t>2.Al corroborar si había celdas vacías en cada columna, se detectó que las columnas Edad. Y Cabina tenian varios datos faltantes.</t>
  </si>
  <si>
    <t>Cuenta de Sobreviviente</t>
  </si>
  <si>
    <t>FALLECIDOS</t>
  </si>
  <si>
    <t>Etiquetas de columna</t>
  </si>
  <si>
    <t>Fallecidos</t>
  </si>
  <si>
    <t>No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</si>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</sst>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43" formatCode="_-* #,##0.00_-;\-* #,##0.00_-;_-* &quot;-&quot;??_-;_-@_-"/>
    <numFmt numFmtId="164" formatCode="0.00000"/>
    <numFmt numFmtId="165" formatCode="0.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2"/>
      <color theme="1"/>
      <name val="Calibri"/>
      <family val="2"/>
    </font>
    <font>
      <sz val="16"/>
      <color theme="2" tint="-0.499984740745262"/>
      <name val="Calibri"/>
      <family val="2"/>
    </font>
    <font>
      <sz val="15"/>
      <color theme="1"/>
      <name val="Aptos Narrow"/>
      <family val="2"/>
      <scheme val="minor"/>
    </font>
    <font>
      <sz val="8"/>
      <color theme="2" tint="-0.499984740745262"/>
      <name val="Aptos Narrow"/>
      <family val="2"/>
      <scheme val="minor"/>
    </font>
    <font>
      <b/>
      <sz val="15"/>
      <color theme="1"/>
      <name val="Calibri"/>
      <family val="2"/>
    </font>
    <font>
      <sz val="12"/>
      <color theme="1"/>
      <name val="Calibri"/>
      <family val="2"/>
    </font>
    <font>
      <b/>
      <sz val="22"/>
      <color theme="1"/>
      <name val="Aptos Narrow"/>
      <family val="2"/>
      <scheme val="minor"/>
    </font>
    <font>
      <sz val="10"/>
      <color theme="1" tint="0.1499984740745262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them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51">
    <xf numFmtId="0" fontId="0" fillId="0" borderId="0" xfId="0"/>
    <xf numFmtId="3" fontId="0" fillId="0" borderId="0" xfId="0" applyNumberFormat="1"/>
    <xf numFmtId="0" fontId="16" fillId="0" borderId="0" xfId="0" applyFont="1"/>
    <xf numFmtId="49" fontId="0" fillId="0" borderId="0" xfId="0" applyNumberFormat="1"/>
    <xf numFmtId="2" fontId="0" fillId="0" borderId="0" xfId="0" applyNumberFormat="1"/>
    <xf numFmtId="1" fontId="0" fillId="0" borderId="0" xfId="0" applyNumberFormat="1"/>
    <xf numFmtId="1" fontId="0" fillId="0" borderId="0" xfId="42" applyNumberFormat="1" applyFont="1"/>
    <xf numFmtId="10" fontId="0" fillId="0" borderId="0" xfId="0" applyNumberFormat="1"/>
    <xf numFmtId="10" fontId="0" fillId="0" borderId="0" xfId="43" applyNumberFormat="1" applyFont="1"/>
    <xf numFmtId="164" fontId="0" fillId="0" borderId="0" xfId="0" applyNumberFormat="1"/>
    <xf numFmtId="9" fontId="0" fillId="0" borderId="0" xfId="0" applyNumberFormat="1"/>
    <xf numFmtId="9" fontId="0" fillId="0" borderId="0" xfId="43" applyFont="1"/>
    <xf numFmtId="0" fontId="0" fillId="0" borderId="0" xfId="0" applyAlignment="1">
      <alignment horizontal="center"/>
    </xf>
    <xf numFmtId="44" fontId="0" fillId="0" borderId="0" xfId="44" applyFont="1"/>
    <xf numFmtId="0" fontId="0" fillId="0" borderId="0" xfId="0" pivotButton="1"/>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left" indent="1"/>
    </xf>
    <xf numFmtId="0" fontId="21" fillId="0" borderId="0" xfId="0" applyFont="1" applyAlignment="1">
      <alignment horizontal="center"/>
    </xf>
    <xf numFmtId="0" fontId="22" fillId="0" borderId="0" xfId="0" applyFont="1"/>
    <xf numFmtId="0" fontId="25" fillId="0" borderId="0" xfId="0" applyFont="1" applyAlignment="1">
      <alignment horizontal="center"/>
    </xf>
    <xf numFmtId="9" fontId="25" fillId="0" borderId="0" xfId="43" applyFont="1" applyAlignment="1">
      <alignment horizontal="center"/>
    </xf>
    <xf numFmtId="0" fontId="26" fillId="0" borderId="0" xfId="0" applyFont="1" applyAlignment="1">
      <alignment vertical="top"/>
    </xf>
    <xf numFmtId="0" fontId="23" fillId="0" borderId="0" xfId="0" applyFont="1"/>
    <xf numFmtId="0" fontId="24" fillId="0" borderId="0" xfId="0" applyFont="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5" fontId="0" fillId="0" borderId="0" xfId="0" applyNumberFormat="1"/>
    <xf numFmtId="0" fontId="16" fillId="33" borderId="0" xfId="0" applyFont="1" applyFill="1"/>
    <xf numFmtId="0" fontId="0" fillId="33" borderId="0" xfId="0" applyFill="1"/>
    <xf numFmtId="44" fontId="0" fillId="0" borderId="0" xfId="0" applyNumberFormat="1"/>
    <xf numFmtId="0" fontId="0" fillId="34" borderId="0" xfId="0" applyFill="1"/>
    <xf numFmtId="0" fontId="0" fillId="35" borderId="0" xfId="0" applyFill="1"/>
    <xf numFmtId="0" fontId="0" fillId="35" borderId="0" xfId="0" applyFill="1" applyAlignment="1">
      <alignment horizontal="center"/>
    </xf>
    <xf numFmtId="0" fontId="16" fillId="35" borderId="0" xfId="0" applyFont="1" applyFill="1"/>
    <xf numFmtId="0" fontId="16" fillId="35" borderId="0" xfId="0" applyFont="1" applyFill="1" applyAlignment="1">
      <alignment horizontal="center"/>
    </xf>
    <xf numFmtId="0" fontId="0" fillId="36" borderId="0" xfId="0" applyFill="1"/>
    <xf numFmtId="49" fontId="0" fillId="36" borderId="0" xfId="0" applyNumberFormat="1" applyFill="1"/>
    <xf numFmtId="44" fontId="0" fillId="36" borderId="0" xfId="44" applyFont="1" applyFill="1"/>
    <xf numFmtId="1" fontId="0" fillId="36" borderId="0" xfId="0" applyNumberFormat="1" applyFill="1"/>
    <xf numFmtId="2" fontId="0" fillId="36" borderId="0" xfId="0" applyNumberFormat="1" applyFill="1"/>
    <xf numFmtId="1" fontId="0" fillId="36" borderId="0" xfId="42" applyNumberFormat="1" applyFont="1" applyFill="1"/>
    <xf numFmtId="0" fontId="19" fillId="0" borderId="0" xfId="0" applyFont="1" applyAlignment="1">
      <alignment horizontal="center" wrapText="1"/>
    </xf>
    <xf numFmtId="0" fontId="20" fillId="0" borderId="0" xfId="0" applyFont="1" applyAlignment="1">
      <alignment horizontal="center"/>
    </xf>
  </cellXfs>
  <cellStyles count="45">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2" builtinId="3"/>
    <cellStyle name="Moneda" xfId="44" builtinId="4"/>
    <cellStyle name="Neutral" xfId="8" builtinId="28" customBuiltin="1"/>
    <cellStyle name="Normal" xfId="0" builtinId="0"/>
    <cellStyle name="Notas" xfId="15" builtinId="10" customBuiltin="1"/>
    <cellStyle name="Porcentaje" xfId="43"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5">
    <dxf>
      <numFmt numFmtId="0" formatCode="General"/>
    </dxf>
    <dxf>
      <numFmt numFmtId="0" formatCode="General"/>
    </dxf>
    <dxf>
      <numFmt numFmtId="165" formatCode="0.0%"/>
    </dxf>
    <dxf>
      <numFmt numFmtId="165" formatCode="0.0%"/>
    </dxf>
    <dxf>
      <numFmt numFmtId="165" formatCode="0.0%"/>
    </dxf>
    <dxf>
      <fill>
        <patternFill patternType="solid">
          <bgColor theme="4" tint="0.59999389629810485"/>
        </patternFill>
      </fill>
    </dxf>
    <dxf>
      <numFmt numFmtId="1" formatCode="0"/>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0" formatCode="General"/>
    </dxf>
    <dxf>
      <numFmt numFmtId="1" formatCode="0"/>
    </dxf>
    <dxf>
      <numFmt numFmtId="30" formatCode="@"/>
    </dxf>
    <dxf>
      <numFmt numFmtId="1" formatCode="0"/>
    </dxf>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[PF_Lieggi.Final.xlsx]AUXILIAR!TablaDinámica4</c:name>
    <c:fmtId val="2"/>
  </c:pivotSource>
  <c:chart>
    <c:title>
      <c:tx>
        <c:rich>
          <a:bodyPr rot="0" spcFirstLastPara="1" vertOverflow="ellipsis" vert="horz" wrap="square" anchor="ctr" anchorCtr="1"/>
          <a:lstStyle/>
          <a:p>
            <a:pPr algn="l">
              <a:defRPr sz="16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s-AR" sz="1600" b="1">
                <a:latin typeface="Calibri" panose="020F0502020204030204" pitchFamily="34" charset="0"/>
                <a:cs typeface="Calibri" panose="020F0502020204030204" pitchFamily="34" charset="0"/>
              </a:rPr>
              <a:t>Tasa de supervivencia por género</a:t>
            </a:r>
          </a:p>
        </c:rich>
      </c:tx>
      <c:layout>
        <c:manualLayout>
          <c:xMode val="edge"/>
          <c:yMode val="edge"/>
          <c:x val="4.1047700315540933E-2"/>
          <c:y val="3.0601092896174863E-2"/>
        </c:manualLayout>
      </c:layout>
      <c:overlay val="0"/>
      <c:spPr>
        <a:noFill/>
        <a:ln>
          <a:noFill/>
        </a:ln>
        <a:effectLst/>
      </c:spPr>
      <c:txPr>
        <a:bodyPr rot="0" spcFirstLastPara="1" vertOverflow="ellipsis" vert="horz" wrap="square" anchor="ctr" anchorCtr="1"/>
        <a:lstStyle/>
        <a:p>
          <a:pPr algn="l">
            <a:defRPr sz="16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bg2">
              <a:lumMod val="10000"/>
            </a:schemeClr>
          </a:solidFill>
          <a:ln>
            <a:noFill/>
          </a:ln>
          <a:effectLst/>
        </c:spPr>
      </c:pivotFmt>
    </c:pivotFmts>
    <c:plotArea>
      <c:layout>
        <c:manualLayout>
          <c:layoutTarget val="inner"/>
          <c:xMode val="edge"/>
          <c:yMode val="edge"/>
          <c:x val="2.7729636048526862E-2"/>
          <c:y val="0.17553596398740756"/>
          <c:w val="0.94916233391103411"/>
          <c:h val="0.71607968079134621"/>
        </c:manualLayout>
      </c:layout>
      <c:barChart>
        <c:barDir val="col"/>
        <c:grouping val="clustered"/>
        <c:varyColors val="0"/>
        <c:ser>
          <c:idx val="0"/>
          <c:order val="0"/>
          <c:tx>
            <c:strRef>
              <c:f>AUXILIAR!$B$22</c:f>
              <c:strCache>
                <c:ptCount val="1"/>
                <c:pt idx="0">
                  <c:v>Total</c:v>
                </c:pt>
              </c:strCache>
            </c:strRef>
          </c:tx>
          <c:spPr>
            <a:solidFill>
              <a:schemeClr val="tx1">
                <a:lumMod val="85000"/>
                <a:lumOff val="15000"/>
              </a:schemeClr>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2-1410-4D2B-B2AF-23F57BFD057F}"/>
              </c:ext>
            </c:extLst>
          </c:dPt>
          <c:dPt>
            <c:idx val="1"/>
            <c:invertIfNegative val="0"/>
            <c:bubble3D val="0"/>
            <c:extLst>
              <c:ext xmlns:c16="http://schemas.microsoft.com/office/drawing/2014/chart" uri="{C3380CC4-5D6E-409C-BE32-E72D297353CC}">
                <c16:uniqueId val="{00000003-1410-4D2B-B2AF-23F57BFD05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AUXILIAR!$A$23:$A$24</c:f>
              <c:strCache>
                <c:ptCount val="1"/>
                <c:pt idx="0">
                  <c:v>Hombres</c:v>
                </c:pt>
              </c:strCache>
            </c:strRef>
          </c:cat>
          <c:val>
            <c:numRef>
              <c:f>AUXILIAR!$B$23:$B$24</c:f>
              <c:numCache>
                <c:formatCode>0.0%</c:formatCode>
                <c:ptCount val="1"/>
                <c:pt idx="0">
                  <c:v>0.18890814558058924</c:v>
                </c:pt>
              </c:numCache>
            </c:numRef>
          </c:val>
          <c:extLst>
            <c:ext xmlns:c16="http://schemas.microsoft.com/office/drawing/2014/chart" uri="{C3380CC4-5D6E-409C-BE32-E72D297353CC}">
              <c16:uniqueId val="{00000000-1410-4D2B-B2AF-23F57BFD057F}"/>
            </c:ext>
          </c:extLst>
        </c:ser>
        <c:dLbls>
          <c:dLblPos val="outEnd"/>
          <c:showLegendKey val="0"/>
          <c:showVal val="1"/>
          <c:showCatName val="0"/>
          <c:showSerName val="0"/>
          <c:showPercent val="0"/>
          <c:showBubbleSize val="0"/>
        </c:dLbls>
        <c:gapWidth val="120"/>
        <c:overlap val="-27"/>
        <c:axId val="2093179472"/>
        <c:axId val="2093180432"/>
      </c:barChart>
      <c:catAx>
        <c:axId val="2093179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2093180432"/>
        <c:crosses val="autoZero"/>
        <c:auto val="1"/>
        <c:lblAlgn val="ctr"/>
        <c:lblOffset val="100"/>
        <c:noMultiLvlLbl val="0"/>
      </c:catAx>
      <c:valAx>
        <c:axId val="2093180432"/>
        <c:scaling>
          <c:orientation val="minMax"/>
        </c:scaling>
        <c:delete val="1"/>
        <c:axPos val="l"/>
        <c:numFmt formatCode="0.0%" sourceLinked="1"/>
        <c:majorTickMark val="out"/>
        <c:minorTickMark val="none"/>
        <c:tickLblPos val="nextTo"/>
        <c:crossAx val="20931794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[PF_Lieggi.Final.xlsx]AUXILIAR!Sobrevivientes_Embarque</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s-AR" sz="1600" b="1">
                <a:latin typeface="Calibri" panose="020F0502020204030204" pitchFamily="34" charset="0"/>
                <a:cs typeface="Calibri" panose="020F0502020204030204" pitchFamily="34" charset="0"/>
              </a:rPr>
              <a:t>Sobrevivientes</a:t>
            </a:r>
            <a:r>
              <a:rPr lang="es-AR" sz="1600" b="1" baseline="0">
                <a:latin typeface="Calibri" panose="020F0502020204030204" pitchFamily="34" charset="0"/>
                <a:cs typeface="Calibri" panose="020F0502020204030204" pitchFamily="34" charset="0"/>
              </a:rPr>
              <a:t> por embarque</a:t>
            </a:r>
          </a:p>
        </c:rich>
      </c:tx>
      <c:overlay val="1"/>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s-A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1"/>
          </a:solidFill>
          <a:ln>
            <a:noFill/>
          </a:ln>
          <a:effectLst/>
        </c:spPr>
      </c:pivotFmt>
      <c:pivotFmt>
        <c:idx val="5"/>
        <c:spPr>
          <a:solidFill>
            <a:schemeClr val="tx1">
              <a:lumMod val="75000"/>
              <a:lumOff val="2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AUXILIAR!$M$3:$M$4</c:f>
              <c:strCache>
                <c:ptCount val="1"/>
                <c:pt idx="0">
                  <c:v>Fallecidos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AF76-4981-87A0-36160E98295A}"/>
              </c:ext>
            </c:extLst>
          </c:dPt>
          <c:dPt>
            <c:idx val="1"/>
            <c:invertIfNegative val="0"/>
            <c:bubble3D val="0"/>
            <c:extLst>
              <c:ext xmlns:c16="http://schemas.microsoft.com/office/drawing/2014/chart" uri="{C3380CC4-5D6E-409C-BE32-E72D297353CC}">
                <c16:uniqueId val="{00000003-AF76-4981-87A0-36160E98295A}"/>
              </c:ext>
            </c:extLst>
          </c:dPt>
          <c:dPt>
            <c:idx val="2"/>
            <c:invertIfNegative val="0"/>
            <c:bubble3D val="0"/>
            <c:extLst>
              <c:ext xmlns:c16="http://schemas.microsoft.com/office/drawing/2014/chart" uri="{C3380CC4-5D6E-409C-BE32-E72D297353CC}">
                <c16:uniqueId val="{00000002-AF76-4981-87A0-36160E9829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AUXILIAR!$L$5:$L$8</c:f>
              <c:strCache>
                <c:ptCount val="3"/>
                <c:pt idx="0">
                  <c:v>C</c:v>
                </c:pt>
                <c:pt idx="1">
                  <c:v>Q</c:v>
                </c:pt>
                <c:pt idx="2">
                  <c:v>S</c:v>
                </c:pt>
              </c:strCache>
            </c:strRef>
          </c:cat>
          <c:val>
            <c:numRef>
              <c:f>AUXILIAR!$M$5:$M$8</c:f>
              <c:numCache>
                <c:formatCode>General</c:formatCode>
                <c:ptCount val="3"/>
                <c:pt idx="0">
                  <c:v>86</c:v>
                </c:pt>
                <c:pt idx="1">
                  <c:v>40</c:v>
                </c:pt>
                <c:pt idx="2">
                  <c:v>342</c:v>
                </c:pt>
              </c:numCache>
            </c:numRef>
          </c:val>
          <c:extLst>
            <c:ext xmlns:c16="http://schemas.microsoft.com/office/drawing/2014/chart" uri="{C3380CC4-5D6E-409C-BE32-E72D297353CC}">
              <c16:uniqueId val="{00000000-AF76-4981-87A0-36160E98295A}"/>
            </c:ext>
          </c:extLst>
        </c:ser>
        <c:ser>
          <c:idx val="1"/>
          <c:order val="1"/>
          <c:tx>
            <c:strRef>
              <c:f>AUXILIAR!$N$3:$N$4</c:f>
              <c:strCache>
                <c:ptCount val="1"/>
                <c:pt idx="0">
                  <c:v>Sobrevivientes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AUXILIAR!$L$5:$L$8</c:f>
              <c:strCache>
                <c:ptCount val="3"/>
                <c:pt idx="0">
                  <c:v>C</c:v>
                </c:pt>
                <c:pt idx="1">
                  <c:v>Q</c:v>
                </c:pt>
                <c:pt idx="2">
                  <c:v>S</c:v>
                </c:pt>
              </c:strCache>
            </c:strRef>
          </c:cat>
          <c:val>
            <c:numRef>
              <c:f>AUXILIAR!$N$5:$N$8</c:f>
              <c:numCache>
                <c:formatCode>General</c:formatCode>
                <c:ptCount val="3"/>
                <c:pt idx="0">
                  <c:v>22</c:v>
                </c:pt>
                <c:pt idx="1">
                  <c:v>8</c:v>
                </c:pt>
                <c:pt idx="2">
                  <c:v>79</c:v>
                </c:pt>
              </c:numCache>
            </c:numRef>
          </c:val>
          <c:extLst>
            <c:ext xmlns:c16="http://schemas.microsoft.com/office/drawing/2014/chart" uri="{C3380CC4-5D6E-409C-BE32-E72D297353CC}">
              <c16:uniqueId val="{00000008-EB4B-4993-A625-D7BD7CB1867B}"/>
            </c:ext>
          </c:extLst>
        </c:ser>
        <c:dLbls>
          <c:showLegendKey val="0"/>
          <c:showVal val="1"/>
          <c:showCatName val="0"/>
          <c:showSerName val="0"/>
          <c:showPercent val="0"/>
          <c:showBubbleSize val="0"/>
        </c:dLbls>
        <c:gapWidth val="120"/>
        <c:axId val="1468104815"/>
        <c:axId val="1468106735"/>
      </c:barChart>
      <c:catAx>
        <c:axId val="1468104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1468106735"/>
        <c:crosses val="autoZero"/>
        <c:auto val="1"/>
        <c:lblAlgn val="ctr"/>
        <c:lblOffset val="100"/>
        <c:noMultiLvlLbl val="0"/>
      </c:catAx>
      <c:valAx>
        <c:axId val="1468106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68104815"/>
        <c:crosses val="autoZero"/>
        <c:crossBetween val="between"/>
      </c:valAx>
      <c:spPr>
        <a:noFill/>
        <a:ln>
          <a:noFill/>
        </a:ln>
        <a:effectLst/>
      </c:spPr>
    </c:plotArea>
    <c:legend>
      <c:legendPos val="r"/>
      <c:layout>
        <c:manualLayout>
          <c:xMode val="edge"/>
          <c:yMode val="edge"/>
          <c:x val="0.82858858040668792"/>
          <c:y val="0.42777730056470215"/>
          <c:w val="0.1575705891434851"/>
          <c:h val="0.14040499483019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[PF_Lieggi.Final.xlsx]AUXILIAR!TablaDinámica2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600" b="1">
                <a:latin typeface="Calibri" panose="020F0502020204030204" pitchFamily="34" charset="0"/>
                <a:cs typeface="Calibri" panose="020F0502020204030204" pitchFamily="34" charset="0"/>
              </a:rPr>
              <a:t>Promedio de tarifa</a:t>
            </a:r>
            <a:r>
              <a:rPr lang="es-AR" sz="1600" b="1" baseline="0">
                <a:latin typeface="Calibri" panose="020F0502020204030204" pitchFamily="34" charset="0"/>
                <a:cs typeface="Calibri" panose="020F0502020204030204" pitchFamily="34" charset="0"/>
              </a:rPr>
              <a:t> por clase</a:t>
            </a:r>
          </a:p>
          <a:p>
            <a:pPr>
              <a:defRPr/>
            </a:pPr>
            <a:endParaRPr lang="es-AR" sz="1600" b="1" baseline="0">
              <a:latin typeface="Calibri" panose="020F0502020204030204" pitchFamily="34" charset="0"/>
              <a:cs typeface="Calibri" panose="020F0502020204030204" pitchFamily="34" charset="0"/>
            </a:endParaRPr>
          </a:p>
        </c:rich>
      </c:tx>
      <c:layout>
        <c:manualLayout>
          <c:xMode val="edge"/>
          <c:yMode val="edge"/>
          <c:x val="0.10430678466076697"/>
          <c:y val="2.6229517225426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
        <c:idx val="4"/>
        <c:spPr>
          <a:solidFill>
            <a:schemeClr val="accent1"/>
          </a:solidFill>
          <a:ln>
            <a:noFill/>
          </a:ln>
          <a:effectLst/>
        </c:spPr>
      </c:pivotFmt>
      <c:pivotFmt>
        <c:idx val="5"/>
        <c:spPr>
          <a:solidFill>
            <a:schemeClr val="accent2"/>
          </a:solidFill>
          <a:ln>
            <a:noFill/>
          </a:ln>
          <a:effectLst/>
        </c:spPr>
      </c:pivotFmt>
    </c:pivotFmts>
    <c:plotArea>
      <c:layout/>
      <c:barChart>
        <c:barDir val="col"/>
        <c:grouping val="clustered"/>
        <c:varyColors val="0"/>
        <c:ser>
          <c:idx val="0"/>
          <c:order val="0"/>
          <c:tx>
            <c:strRef>
              <c:f>AUXILIAR!$E$22</c:f>
              <c:strCache>
                <c:ptCount val="1"/>
                <c:pt idx="0">
                  <c:v>Total</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9B0-45BB-BA35-9A0F4F6B144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29B0-45BB-BA35-9A0F4F6B144A}"/>
              </c:ext>
            </c:extLst>
          </c:dPt>
          <c:cat>
            <c:strRef>
              <c:f>AUXILIAR!$D$23:$D$26</c:f>
              <c:strCache>
                <c:ptCount val="3"/>
                <c:pt idx="0">
                  <c:v>1</c:v>
                </c:pt>
                <c:pt idx="1">
                  <c:v>2</c:v>
                </c:pt>
                <c:pt idx="2">
                  <c:v>3</c:v>
                </c:pt>
              </c:strCache>
            </c:strRef>
          </c:cat>
          <c:val>
            <c:numRef>
              <c:f>AUXILIAR!$E$23:$E$26</c:f>
              <c:numCache>
                <c:formatCode>_("$"* #,##0.00_);_("$"* \(#,##0.00\);_("$"* "-"??_);_(@_)</c:formatCode>
                <c:ptCount val="3"/>
                <c:pt idx="0">
                  <c:v>184.12961311475411</c:v>
                </c:pt>
                <c:pt idx="1">
                  <c:v>36.599074074074075</c:v>
                </c:pt>
                <c:pt idx="2">
                  <c:v>59.090389048991298</c:v>
                </c:pt>
              </c:numCache>
            </c:numRef>
          </c:val>
          <c:extLst>
            <c:ext xmlns:c16="http://schemas.microsoft.com/office/drawing/2014/chart" uri="{C3380CC4-5D6E-409C-BE32-E72D297353CC}">
              <c16:uniqueId val="{00000000-296F-413F-A9C7-9893EE124538}"/>
            </c:ext>
          </c:extLst>
        </c:ser>
        <c:dLbls>
          <c:showLegendKey val="0"/>
          <c:showVal val="0"/>
          <c:showCatName val="0"/>
          <c:showSerName val="0"/>
          <c:showPercent val="0"/>
          <c:showBubbleSize val="0"/>
        </c:dLbls>
        <c:gapWidth val="219"/>
        <c:overlap val="-27"/>
        <c:axId val="1651920095"/>
        <c:axId val="1651920575"/>
      </c:barChart>
      <c:catAx>
        <c:axId val="1651920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51920575"/>
        <c:crosses val="autoZero"/>
        <c:auto val="1"/>
        <c:lblAlgn val="ctr"/>
        <c:lblOffset val="100"/>
        <c:noMultiLvlLbl val="0"/>
      </c:catAx>
      <c:valAx>
        <c:axId val="1651920575"/>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5192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[PF_Lieggi.Final.xlsx]AUXILIAR!TablaDinámica15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AUXILIAR!$G$3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C1-46D1-8F80-B42C614B6DD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C1-46D1-8F80-B42C614B6DD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C1-46D1-8F80-B42C614B6DD2}"/>
              </c:ext>
            </c:extLst>
          </c:dPt>
          <c:dLbls>
            <c:dLbl>
              <c:idx val="0"/>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C1-46D1-8F80-B42C614B6DD2}"/>
                </c:ext>
              </c:extLst>
            </c:dLbl>
            <c:dLbl>
              <c:idx val="1"/>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C1-46D1-8F80-B42C614B6DD2}"/>
                </c:ext>
              </c:extLst>
            </c:dLbl>
            <c:dLbl>
              <c:idx val="2"/>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C1-46D1-8F80-B42C614B6DD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AUXILIAR!$F$4:$F$7</c:f>
              <c:strCache>
                <c:ptCount val="3"/>
                <c:pt idx="0">
                  <c:v>1</c:v>
                </c:pt>
                <c:pt idx="1">
                  <c:v>2</c:v>
                </c:pt>
                <c:pt idx="2">
                  <c:v>3</c:v>
                </c:pt>
              </c:strCache>
            </c:strRef>
          </c:cat>
          <c:val>
            <c:numRef>
              <c:f>AUXILIAR!$G$4:$G$7</c:f>
              <c:numCache>
                <c:formatCode>General</c:formatCode>
                <c:ptCount val="3"/>
                <c:pt idx="0">
                  <c:v>122</c:v>
                </c:pt>
                <c:pt idx="1">
                  <c:v>108</c:v>
                </c:pt>
                <c:pt idx="2">
                  <c:v>347</c:v>
                </c:pt>
              </c:numCache>
            </c:numRef>
          </c:val>
          <c:extLst>
            <c:ext xmlns:c16="http://schemas.microsoft.com/office/drawing/2014/chart" uri="{C3380CC4-5D6E-409C-BE32-E72D297353CC}">
              <c16:uniqueId val="{00000006-F5C1-46D1-8F80-B42C614B6DD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[PF_Lieggi.Final.xlsx]AUXILIAR!TablaDinámica16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Calibri" panose="020F0502020204030204" pitchFamily="34" charset="0"/>
                <a:cs typeface="Calibri" panose="020F0502020204030204" pitchFamily="34" charset="0"/>
              </a:rPr>
              <a:t>Distribución de pasajeros por edad</a:t>
            </a:r>
          </a:p>
        </c:rich>
      </c:tx>
      <c:layout>
        <c:manualLayout>
          <c:xMode val="edge"/>
          <c:yMode val="edge"/>
          <c:x val="0.15876493979025155"/>
          <c:y val="2.11081735723450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AUXILIAR!$H$16:$H$17</c:f>
              <c:strCache>
                <c:ptCount val="1"/>
                <c:pt idx="0">
                  <c:v>No</c:v>
                </c:pt>
              </c:strCache>
            </c:strRef>
          </c:tx>
          <c:spPr>
            <a:solidFill>
              <a:schemeClr val="accent1"/>
            </a:solidFill>
            <a:ln>
              <a:noFill/>
            </a:ln>
            <a:effectLst/>
          </c:spPr>
          <c:cat>
            <c:strRef>
              <c:f>AUXILIAR!$G$18:$G$26</c:f>
              <c:strCache>
                <c:ptCount val="8"/>
                <c:pt idx="0">
                  <c:v>0-9</c:v>
                </c:pt>
                <c:pt idx="1">
                  <c:v>10-19</c:v>
                </c:pt>
                <c:pt idx="2">
                  <c:v>20-29</c:v>
                </c:pt>
                <c:pt idx="3">
                  <c:v>30-39</c:v>
                </c:pt>
                <c:pt idx="4">
                  <c:v>40-49</c:v>
                </c:pt>
                <c:pt idx="5">
                  <c:v>50-59</c:v>
                </c:pt>
                <c:pt idx="6">
                  <c:v>60-69</c:v>
                </c:pt>
                <c:pt idx="7">
                  <c:v>70-80</c:v>
                </c:pt>
              </c:strCache>
            </c:strRef>
          </c:cat>
          <c:val>
            <c:numRef>
              <c:f>AUXILIAR!$H$18:$H$26</c:f>
              <c:numCache>
                <c:formatCode>General</c:formatCode>
                <c:ptCount val="8"/>
                <c:pt idx="0">
                  <c:v>39</c:v>
                </c:pt>
                <c:pt idx="1">
                  <c:v>59</c:v>
                </c:pt>
                <c:pt idx="2">
                  <c:v>135</c:v>
                </c:pt>
                <c:pt idx="3">
                  <c:v>98</c:v>
                </c:pt>
                <c:pt idx="4">
                  <c:v>59</c:v>
                </c:pt>
                <c:pt idx="5">
                  <c:v>39</c:v>
                </c:pt>
                <c:pt idx="6">
                  <c:v>22</c:v>
                </c:pt>
                <c:pt idx="7">
                  <c:v>17</c:v>
                </c:pt>
              </c:numCache>
            </c:numRef>
          </c:val>
          <c:extLst>
            <c:ext xmlns:c16="http://schemas.microsoft.com/office/drawing/2014/chart" uri="{C3380CC4-5D6E-409C-BE32-E72D297353CC}">
              <c16:uniqueId val="{00000000-08BA-41BC-B6A7-EC6C396ECDDB}"/>
            </c:ext>
          </c:extLst>
        </c:ser>
        <c:dLbls>
          <c:showLegendKey val="0"/>
          <c:showVal val="0"/>
          <c:showCatName val="0"/>
          <c:showSerName val="0"/>
          <c:showPercent val="0"/>
          <c:showBubbleSize val="0"/>
        </c:dLbls>
        <c:axId val="2068974368"/>
        <c:axId val="2068972448"/>
      </c:areaChart>
      <c:barChart>
        <c:barDir val="col"/>
        <c:grouping val="clustered"/>
        <c:varyColors val="0"/>
        <c:ser>
          <c:idx val="1"/>
          <c:order val="1"/>
          <c:tx>
            <c:strRef>
              <c:f>AUXILIAR!$I$16:$I$17</c:f>
              <c:strCache>
                <c:ptCount val="1"/>
                <c:pt idx="0">
                  <c:v>Si</c:v>
                </c:pt>
              </c:strCache>
            </c:strRef>
          </c:tx>
          <c:spPr>
            <a:solidFill>
              <a:schemeClr val="accent2"/>
            </a:solidFill>
            <a:ln>
              <a:noFill/>
            </a:ln>
            <a:effectLst/>
          </c:spPr>
          <c:invertIfNegative val="0"/>
          <c:cat>
            <c:strRef>
              <c:f>AUXILIAR!$G$18:$G$26</c:f>
              <c:strCache>
                <c:ptCount val="8"/>
                <c:pt idx="0">
                  <c:v>0-9</c:v>
                </c:pt>
                <c:pt idx="1">
                  <c:v>10-19</c:v>
                </c:pt>
                <c:pt idx="2">
                  <c:v>20-29</c:v>
                </c:pt>
                <c:pt idx="3">
                  <c:v>30-39</c:v>
                </c:pt>
                <c:pt idx="4">
                  <c:v>40-49</c:v>
                </c:pt>
                <c:pt idx="5">
                  <c:v>50-59</c:v>
                </c:pt>
                <c:pt idx="6">
                  <c:v>60-69</c:v>
                </c:pt>
                <c:pt idx="7">
                  <c:v>70-80</c:v>
                </c:pt>
              </c:strCache>
            </c:strRef>
          </c:cat>
          <c:val>
            <c:numRef>
              <c:f>AUXILIAR!$I$18:$I$26</c:f>
              <c:numCache>
                <c:formatCode>General</c:formatCode>
                <c:ptCount val="8"/>
                <c:pt idx="0">
                  <c:v>12</c:v>
                </c:pt>
                <c:pt idx="1">
                  <c:v>15</c:v>
                </c:pt>
                <c:pt idx="2">
                  <c:v>29</c:v>
                </c:pt>
                <c:pt idx="3">
                  <c:v>23</c:v>
                </c:pt>
                <c:pt idx="4">
                  <c:v>10</c:v>
                </c:pt>
                <c:pt idx="5">
                  <c:v>11</c:v>
                </c:pt>
                <c:pt idx="6">
                  <c:v>6</c:v>
                </c:pt>
                <c:pt idx="7">
                  <c:v>3</c:v>
                </c:pt>
              </c:numCache>
            </c:numRef>
          </c:val>
          <c:extLst>
            <c:ext xmlns:c16="http://schemas.microsoft.com/office/drawing/2014/chart" uri="{C3380CC4-5D6E-409C-BE32-E72D297353CC}">
              <c16:uniqueId val="{00000001-8C53-45DA-9E57-4E70CCB72FFB}"/>
            </c:ext>
          </c:extLst>
        </c:ser>
        <c:dLbls>
          <c:showLegendKey val="0"/>
          <c:showVal val="0"/>
          <c:showCatName val="0"/>
          <c:showSerName val="0"/>
          <c:showPercent val="0"/>
          <c:showBubbleSize val="0"/>
        </c:dLbls>
        <c:gapWidth val="150"/>
        <c:axId val="2068974368"/>
        <c:axId val="2068972448"/>
      </c:barChart>
      <c:catAx>
        <c:axId val="2068974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68972448"/>
        <c:crosses val="autoZero"/>
        <c:auto val="1"/>
        <c:lblAlgn val="ctr"/>
        <c:lblOffset val="100"/>
        <c:noMultiLvlLbl val="0"/>
      </c:catAx>
      <c:valAx>
        <c:axId val="206897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689743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SET!A1"/><Relationship Id="rId7" Type="http://schemas.openxmlformats.org/officeDocument/2006/relationships/hyperlink" Target="#DATASET_CLEAN!A1"/><Relationship Id="rId2" Type="http://schemas.openxmlformats.org/officeDocument/2006/relationships/hyperlink" Target="#DATASET_ORIGINAL!A1"/><Relationship Id="rId1" Type="http://schemas.openxmlformats.org/officeDocument/2006/relationships/hyperlink" Target="#README!A1"/><Relationship Id="rId6" Type="http://schemas.openxmlformats.org/officeDocument/2006/relationships/hyperlink" Target="#DASHBOARD!A1"/><Relationship Id="rId5" Type="http://schemas.openxmlformats.org/officeDocument/2006/relationships/hyperlink" Target="#AUXILIAR!A1"/><Relationship Id="rId4" Type="http://schemas.openxmlformats.org/officeDocument/2006/relationships/hyperlink" Target="#'Preguntas y Respuestas'!A1"/></Relationships>
</file>

<file path=xl/drawings/_rels/drawing2.xml.rels><?xml version="1.0" encoding="UTF-8" standalone="yes"?>
<Relationships xmlns="http://schemas.openxmlformats.org/package/2006/relationships"><Relationship Id="rId1" Type="http://schemas.openxmlformats.org/officeDocument/2006/relationships/hyperlink" Target="#PORTADA!A1"/></Relationships>
</file>

<file path=xl/drawings/_rels/drawing3.xml.rels><?xml version="1.0" encoding="UTF-8" standalone="yes"?>
<Relationships xmlns="http://schemas.openxmlformats.org/package/2006/relationships"><Relationship Id="rId1" Type="http://schemas.openxmlformats.org/officeDocument/2006/relationships/hyperlink" Target="#PORTADA!A1"/></Relationships>
</file>

<file path=xl/drawings/_rels/drawing4.xml.rels><?xml version="1.0" encoding="UTF-8" standalone="yes"?>
<Relationships xmlns="http://schemas.openxmlformats.org/package/2006/relationships"><Relationship Id="rId1" Type="http://schemas.openxmlformats.org/officeDocument/2006/relationships/hyperlink" Target="#PORTADA!A1"/></Relationships>
</file>

<file path=xl/drawings/_rels/drawing5.xml.rels><?xml version="1.0" encoding="UTF-8" standalone="yes"?>
<Relationships xmlns="http://schemas.openxmlformats.org/package/2006/relationships"><Relationship Id="rId1" Type="http://schemas.openxmlformats.org/officeDocument/2006/relationships/hyperlink" Target="#PORTADA!A1"/></Relationships>
</file>

<file path=xl/drawings/_rels/drawing6.xml.rels><?xml version="1.0" encoding="UTF-8" standalone="yes"?>
<Relationships xmlns="http://schemas.openxmlformats.org/package/2006/relationships"><Relationship Id="rId1" Type="http://schemas.openxmlformats.org/officeDocument/2006/relationships/hyperlink" Target="#PORTADA!A1"/></Relationships>
</file>

<file path=xl/drawings/_rels/drawing7.xml.rels><?xml version="1.0" encoding="UTF-8" standalone="yes"?>
<Relationships xmlns="http://schemas.openxmlformats.org/package/2006/relationships"><Relationship Id="rId1" Type="http://schemas.openxmlformats.org/officeDocument/2006/relationships/hyperlink" Target="#PORTADA!A1"/></Relationships>
</file>

<file path=xl/drawings/_rels/drawing8.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PORTADA!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422413</xdr:colOff>
      <xdr:row>10</xdr:row>
      <xdr:rowOff>29405</xdr:rowOff>
    </xdr:from>
    <xdr:to>
      <xdr:col>4</xdr:col>
      <xdr:colOff>2403613</xdr:colOff>
      <xdr:row>13</xdr:row>
      <xdr:rowOff>57979</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F10F2D62-C4D5-4EF0-9D69-21B7CA84BD6F}"/>
            </a:ext>
          </a:extLst>
        </xdr:cNvPr>
        <xdr:cNvSpPr/>
      </xdr:nvSpPr>
      <xdr:spPr>
        <a:xfrm>
          <a:off x="3470413" y="1992383"/>
          <a:ext cx="1981200" cy="600074"/>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AR" sz="1300" b="1">
              <a:solidFill>
                <a:schemeClr val="tx1"/>
              </a:solidFill>
            </a:rPr>
            <a:t>README</a:t>
          </a:r>
        </a:p>
        <a:p>
          <a:pPr algn="l"/>
          <a:endParaRPr lang="es-AR" sz="1300"/>
        </a:p>
      </xdr:txBody>
    </xdr:sp>
    <xdr:clientData/>
  </xdr:twoCellAnchor>
  <xdr:twoCellAnchor>
    <xdr:from>
      <xdr:col>5</xdr:col>
      <xdr:colOff>179319</xdr:colOff>
      <xdr:row>10</xdr:row>
      <xdr:rowOff>24848</xdr:rowOff>
    </xdr:from>
    <xdr:to>
      <xdr:col>5</xdr:col>
      <xdr:colOff>2160519</xdr:colOff>
      <xdr:row>13</xdr:row>
      <xdr:rowOff>53422</xdr:rowOff>
    </xdr:to>
    <xdr:sp macro="" textlink="">
      <xdr:nvSpPr>
        <xdr:cNvPr id="7" name="Rectángulo: esquinas redondeadas 6">
          <a:hlinkClick xmlns:r="http://schemas.openxmlformats.org/officeDocument/2006/relationships" r:id="rId2"/>
          <a:extLst>
            <a:ext uri="{FF2B5EF4-FFF2-40B4-BE49-F238E27FC236}">
              <a16:creationId xmlns:a16="http://schemas.microsoft.com/office/drawing/2014/main" id="{DF49FA76-411A-4E6B-ACB9-3AAE07BBDD87}"/>
            </a:ext>
          </a:extLst>
        </xdr:cNvPr>
        <xdr:cNvSpPr/>
      </xdr:nvSpPr>
      <xdr:spPr>
        <a:xfrm>
          <a:off x="5695536" y="1987826"/>
          <a:ext cx="1981200" cy="600074"/>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AR" sz="1300" b="1">
              <a:solidFill>
                <a:schemeClr val="tx1"/>
              </a:solidFill>
            </a:rPr>
            <a:t>DATASET ORIGINAL</a:t>
          </a:r>
        </a:p>
        <a:p>
          <a:pPr algn="l"/>
          <a:endParaRPr lang="es-AR" sz="1500"/>
        </a:p>
      </xdr:txBody>
    </xdr:sp>
    <xdr:clientData/>
  </xdr:twoCellAnchor>
  <xdr:twoCellAnchor>
    <xdr:from>
      <xdr:col>5</xdr:col>
      <xdr:colOff>2377109</xdr:colOff>
      <xdr:row>10</xdr:row>
      <xdr:rowOff>16566</xdr:rowOff>
    </xdr:from>
    <xdr:to>
      <xdr:col>5</xdr:col>
      <xdr:colOff>4358309</xdr:colOff>
      <xdr:row>13</xdr:row>
      <xdr:rowOff>45140</xdr:rowOff>
    </xdr:to>
    <xdr:sp macro="" textlink="">
      <xdr:nvSpPr>
        <xdr:cNvPr id="8" name="Rectángulo: esquinas redondeadas 7">
          <a:hlinkClick xmlns:r="http://schemas.openxmlformats.org/officeDocument/2006/relationships" r:id="rId3"/>
          <a:extLst>
            <a:ext uri="{FF2B5EF4-FFF2-40B4-BE49-F238E27FC236}">
              <a16:creationId xmlns:a16="http://schemas.microsoft.com/office/drawing/2014/main" id="{59329BB7-B24B-4F66-90F4-81DFD36B427F}"/>
            </a:ext>
          </a:extLst>
        </xdr:cNvPr>
        <xdr:cNvSpPr/>
      </xdr:nvSpPr>
      <xdr:spPr>
        <a:xfrm>
          <a:off x="7893326" y="1979544"/>
          <a:ext cx="1981200" cy="600074"/>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AR" sz="1300" b="1">
              <a:solidFill>
                <a:schemeClr val="tx1"/>
              </a:solidFill>
            </a:rPr>
            <a:t>DATASET</a:t>
          </a:r>
        </a:p>
        <a:p>
          <a:pPr algn="l"/>
          <a:endParaRPr lang="es-AR" sz="1500"/>
        </a:p>
      </xdr:txBody>
    </xdr:sp>
    <xdr:clientData/>
  </xdr:twoCellAnchor>
  <xdr:twoCellAnchor>
    <xdr:from>
      <xdr:col>5</xdr:col>
      <xdr:colOff>1049406</xdr:colOff>
      <xdr:row>14</xdr:row>
      <xdr:rowOff>100220</xdr:rowOff>
    </xdr:from>
    <xdr:to>
      <xdr:col>5</xdr:col>
      <xdr:colOff>3202057</xdr:colOff>
      <xdr:row>17</xdr:row>
      <xdr:rowOff>128794</xdr:rowOff>
    </xdr:to>
    <xdr:sp macro="" textlink="">
      <xdr:nvSpPr>
        <xdr:cNvPr id="10" name="Rectángulo: esquinas redondeadas 9">
          <a:hlinkClick xmlns:r="http://schemas.openxmlformats.org/officeDocument/2006/relationships" r:id="rId4"/>
          <a:extLst>
            <a:ext uri="{FF2B5EF4-FFF2-40B4-BE49-F238E27FC236}">
              <a16:creationId xmlns:a16="http://schemas.microsoft.com/office/drawing/2014/main" id="{3179D317-0DFC-48CD-A7E3-444E8F8886F2}"/>
            </a:ext>
          </a:extLst>
        </xdr:cNvPr>
        <xdr:cNvSpPr/>
      </xdr:nvSpPr>
      <xdr:spPr>
        <a:xfrm>
          <a:off x="6565623" y="2825198"/>
          <a:ext cx="2152651" cy="600074"/>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AR" sz="1300" b="1">
              <a:solidFill>
                <a:schemeClr val="tx1"/>
              </a:solidFill>
            </a:rPr>
            <a:t>PREGUNTAS Y RESPUESTAS</a:t>
          </a:r>
        </a:p>
      </xdr:txBody>
    </xdr:sp>
    <xdr:clientData/>
  </xdr:twoCellAnchor>
  <xdr:twoCellAnchor>
    <xdr:from>
      <xdr:col>4</xdr:col>
      <xdr:colOff>1122293</xdr:colOff>
      <xdr:row>14</xdr:row>
      <xdr:rowOff>114300</xdr:rowOff>
    </xdr:from>
    <xdr:to>
      <xdr:col>5</xdr:col>
      <xdr:colOff>635276</xdr:colOff>
      <xdr:row>17</xdr:row>
      <xdr:rowOff>142874</xdr:rowOff>
    </xdr:to>
    <xdr:sp macro="" textlink="">
      <xdr:nvSpPr>
        <xdr:cNvPr id="11" name="Rectángulo: esquinas redondeadas 10">
          <a:hlinkClick xmlns:r="http://schemas.openxmlformats.org/officeDocument/2006/relationships" r:id="rId5"/>
          <a:extLst>
            <a:ext uri="{FF2B5EF4-FFF2-40B4-BE49-F238E27FC236}">
              <a16:creationId xmlns:a16="http://schemas.microsoft.com/office/drawing/2014/main" id="{AC17D701-C961-496F-82A0-FB1FB70AAA7A}"/>
            </a:ext>
          </a:extLst>
        </xdr:cNvPr>
        <xdr:cNvSpPr/>
      </xdr:nvSpPr>
      <xdr:spPr>
        <a:xfrm>
          <a:off x="4170293" y="2839278"/>
          <a:ext cx="1981200" cy="600074"/>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AR" sz="1300" b="1">
              <a:solidFill>
                <a:schemeClr val="tx1"/>
              </a:solidFill>
            </a:rPr>
            <a:t>AUXILIAR</a:t>
          </a:r>
        </a:p>
        <a:p>
          <a:pPr algn="l"/>
          <a:endParaRPr lang="es-AR" sz="1300"/>
        </a:p>
      </xdr:txBody>
    </xdr:sp>
    <xdr:clientData/>
  </xdr:twoCellAnchor>
  <xdr:twoCellAnchor>
    <xdr:from>
      <xdr:col>5</xdr:col>
      <xdr:colOff>3551169</xdr:colOff>
      <xdr:row>14</xdr:row>
      <xdr:rowOff>98563</xdr:rowOff>
    </xdr:from>
    <xdr:to>
      <xdr:col>6</xdr:col>
      <xdr:colOff>569844</xdr:colOff>
      <xdr:row>17</xdr:row>
      <xdr:rowOff>127137</xdr:rowOff>
    </xdr:to>
    <xdr:sp macro="" textlink="">
      <xdr:nvSpPr>
        <xdr:cNvPr id="13" name="Rectángulo: esquinas redondeadas 12">
          <a:hlinkClick xmlns:r="http://schemas.openxmlformats.org/officeDocument/2006/relationships" r:id="rId6"/>
          <a:extLst>
            <a:ext uri="{FF2B5EF4-FFF2-40B4-BE49-F238E27FC236}">
              <a16:creationId xmlns:a16="http://schemas.microsoft.com/office/drawing/2014/main" id="{79D7F0AC-A8DC-4F82-A0E1-85A767390D6B}"/>
            </a:ext>
          </a:extLst>
        </xdr:cNvPr>
        <xdr:cNvSpPr/>
      </xdr:nvSpPr>
      <xdr:spPr>
        <a:xfrm>
          <a:off x="9067386" y="2823541"/>
          <a:ext cx="2352675" cy="60007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AR" sz="1300" b="1">
              <a:solidFill>
                <a:schemeClr val="tx1"/>
              </a:solidFill>
            </a:rPr>
            <a:t>DASHBOARD</a:t>
          </a:r>
        </a:p>
        <a:p>
          <a:pPr algn="l"/>
          <a:endParaRPr lang="es-AR" sz="1300"/>
        </a:p>
      </xdr:txBody>
    </xdr:sp>
    <xdr:clientData/>
  </xdr:twoCellAnchor>
  <xdr:twoCellAnchor>
    <xdr:from>
      <xdr:col>4</xdr:col>
      <xdr:colOff>4622278</xdr:colOff>
      <xdr:row>5</xdr:row>
      <xdr:rowOff>144771</xdr:rowOff>
    </xdr:from>
    <xdr:to>
      <xdr:col>5</xdr:col>
      <xdr:colOff>1175909</xdr:colOff>
      <xdr:row>5</xdr:row>
      <xdr:rowOff>149892</xdr:rowOff>
    </xdr:to>
    <xdr:cxnSp macro="">
      <xdr:nvCxnSpPr>
        <xdr:cNvPr id="32" name="Conector recto 31">
          <a:extLst>
            <a:ext uri="{FF2B5EF4-FFF2-40B4-BE49-F238E27FC236}">
              <a16:creationId xmlns:a16="http://schemas.microsoft.com/office/drawing/2014/main" id="{C4B6FA71-3FC5-E1FB-7E42-21A44138A474}"/>
            </a:ext>
          </a:extLst>
        </xdr:cNvPr>
        <xdr:cNvCxnSpPr/>
      </xdr:nvCxnSpPr>
      <xdr:spPr>
        <a:xfrm flipH="1" flipV="1">
          <a:off x="7670278" y="1097271"/>
          <a:ext cx="1257516" cy="5121"/>
        </a:xfrm>
        <a:prstGeom prst="line">
          <a:avLst/>
        </a:prstGeom>
        <a:ln>
          <a:solidFill>
            <a:schemeClr val="bg2">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3733502</xdr:colOff>
      <xdr:row>5</xdr:row>
      <xdr:rowOff>146041</xdr:rowOff>
    </xdr:from>
    <xdr:to>
      <xdr:col>6</xdr:col>
      <xdr:colOff>106319</xdr:colOff>
      <xdr:row>5</xdr:row>
      <xdr:rowOff>151162</xdr:rowOff>
    </xdr:to>
    <xdr:cxnSp macro="">
      <xdr:nvCxnSpPr>
        <xdr:cNvPr id="41" name="Conector recto 40">
          <a:extLst>
            <a:ext uri="{FF2B5EF4-FFF2-40B4-BE49-F238E27FC236}">
              <a16:creationId xmlns:a16="http://schemas.microsoft.com/office/drawing/2014/main" id="{932875E5-2D74-471B-A021-952675955FB7}"/>
            </a:ext>
          </a:extLst>
        </xdr:cNvPr>
        <xdr:cNvCxnSpPr/>
      </xdr:nvCxnSpPr>
      <xdr:spPr>
        <a:xfrm flipH="1" flipV="1">
          <a:off x="11485387" y="1098541"/>
          <a:ext cx="1259874" cy="5121"/>
        </a:xfrm>
        <a:prstGeom prst="line">
          <a:avLst/>
        </a:prstGeom>
        <a:ln>
          <a:solidFill>
            <a:schemeClr val="bg2">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4569101</xdr:colOff>
      <xdr:row>10</xdr:row>
      <xdr:rowOff>11182</xdr:rowOff>
    </xdr:from>
    <xdr:to>
      <xdr:col>7</xdr:col>
      <xdr:colOff>825776</xdr:colOff>
      <xdr:row>13</xdr:row>
      <xdr:rowOff>39756</xdr:rowOff>
    </xdr:to>
    <xdr:sp macro="" textlink="">
      <xdr:nvSpPr>
        <xdr:cNvPr id="42" name="Rectángulo: esquinas redondeadas 41">
          <a:hlinkClick xmlns:r="http://schemas.openxmlformats.org/officeDocument/2006/relationships" r:id="rId7"/>
          <a:extLst>
            <a:ext uri="{FF2B5EF4-FFF2-40B4-BE49-F238E27FC236}">
              <a16:creationId xmlns:a16="http://schemas.microsoft.com/office/drawing/2014/main" id="{982ED93A-0710-4070-9FD0-5E3870F0DA77}"/>
            </a:ext>
          </a:extLst>
        </xdr:cNvPr>
        <xdr:cNvSpPr/>
      </xdr:nvSpPr>
      <xdr:spPr>
        <a:xfrm>
          <a:off x="10085318" y="1974160"/>
          <a:ext cx="2352675" cy="600074"/>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AR" sz="1300" b="1">
              <a:solidFill>
                <a:schemeClr val="tx1"/>
              </a:solidFill>
            </a:rPr>
            <a:t>DATASET CLEAN</a:t>
          </a:r>
        </a:p>
        <a:p>
          <a:pPr algn="l"/>
          <a:endParaRPr lang="es-AR" sz="1500"/>
        </a:p>
      </xdr:txBody>
    </xdr:sp>
    <xdr:clientData/>
  </xdr:twoCellAnchor>
  <xdr:twoCellAnchor>
    <xdr:from>
      <xdr:col>4</xdr:col>
      <xdr:colOff>1570383</xdr:colOff>
      <xdr:row>9</xdr:row>
      <xdr:rowOff>16565</xdr:rowOff>
    </xdr:from>
    <xdr:to>
      <xdr:col>7</xdr:col>
      <xdr:colOff>306457</xdr:colOff>
      <xdr:row>9</xdr:row>
      <xdr:rowOff>27747</xdr:rowOff>
    </xdr:to>
    <xdr:cxnSp macro="">
      <xdr:nvCxnSpPr>
        <xdr:cNvPr id="45" name="Conector recto 44">
          <a:extLst>
            <a:ext uri="{FF2B5EF4-FFF2-40B4-BE49-F238E27FC236}">
              <a16:creationId xmlns:a16="http://schemas.microsoft.com/office/drawing/2014/main" id="{8B290E3F-3331-F229-3836-0CC76A9E6099}"/>
            </a:ext>
          </a:extLst>
        </xdr:cNvPr>
        <xdr:cNvCxnSpPr/>
      </xdr:nvCxnSpPr>
      <xdr:spPr>
        <a:xfrm flipV="1">
          <a:off x="4618383" y="1789043"/>
          <a:ext cx="7300291" cy="11182"/>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76200</xdr:colOff>
      <xdr:row>0</xdr:row>
      <xdr:rowOff>28575</xdr:rowOff>
    </xdr:from>
    <xdr:to>
      <xdr:col>23</xdr:col>
      <xdr:colOff>257175</xdr:colOff>
      <xdr:row>1</xdr:row>
      <xdr:rowOff>171450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5FAC013-F3A5-4314-92E2-5723B8CAC2F1}"/>
            </a:ext>
          </a:extLst>
        </xdr:cNvPr>
        <xdr:cNvSpPr/>
      </xdr:nvSpPr>
      <xdr:spPr>
        <a:xfrm>
          <a:off x="16840200" y="28575"/>
          <a:ext cx="942975" cy="333375"/>
        </a:xfrm>
        <a:prstGeom prst="roundRect">
          <a:avLst/>
        </a:prstGeom>
        <a:solidFill>
          <a:schemeClr val="bg2">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300" b="1">
              <a:solidFill>
                <a:schemeClr val="tx1"/>
              </a:solidFill>
              <a:latin typeface="Calibri" panose="020F0502020204030204" pitchFamily="34" charset="0"/>
              <a:cs typeface="Calibri" panose="020F0502020204030204" pitchFamily="34" charset="0"/>
            </a:rPr>
            <a:t>PORTADA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85725</xdr:colOff>
      <xdr:row>0</xdr:row>
      <xdr:rowOff>38100</xdr:rowOff>
    </xdr:from>
    <xdr:to>
      <xdr:col>23</xdr:col>
      <xdr:colOff>266700</xdr:colOff>
      <xdr:row>1</xdr:row>
      <xdr:rowOff>180975</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9D13CA0C-B3A9-4DA8-91CB-DE2ED5F1A642}"/>
            </a:ext>
          </a:extLst>
        </xdr:cNvPr>
        <xdr:cNvSpPr/>
      </xdr:nvSpPr>
      <xdr:spPr>
        <a:xfrm>
          <a:off x="16849725" y="38100"/>
          <a:ext cx="942975" cy="333375"/>
        </a:xfrm>
        <a:prstGeom prst="roundRect">
          <a:avLst/>
        </a:prstGeom>
        <a:solidFill>
          <a:schemeClr val="bg2">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300" b="1">
              <a:solidFill>
                <a:schemeClr val="tx1"/>
              </a:solidFill>
              <a:latin typeface="Calibri" panose="020F0502020204030204" pitchFamily="34" charset="0"/>
              <a:cs typeface="Calibri" panose="020F0502020204030204" pitchFamily="34" charset="0"/>
            </a:rPr>
            <a:t>PORTADA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17</xdr:col>
      <xdr:colOff>333375</xdr:colOff>
      <xdr:row>0</xdr:row>
      <xdr:rowOff>28575</xdr:rowOff>
    </xdr:from>
    <xdr:to>
      <xdr:col>18</xdr:col>
      <xdr:colOff>514350</xdr:colOff>
      <xdr:row>1</xdr:row>
      <xdr:rowOff>171450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681D5A77-5123-43F8-9EA8-0099DE0257BD}"/>
            </a:ext>
          </a:extLst>
        </xdr:cNvPr>
        <xdr:cNvSpPr/>
      </xdr:nvSpPr>
      <xdr:spPr>
        <a:xfrm>
          <a:off x="16849725" y="28575"/>
          <a:ext cx="942975" cy="333375"/>
        </a:xfrm>
        <a:prstGeom prst="roundRect">
          <a:avLst/>
        </a:prstGeom>
        <a:solidFill>
          <a:schemeClr val="bg2">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300" b="1">
              <a:solidFill>
                <a:schemeClr val="tx1"/>
              </a:solidFill>
              <a:latin typeface="Calibri" panose="020F0502020204030204" pitchFamily="34" charset="0"/>
              <a:cs typeface="Calibri" panose="020F0502020204030204" pitchFamily="34" charset="0"/>
            </a:rPr>
            <a:t>PORTADA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85725</xdr:colOff>
      <xdr:row>0</xdr:row>
      <xdr:rowOff>19050</xdr:rowOff>
    </xdr:from>
    <xdr:to>
      <xdr:col>14</xdr:col>
      <xdr:colOff>266700</xdr:colOff>
      <xdr:row>1</xdr:row>
      <xdr:rowOff>161925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45A02D2F-878A-4926-AF3D-751D14BD5BF8}"/>
            </a:ext>
          </a:extLst>
        </xdr:cNvPr>
        <xdr:cNvSpPr/>
      </xdr:nvSpPr>
      <xdr:spPr>
        <a:xfrm>
          <a:off x="16811625" y="19050"/>
          <a:ext cx="942975" cy="333375"/>
        </a:xfrm>
        <a:prstGeom prst="roundRect">
          <a:avLst/>
        </a:prstGeom>
        <a:solidFill>
          <a:schemeClr val="bg2">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300" b="1">
              <a:solidFill>
                <a:schemeClr val="tx1"/>
              </a:solidFill>
              <a:latin typeface="Calibri" panose="020F0502020204030204" pitchFamily="34" charset="0"/>
              <a:cs typeface="Calibri" panose="020F0502020204030204" pitchFamily="34" charset="0"/>
            </a:rPr>
            <a:t>PORTADA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171450</xdr:colOff>
      <xdr:row>0</xdr:row>
      <xdr:rowOff>38100</xdr:rowOff>
    </xdr:from>
    <xdr:to>
      <xdr:col>14</xdr:col>
      <xdr:colOff>352425</xdr:colOff>
      <xdr:row>1</xdr:row>
      <xdr:rowOff>180975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742C1814-6AD7-4E12-B374-44D73CB5D7A8}"/>
            </a:ext>
          </a:extLst>
        </xdr:cNvPr>
        <xdr:cNvSpPr/>
      </xdr:nvSpPr>
      <xdr:spPr>
        <a:xfrm>
          <a:off x="16821150" y="38100"/>
          <a:ext cx="942975" cy="333375"/>
        </a:xfrm>
        <a:prstGeom prst="roundRect">
          <a:avLst/>
        </a:prstGeom>
        <a:solidFill>
          <a:schemeClr val="bg2">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300" b="1">
              <a:solidFill>
                <a:schemeClr val="tx1"/>
              </a:solidFill>
              <a:latin typeface="Calibri" panose="020F0502020204030204" pitchFamily="34" charset="0"/>
              <a:cs typeface="Calibri" panose="020F0502020204030204" pitchFamily="34" charset="0"/>
            </a:rPr>
            <a:t>PORTADA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1504950</xdr:colOff>
      <xdr:row>0</xdr:row>
      <xdr:rowOff>19050</xdr:rowOff>
    </xdr:from>
    <xdr:to>
      <xdr:col>13</xdr:col>
      <xdr:colOff>923925</xdr:colOff>
      <xdr:row>1</xdr:row>
      <xdr:rowOff>161925</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7A4E6836-899D-46D6-AC88-F21D18DCA2A7}"/>
            </a:ext>
          </a:extLst>
        </xdr:cNvPr>
        <xdr:cNvSpPr/>
      </xdr:nvSpPr>
      <xdr:spPr>
        <a:xfrm>
          <a:off x="16811625" y="19050"/>
          <a:ext cx="942975" cy="333375"/>
        </a:xfrm>
        <a:prstGeom prst="roundRect">
          <a:avLst/>
        </a:prstGeom>
        <a:solidFill>
          <a:schemeClr val="bg2">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300" b="1">
              <a:solidFill>
                <a:schemeClr val="tx1"/>
              </a:solidFill>
              <a:latin typeface="Calibri" panose="020F0502020204030204" pitchFamily="34" charset="0"/>
              <a:cs typeface="Calibri" panose="020F0502020204030204" pitchFamily="34" charset="0"/>
            </a:rPr>
            <a:t>PORTADA</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26</xdr:col>
      <xdr:colOff>600075</xdr:colOff>
      <xdr:row>2</xdr:row>
      <xdr:rowOff>152400</xdr:rowOff>
    </xdr:from>
    <xdr:to>
      <xdr:col>28</xdr:col>
      <xdr:colOff>19049</xdr:colOff>
      <xdr:row>4</xdr:row>
      <xdr:rowOff>161925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4BE44D2-FDCD-40C3-81ED-F86DB9284A07}"/>
            </a:ext>
          </a:extLst>
        </xdr:cNvPr>
        <xdr:cNvSpPr/>
      </xdr:nvSpPr>
      <xdr:spPr>
        <a:xfrm>
          <a:off x="16602075" y="152400"/>
          <a:ext cx="942974" cy="39052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300" b="1">
              <a:solidFill>
                <a:schemeClr val="tx1"/>
              </a:solidFill>
              <a:latin typeface="Calibri" panose="020F0502020204030204" pitchFamily="34" charset="0"/>
              <a:cs typeface="Calibri" panose="020F0502020204030204" pitchFamily="34" charset="0"/>
            </a:rPr>
            <a:t>PORTADA</a:t>
          </a:r>
        </a:p>
      </xdr:txBody>
    </xdr:sp>
    <xdr:clientData/>
  </xdr:twoCellAnchor>
  <xdr:twoCellAnchor>
    <xdr:from>
      <xdr:col>12</xdr:col>
      <xdr:colOff>171450</xdr:colOff>
      <xdr:row>3</xdr:row>
      <xdr:rowOff>95250</xdr:rowOff>
    </xdr:from>
    <xdr:to>
      <xdr:col>18</xdr:col>
      <xdr:colOff>190500</xdr:colOff>
      <xdr:row>3</xdr:row>
      <xdr:rowOff>95250</xdr:rowOff>
    </xdr:to>
    <xdr:cxnSp macro="">
      <xdr:nvCxnSpPr>
        <xdr:cNvPr id="7" name="Conector recto 6">
          <a:extLst>
            <a:ext uri="{FF2B5EF4-FFF2-40B4-BE49-F238E27FC236}">
              <a16:creationId xmlns:a16="http://schemas.microsoft.com/office/drawing/2014/main" id="{58A4EA77-5F7F-EAE5-963D-86DF9208E261}"/>
            </a:ext>
          </a:extLst>
        </xdr:cNvPr>
        <xdr:cNvCxnSpPr/>
      </xdr:nvCxnSpPr>
      <xdr:spPr>
        <a:xfrm>
          <a:off x="6305550" y="342900"/>
          <a:ext cx="4591050" cy="0"/>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xdr:row>
      <xdr:rowOff>0</xdr:rowOff>
    </xdr:from>
    <xdr:to>
      <xdr:col>12</xdr:col>
      <xdr:colOff>28574</xdr:colOff>
      <xdr:row>15</xdr:row>
      <xdr:rowOff>76200</xdr:rowOff>
    </xdr:to>
    <xdr:graphicFrame macro="">
      <xdr:nvGraphicFramePr>
        <xdr:cNvPr id="4" name="Supervivencia_Genero">
          <a:extLst>
            <a:ext uri="{FF2B5EF4-FFF2-40B4-BE49-F238E27FC236}">
              <a16:creationId xmlns:a16="http://schemas.microsoft.com/office/drawing/2014/main" id="{4D0CAE4F-2CBB-431D-9768-FF103EADB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76200</xdr:rowOff>
    </xdr:from>
    <xdr:to>
      <xdr:col>12</xdr:col>
      <xdr:colOff>19050</xdr:colOff>
      <xdr:row>31</xdr:row>
      <xdr:rowOff>171450</xdr:rowOff>
    </xdr:to>
    <xdr:graphicFrame macro="">
      <xdr:nvGraphicFramePr>
        <xdr:cNvPr id="5" name="Sobrevivientes_Embarque">
          <a:extLst>
            <a:ext uri="{FF2B5EF4-FFF2-40B4-BE49-F238E27FC236}">
              <a16:creationId xmlns:a16="http://schemas.microsoft.com/office/drawing/2014/main" id="{C79CC382-D992-46F7-A33A-DD2F2277A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85724</xdr:colOff>
      <xdr:row>3</xdr:row>
      <xdr:rowOff>66674</xdr:rowOff>
    </xdr:from>
    <xdr:to>
      <xdr:col>20</xdr:col>
      <xdr:colOff>352425</xdr:colOff>
      <xdr:row>15</xdr:row>
      <xdr:rowOff>57148</xdr:rowOff>
    </xdr:to>
    <xdr:graphicFrame macro="">
      <xdr:nvGraphicFramePr>
        <xdr:cNvPr id="6" name="Tabla_Valor_Promedio_Ticket">
          <a:extLst>
            <a:ext uri="{FF2B5EF4-FFF2-40B4-BE49-F238E27FC236}">
              <a16:creationId xmlns:a16="http://schemas.microsoft.com/office/drawing/2014/main" id="{F445D62D-E21F-4D2D-8861-2C331E98D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95251</xdr:colOff>
      <xdr:row>14</xdr:row>
      <xdr:rowOff>161925</xdr:rowOff>
    </xdr:from>
    <xdr:to>
      <xdr:col>20</xdr:col>
      <xdr:colOff>342901</xdr:colOff>
      <xdr:row>31</xdr:row>
      <xdr:rowOff>123826</xdr:rowOff>
    </xdr:to>
    <xdr:graphicFrame macro="">
      <xdr:nvGraphicFramePr>
        <xdr:cNvPr id="3" name="Porcentaje_Clases">
          <a:extLst>
            <a:ext uri="{FF2B5EF4-FFF2-40B4-BE49-F238E27FC236}">
              <a16:creationId xmlns:a16="http://schemas.microsoft.com/office/drawing/2014/main" id="{7D7E9E57-8984-4E70-9A0D-56D81A507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171450</xdr:colOff>
      <xdr:row>3</xdr:row>
      <xdr:rowOff>1</xdr:rowOff>
    </xdr:from>
    <xdr:to>
      <xdr:col>12</xdr:col>
      <xdr:colOff>9525</xdr:colOff>
      <xdr:row>8</xdr:row>
      <xdr:rowOff>0</xdr:rowOff>
    </xdr:to>
    <mc:AlternateContent xmlns:mc="http://schemas.openxmlformats.org/markup-compatibility/2006" xmlns:a14="http://schemas.microsoft.com/office/drawing/2010/main">
      <mc:Choice Requires="a14">
        <xdr:graphicFrame macro="">
          <xdr:nvGraphicFramePr>
            <xdr:cNvPr id="10" name="Sexo">
              <a:extLst>
                <a:ext uri="{FF2B5EF4-FFF2-40B4-BE49-F238E27FC236}">
                  <a16:creationId xmlns:a16="http://schemas.microsoft.com/office/drawing/2014/main" id="{63E10F70-3D83-6D56-9E45-55412B190F76}"/>
                </a:ext>
              </a:extLst>
            </xdr:cNvPr>
            <xdr:cNvGraphicFramePr/>
          </xdr:nvGraphicFramePr>
          <xdr:xfrm>
            <a:off x="0" y="0"/>
            <a:ext cx="0" cy="0"/>
          </xdr:xfrm>
          <a:graphic>
            <a:graphicData uri="http://schemas.microsoft.com/office/drawing/2010/slicer">
              <sle:slicer xmlns:sle="http://schemas.microsoft.com/office/drawing/2010/slicer" name="Sexo"/>
            </a:graphicData>
          </a:graphic>
        </xdr:graphicFrame>
      </mc:Choice>
      <mc:Fallback xmlns="">
        <xdr:sp macro="" textlink="">
          <xdr:nvSpPr>
            <xdr:cNvPr id="0" name=""/>
            <xdr:cNvSpPr>
              <a:spLocks noTextEdit="1"/>
            </xdr:cNvSpPr>
          </xdr:nvSpPr>
          <xdr:spPr>
            <a:xfrm>
              <a:off x="3829050" y="247651"/>
              <a:ext cx="1666875" cy="1133474"/>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11</xdr:col>
      <xdr:colOff>1828799</xdr:colOff>
      <xdr:row>12</xdr:row>
      <xdr:rowOff>104775</xdr:rowOff>
    </xdr:from>
    <xdr:to>
      <xdr:col>15</xdr:col>
      <xdr:colOff>200024</xdr:colOff>
      <xdr:row>31</xdr:row>
      <xdr:rowOff>95251</xdr:rowOff>
    </xdr:to>
    <xdr:graphicFrame macro="">
      <xdr:nvGraphicFramePr>
        <xdr:cNvPr id="8" name="Grafico_Edad">
          <a:extLst>
            <a:ext uri="{FF2B5EF4-FFF2-40B4-BE49-F238E27FC236}">
              <a16:creationId xmlns:a16="http://schemas.microsoft.com/office/drawing/2014/main" id="{516031FC-C6F4-4C78-9AA5-E59DBDEE8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3324225</xdr:colOff>
      <xdr:row>12</xdr:row>
      <xdr:rowOff>123825</xdr:rowOff>
    </xdr:from>
    <xdr:to>
      <xdr:col>15</xdr:col>
      <xdr:colOff>85725</xdr:colOff>
      <xdr:row>19</xdr:row>
      <xdr:rowOff>47625</xdr:rowOff>
    </xdr:to>
    <mc:AlternateContent xmlns:mc="http://schemas.openxmlformats.org/markup-compatibility/2006" xmlns:a14="http://schemas.microsoft.com/office/drawing/2010/main">
      <mc:Choice Requires="a14">
        <xdr:graphicFrame macro="">
          <xdr:nvGraphicFramePr>
            <xdr:cNvPr id="11" name="Clase_Del_Pasaje">
              <a:extLst>
                <a:ext uri="{FF2B5EF4-FFF2-40B4-BE49-F238E27FC236}">
                  <a16:creationId xmlns:a16="http://schemas.microsoft.com/office/drawing/2014/main" id="{951C1477-3285-51FA-A3CE-1455279475CD}"/>
                </a:ext>
              </a:extLst>
            </xdr:cNvPr>
            <xdr:cNvGraphicFramePr/>
          </xdr:nvGraphicFramePr>
          <xdr:xfrm>
            <a:off x="0" y="0"/>
            <a:ext cx="0" cy="0"/>
          </xdr:xfrm>
          <a:graphic>
            <a:graphicData uri="http://schemas.microsoft.com/office/drawing/2010/slicer">
              <sle:slicer xmlns:sle="http://schemas.microsoft.com/office/drawing/2010/slicer" name="Clase_Del_Pasaje"/>
            </a:graphicData>
          </a:graphic>
        </xdr:graphicFrame>
      </mc:Choice>
      <mc:Fallback xmlns="">
        <xdr:sp macro="" textlink="">
          <xdr:nvSpPr>
            <xdr:cNvPr id="0" name=""/>
            <xdr:cNvSpPr>
              <a:spLocks noTextEdit="1"/>
            </xdr:cNvSpPr>
          </xdr:nvSpPr>
          <xdr:spPr>
            <a:xfrm>
              <a:off x="10448925" y="2628900"/>
              <a:ext cx="1733550" cy="12573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18</xdr:col>
      <xdr:colOff>133350</xdr:colOff>
      <xdr:row>3</xdr:row>
      <xdr:rowOff>66675</xdr:rowOff>
    </xdr:from>
    <xdr:to>
      <xdr:col>20</xdr:col>
      <xdr:colOff>361950</xdr:colOff>
      <xdr:row>9</xdr:row>
      <xdr:rowOff>0</xdr:rowOff>
    </xdr:to>
    <mc:AlternateContent xmlns:mc="http://schemas.openxmlformats.org/markup-compatibility/2006" xmlns:a14="http://schemas.microsoft.com/office/drawing/2010/main">
      <mc:Choice Requires="a14">
        <xdr:graphicFrame macro="">
          <xdr:nvGraphicFramePr>
            <xdr:cNvPr id="12" name="Embarque">
              <a:extLst>
                <a:ext uri="{FF2B5EF4-FFF2-40B4-BE49-F238E27FC236}">
                  <a16:creationId xmlns:a16="http://schemas.microsoft.com/office/drawing/2014/main" id="{706EE8A1-5DC5-C44D-7F4F-E28D539B6AD4}"/>
                </a:ext>
              </a:extLst>
            </xdr:cNvPr>
            <xdr:cNvGraphicFramePr/>
          </xdr:nvGraphicFramePr>
          <xdr:xfrm>
            <a:off x="0" y="0"/>
            <a:ext cx="0" cy="0"/>
          </xdr:xfrm>
          <a:graphic>
            <a:graphicData uri="http://schemas.microsoft.com/office/drawing/2010/slicer">
              <sle:slicer xmlns:sle="http://schemas.microsoft.com/office/drawing/2010/slicer" name="Embarque"/>
            </a:graphicData>
          </a:graphic>
        </xdr:graphicFrame>
      </mc:Choice>
      <mc:Fallback xmlns="">
        <xdr:sp macro="" textlink="">
          <xdr:nvSpPr>
            <xdr:cNvPr id="0" name=""/>
            <xdr:cNvSpPr>
              <a:spLocks noTextEdit="1"/>
            </xdr:cNvSpPr>
          </xdr:nvSpPr>
          <xdr:spPr>
            <a:xfrm>
              <a:off x="15830550" y="314325"/>
              <a:ext cx="1752600" cy="126682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19</xdr:col>
      <xdr:colOff>361950</xdr:colOff>
      <xdr:row>0</xdr:row>
      <xdr:rowOff>28575</xdr:rowOff>
    </xdr:from>
    <xdr:to>
      <xdr:col>20</xdr:col>
      <xdr:colOff>542925</xdr:colOff>
      <xdr:row>1</xdr:row>
      <xdr:rowOff>171450</xdr:rowOff>
    </xdr:to>
    <xdr:sp macro="" textlink="">
      <xdr:nvSpPr>
        <xdr:cNvPr id="13" name="Rectángulo: esquinas redondeadas 12">
          <a:hlinkClick xmlns:r="http://schemas.openxmlformats.org/officeDocument/2006/relationships" r:id="rId1"/>
          <a:extLst>
            <a:ext uri="{FF2B5EF4-FFF2-40B4-BE49-F238E27FC236}">
              <a16:creationId xmlns:a16="http://schemas.microsoft.com/office/drawing/2014/main" id="{CB0A4B4E-2A54-4021-B763-9BC884E94DA6}"/>
            </a:ext>
          </a:extLst>
        </xdr:cNvPr>
        <xdr:cNvSpPr/>
      </xdr:nvSpPr>
      <xdr:spPr>
        <a:xfrm>
          <a:off x="16821150" y="28575"/>
          <a:ext cx="942975" cy="333375"/>
        </a:xfrm>
        <a:prstGeom prst="roundRect">
          <a:avLst/>
        </a:prstGeom>
        <a:solidFill>
          <a:schemeClr val="bg2">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300" b="1">
              <a:solidFill>
                <a:schemeClr val="tx1"/>
              </a:solidFill>
              <a:latin typeface="Calibri" panose="020F0502020204030204" pitchFamily="34" charset="0"/>
              <a:cs typeface="Calibri" panose="020F0502020204030204" pitchFamily="34" charset="0"/>
            </a:rPr>
            <a:t>PORTADA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i" refreshedDate="46078.899469444441" createdVersion="8" refreshedVersion="8" minRefreshableVersion="3" recordCount="891" xr:uid="{CFF6AAEC-435D-4F75-B548-6FEF00945CFB}">
  <cacheSource type="worksheet">
    <worksheetSource name="INFO_Pasajeros"/>
  </cacheSource>
  <cacheFields count="13">
    <cacheField name="Nombre" numFmtId="49">
      <sharedItems count="891">
        <s v="Braund, Mr. Owen Harris"/>
        <s v="Cumings, Mrs. John Bradley (Florence Briggs Thayer)"/>
        <s v="Heikkinen, Miss. Laina"/>
        <s v="Futrelle, Mrs. Jacques Heath (Lily May Peel)"/>
        <s v="Allen, Mr. William Henry"/>
        <s v="Moran, Mr. James"/>
        <s v="McCarthy, Mr. Timothy J"/>
        <s v="Palsson, Master. Gosta Leonard"/>
        <s v="Johnson, Mrs. Oscar W (Elisabeth Vilhelmina Berg)"/>
        <s v="Nasser, Mrs. Nicholas (Adele Achem)"/>
        <s v="Sandstrom, Miss. Marguerite Rut"/>
        <s v="Bonnell, Miss. Elizabeth"/>
        <s v="Saundercock, Mr. William Henry"/>
        <s v="Andersson, Mr. Anders Johan"/>
        <s v="Vestrom, Miss. Hulda Amanda Adolfina"/>
        <s v="Hewlett, Mrs. (Mary D Kingcome) "/>
        <s v="Rice, Master. Eugene"/>
        <s v="Williams, Mr. Charles Eugene"/>
        <s v="Vander Planke, Mrs. Julius (Emelia Maria Vandemoortele)"/>
        <s v="Masselmani, Mrs. Fatima"/>
        <s v="Fynney, Mr. Joseph J"/>
        <s v="Beesley, Mr. Lawrence"/>
        <s v="McGowan, Miss. Anna &quot;Annie&quot;"/>
        <s v="Sloper, Mr. William Thompson"/>
        <s v="Palsson, Miss. Torborg Danira"/>
        <s v="Asplund, Mrs. Carl Oscar (Selma Augusta Emilia Johansson)"/>
        <s v="Emir, Mr. Farred Chehab"/>
        <s v="Fortune, Mr. Charles Alexander"/>
        <s v="O'Dwyer, Miss. Ellen &quot;Nellie&quot;"/>
        <s v="Todoroff, Mr. Lalio"/>
        <s v="Uruchurtu, Don. Manuel E"/>
        <s v="DeWitt Bukater, Miss. Rose"/>
        <s v="Glynn, Miss. Mary Agatha"/>
        <s v="Wheadon, Mr. Edward H"/>
        <s v="Meyer, Mr. Edgar Joseph"/>
        <s v="Holverson, Mr. Alexander Oskar"/>
        <s v="Mamee, Mr. Hanna"/>
        <s v="Cann, Mr. Ernest Charles"/>
        <s v="Vander Planke, Miss. Augusta Maria"/>
        <s v="Nicola-Yarred, Miss. Jamila"/>
        <s v="Ahlin, Mrs. Johan (Johanna Persdotter Larsson)"/>
        <s v="Turpin, Mrs. William John Robert (Dorothy Ann Wonnacott)"/>
        <s v="Kraeff, Mr. Theodor"/>
        <s v="Laroche, Miss. Simonne Marie Anne Andree"/>
        <s v="Devaney, Miss. Margaret Delia"/>
        <s v="Rogers, Mr. William John"/>
        <s v="Lennon, Mr. Denis"/>
        <s v="O'Driscoll, Miss. Bridget"/>
        <s v="Samaan, Mr. Youssef"/>
        <s v="Arnold-Franchi, Mrs. Josef (Josefine Franchi)"/>
        <s v="Panula, Master. Juha Niilo"/>
        <s v="Nosworthy, Mr. Richard Cater"/>
        <s v="Harper, Mrs. Henry Sleeper (Myna Haxtun)"/>
        <s v="Faunthorpe, Mrs. Lizzie (Elizabeth Anne Wilkinson)"/>
        <s v="Ostby, Mr. Engelhart Cornelius"/>
        <s v="Woolner, Mr. Hugh"/>
        <s v="Rugg, Miss. Emily"/>
        <s v="Novel, Mr. Mansouer"/>
        <s v="West, Miss. Constance Mirium"/>
        <s v="Goodwin, Master. William Frederick"/>
        <s v="Sirayanian, Mr. Orsen"/>
        <s v="Icard, Miss. Amelie"/>
        <s v="Harris, Mr. Henry Birkhardt"/>
        <s v="Skoog, Master. Harald"/>
        <s v="Stewart, Mr. Albert A"/>
        <s v="Moubarek, Master. Gerios"/>
        <s v="Nye, Mrs. (Elizabeth Ramell)"/>
        <s v="Crease, Mr. Ernest James"/>
        <s v="Andersson, Miss. Erna Alexandra"/>
        <s v="Kink, Mr. Vincenz"/>
        <s v="Jenkin, Mr. Stephen Curnow"/>
        <s v="Goodwin, Miss. Lillian Amy"/>
        <s v="Hood, Mr. Ambrose Jr"/>
        <s v="Chronopoulos, Mr. Apostolos"/>
        <s v="Bing, Mr. Lee"/>
        <s v="Moen, Mr. Sigurd Hansen"/>
        <s v="Staneff, Mr. Ivan"/>
        <s v="Moutal, Mr. Rahamin Haim"/>
        <s v="Caldwell, Master. Alden Gates"/>
        <s v="Dowdell, Miss. Elizabeth"/>
        <s v="Waelens, Mr. Achille"/>
        <s v="Sheerlinck, Mr. Jan Baptist"/>
        <s v="McDermott, Miss. Brigdet Delia"/>
        <s v="Carrau, Mr. Francisco M"/>
        <s v="Ilett, Miss. Bertha"/>
        <s v="Backstrom, Mrs. Karl Alfred (Maria Mathilda Gustafsson)"/>
        <s v="Ford, Mr. William Neal"/>
        <s v="Slocovski, Mr. Selman Francis"/>
        <s v="Fortune, Miss. Mabel Helen"/>
        <s v="Celotti, Mr. Francesco"/>
        <s v="Christmann, Mr. Emil"/>
        <s v="Andreasson, Mr. Paul Edvin"/>
        <s v="Chaffee, Mr. Herbert Fuller"/>
        <s v="Dean, Mr. Bertram Frank"/>
        <s v="Coxon, Mr. Daniel"/>
        <s v="Shorney, Mr. Charles Joseph"/>
        <s v="Goldschmidt, Mr. George B"/>
        <s v="Greenfield, Mr. William Bertram"/>
        <s v="Doling, Mrs. John T (Ada Julia Bone)"/>
        <s v="Kantor, Mr. Sinai"/>
        <s v="Petranec, Miss. Matilda"/>
        <s v="Petroff, Mr. Pastcho (&quot;Pentcho&quot;)"/>
        <s v="White, Mr. Richard Frasar"/>
        <s v="Johansson, Mr. Gustaf Joel"/>
        <s v="Gustafsson, Mr. Anders Vilhelm"/>
        <s v="Mionoff, Mr. Stoytcho"/>
        <s v="Salkjelsvik, Miss. Anna Kristine"/>
        <s v="Moss, Mr. Albert Johan"/>
        <s v="Rekic, Mr. Tido"/>
        <s v="Moran, Miss. Bertha"/>
        <s v="Porter, Mr. Walter Chamberlain"/>
        <s v="Zabour, Miss. Hileni"/>
        <s v="Barton, Mr. David John"/>
        <s v="Jussila, Miss. Katriina"/>
        <s v="Attalah, Miss. Malake"/>
        <s v="Pekoniemi, Mr. Edvard"/>
        <s v="Connors, Mr. Patrick"/>
        <s v="Turpin, Mr. William John Robert"/>
        <s v="Baxter, Mr. Quigg Edmond"/>
        <s v="Andersson, Miss. Ellis Anna Maria"/>
        <s v="Hickman, Mr. Stanley George"/>
        <s v="Moore, Mr. Leonard Charles"/>
        <s v="Nasser, Mr. Nicholas"/>
        <s v="Webber, Miss. Susan"/>
        <s v="White, Mr. Percival Wayland"/>
        <s v="Nicola-Yarred, Master. Elias"/>
        <s v="McMahon, Mr. Martin"/>
        <s v="Madsen, Mr. Fridtjof Arne"/>
        <s v="Peter, Miss. Anna"/>
        <s v="Ekstrom, Mr. Johan"/>
        <s v="Drazenoic, Mr. Jozef"/>
        <s v="Coelho, Mr. Domingos Fernandeo"/>
        <s v="Robins, Mrs. Alexander A (Grace Charity Laury)"/>
        <s v="Weisz, Mrs. Leopold (Mathilde Francoise Pede)"/>
        <s v="Sobey, Mr. Samuel James Hayden"/>
        <s v="Richard, Mr. Emile"/>
        <s v="Newsom, Miss. Helen Monypeny"/>
        <s v="Futrelle, Mr. Jacques Heath"/>
        <s v="Osen, Mr. Olaf Elon"/>
        <s v="Giglio, Mr. Victor"/>
        <s v="Boulos, Mrs. Joseph (Sultana)"/>
        <s v="Nysten, Miss. Anna Sofia"/>
        <s v="Hakkarainen, Mrs. Pekka Pietari (Elin Matilda Dolck)"/>
        <s v="Burke, Mr. Jeremiah"/>
        <s v="Andrew, Mr. Edgardo Samuel"/>
        <s v="Nicholls, Mr. Joseph Charles"/>
        <s v="Andersson, Mr. August Edvard (&quot;Wennerstrom&quot;)"/>
        <s v="Ford, Miss. Robina Maggie &quot;Ruby&quot;"/>
        <s v="Navratil, Mr. Michel (&quot;Louis M Hoffman&quot;)"/>
        <s v="Byles, Rev. Thomas Roussel Davids"/>
        <s v="Bateman, Rev. Robert James"/>
        <s v="Pears, Mrs. Thomas (Edith Wearne)"/>
        <s v="Meo, Mr. Alfonzo"/>
        <s v="van Billiard, Mr. Austin Blyler"/>
        <s v="Olsen, Mr. Ole Martin"/>
        <s v="Williams, Mr. Charles Duane"/>
        <s v="Gilnagh, Miss. Katherine &quot;Katie&quot;"/>
        <s v="Corn, Mr. Harry"/>
        <s v="Smiljanic, Mr. Mile"/>
        <s v="Sage, Master. Thomas Henry"/>
        <s v="Cribb, Mr. John Hatfield"/>
        <s v="Watt, Mrs. James (Elizabeth &quot;Bessie&quot; Inglis Milne)"/>
        <s v="Bengtsson, Mr. John Viktor"/>
        <s v="Calic, Mr. Jovo"/>
        <s v="Panula, Master. Eino Viljami"/>
        <s v="Goldsmith, Master. Frank John William &quot;Frankie&quot;"/>
        <s v="Chibnall, Mrs. (Edith Martha Bowerman)"/>
        <s v="Skoog, Mrs. William (Anna Bernhardina Karlsson)"/>
        <s v="Baumann, Mr. John D"/>
        <s v="Ling, Mr. Lee"/>
        <s v="Van der hoef, Mr. Wyckoff"/>
        <s v="Rice, Master. Arthur"/>
        <s v="Johnson, Miss. Eleanor Ileen"/>
        <s v="Sivola, Mr. Antti Wilhelm"/>
        <s v="Smith, Mr. James Clinch"/>
        <s v="Klasen, Mr. Klas Albin"/>
        <s v="Lefebre, Master. Henry Forbes"/>
        <s v="Isham, Miss. Ann Elizabeth"/>
        <s v="Hale, Mr. Reginald"/>
        <s v="Leonard, Mr. Lionel"/>
        <s v="Sage, Miss. Constance Gladys"/>
        <s v="Pernot, Mr. Rene"/>
        <s v="Asplund, Master. Clarence Gustaf Hugo"/>
        <s v="Becker, Master. Richard F"/>
        <s v="Kink-Heilmann, Miss. Luise Gretchen"/>
        <s v="Rood, Mr. Hugh Roscoe"/>
        <s v="O'Brien, Mrs. Thomas (Johanna &quot;Hannah&quot; Godfrey)"/>
        <s v="Romaine, Mr. Charles Hallace (&quot;Mr C Rolmane&quot;)"/>
        <s v="Bourke, Mr. John"/>
        <s v="Turcin, Mr. Stjepan"/>
        <s v="Pinsky, Mrs. (Rosa)"/>
        <s v="Carbines, Mr. William"/>
        <s v="Andersen-Jensen, Miss. Carla Christine Nielsine"/>
        <s v="Navratil, Master. Michel M"/>
        <s v="Brown, Mrs. James Joseph (Margaret Tobin)"/>
        <s v="Lurette, Miss. Elise"/>
        <s v="Mernagh, Mr. Robert"/>
        <s v="Olsen, Mr. Karl Siegwart Andreas"/>
        <s v="Madigan, Miss. Margaret &quot;Maggie&quot;"/>
        <s v="Yrois, Miss. Henriette (&quot;Mrs Harbeck&quot;)"/>
        <s v="Vande Walle, Mr. Nestor Cyriel"/>
        <s v="Sage, Mr. Frederick"/>
        <s v="Johanson, Mr. Jakob Alfred"/>
        <s v="Youseff, Mr. Gerious"/>
        <s v="Cohen, Mr. Gurshon &quot;Gus&quot;"/>
        <s v="Strom, Miss. Telma Matilda"/>
        <s v="Backstrom, Mr. Karl Alfred"/>
        <s v="Albimona, Mr. Nassef Cassem"/>
        <s v="Carr, Miss. Helen &quot;Ellen&quot;"/>
        <s v="Blank, Mr. Henry"/>
        <s v="Ali, Mr. Ahmed"/>
        <s v="Cameron, Miss. Clear Annie"/>
        <s v="Perkin, Mr. John Henry"/>
        <s v="Givard, Mr. Hans Kristensen"/>
        <s v="Kiernan, Mr. Philip"/>
        <s v="Newell, Miss. Madeleine"/>
        <s v="Honkanen, Miss. Eliina"/>
        <s v="Jacobsohn, Mr. Sidney Samuel"/>
        <s v="Bazzani, Miss. Albina"/>
        <s v="Harris, Mr. Walter"/>
        <s v="Sunderland, Mr. Victor Francis"/>
        <s v="Bracken, Mr. James H"/>
        <s v="Green, Mr. George Henry"/>
        <s v="Nenkoff, Mr. Christo"/>
        <s v="Hoyt, Mr. Frederick Maxfield"/>
        <s v="Berglund, Mr. Karl Ivar Sven"/>
        <s v="Mellors, Mr. William John"/>
        <s v="Lovell, Mr. John Hall (&quot;Henry&quot;)"/>
        <s v="Fahlstrom, Mr. Arne Jonas"/>
        <s v="Lefebre, Miss. Mathilde"/>
        <s v="Harris, Mrs. Henry Birkhardt (Irene Wallach)"/>
        <s v="Larsson, Mr. Bengt Edvin"/>
        <s v="Sjostedt, Mr. Ernst Adolf"/>
        <s v="Asplund, Miss. Lillian Gertrud"/>
        <s v="Leyson, Mr. Robert William Norman"/>
        <s v="Harknett, Miss. Alice Phoebe"/>
        <s v="Hold, Mr. Stephen"/>
        <s v="Collyer, Miss. Marjorie &quot;Lottie&quot;"/>
        <s v="Pengelly, Mr. Frederick William"/>
        <s v="Hunt, Mr. George Henry"/>
        <s v="Zabour, Miss. Thamine"/>
        <s v="Murphy, Miss. Katherine &quot;Kate&quot;"/>
        <s v="Coleridge, Mr. Reginald Charles"/>
        <s v="Maenpaa, Mr. Matti Alexanteri"/>
        <s v="Attalah, Mr. Sleiman"/>
        <s v="Minahan, Dr. William Edward"/>
        <s v="Lindahl, Miss. Agda Thorilda Viktoria"/>
        <s v="Hamalainen, Mrs. William (Anna)"/>
        <s v="Beckwith, Mr. Richard Leonard"/>
        <s v="Carter, Rev. Ernest Courtenay"/>
        <s v="Reed, Mr. James George"/>
        <s v="Strom, Mrs. Wilhelm (Elna Matilda Persson)"/>
        <s v="Stead, Mr. William Thomas"/>
        <s v="Lobb, Mr. William Arthur"/>
        <s v="Rosblom, Mrs. Viktor (Helena Wilhelmina)"/>
        <s v="Touma, Mrs. Darwis (Hanne Youssef Razi)"/>
        <s v="Thorne, Mrs. Gertrude Maybelle"/>
        <s v="Cherry, Miss. Gladys"/>
        <s v="Ward, Miss. Anna"/>
        <s v="Parrish, Mrs. (Lutie Davis)"/>
        <s v="Smith, Mr. Thomas"/>
        <s v="Asplund, Master. Edvin Rojj Felix"/>
        <s v="Taussig, Mr. Emil"/>
        <s v="Harrison, Mr. William"/>
        <s v="Henry, Miss. Delia"/>
        <s v="Reeves, Mr. David"/>
        <s v="Panula, Mr. Ernesti Arvid"/>
        <s v="Persson, Mr. Ernst Ulrik"/>
        <s v="Graham, Mrs. William Thompson (Edith Junkins)"/>
        <s v="Bissette, Miss. Amelia"/>
        <s v="Cairns, Mr. Alexander"/>
        <s v="Tornquist, Mr. William Henry"/>
        <s v="Mellinger, Mrs. (Elizabeth Anne Maidment)"/>
        <s v="Natsch, Mr. Charles H"/>
        <s v="Healy, Miss. Hanora &quot;Nora&quot;"/>
        <s v="Andrews, Miss. Kornelia Theodosia"/>
        <s v="Lindblom, Miss. Augusta Charlotta"/>
        <s v="Parkes, Mr. Francis &quot;Frank&quot;"/>
        <s v="Rice, Master. Eric"/>
        <s v="Abbott, Mrs. Stanton (Rosa Hunt)"/>
        <s v="Duane, Mr. Frank"/>
        <s v="Olsson, Mr. Nils Johan Goransson"/>
        <s v="de Pelsmaeker, Mr. Alfons"/>
        <s v="Dorking, Mr. Edward Arthur"/>
        <s v="Smith, Mr. Richard William"/>
        <s v="Stankovic, Mr. Ivan"/>
        <s v="de Mulder, Mr. Theodore"/>
        <s v="Naidenoff, Mr. Penko"/>
        <s v="Hosono, Mr. Masabumi"/>
        <s v="Connolly, Miss. Kate"/>
        <s v="Barber, Miss. Ellen &quot;Nellie&quot;"/>
        <s v="Bishop, Mrs. Dickinson H (Helen Walton)"/>
        <s v="Levy, Mr. Rene Jacques"/>
        <s v="Haas, Miss. Aloisia"/>
        <s v="Mineff, Mr. Ivan"/>
        <s v="Lewy, Mr. Ervin G"/>
        <s v="Hanna, Mr. Mansour"/>
        <s v="Allison, Miss. Helen Loraine"/>
        <s v="Saalfeld, Mr. Adolphe"/>
        <s v="Baxter, Mrs. James (Helene DeLaudeniere Chaput)"/>
        <s v="Kelly, Miss. Anna Katherine &quot;Annie Kate&quot;"/>
        <s v="McCoy, Mr. Bernard"/>
        <s v="Johnson, Mr. William Cahoone Jr"/>
        <s v="Keane, Miss. Nora A"/>
        <s v="Williams, Mr. Howard Hugh &quot;Harry&quot;"/>
        <s v="Allison, Master. Hudson Trevor"/>
        <s v="Fleming, Miss. Margaret"/>
        <s v="Penasco y Castellana, Mrs. Victor de Satode (Maria Josefa Perez de Soto y Vallejo)"/>
        <s v="Abelson, Mr. Samuel"/>
        <s v="Francatelli, Miss. Laura Mabel"/>
        <s v="Hays, Miss. Margaret Bechstein"/>
        <s v="Ryerson, Miss. Emily Borie"/>
        <s v="Lahtinen, Mrs. William (Anna Sylfven)"/>
        <s v="Hendekovic, Mr. Ignjac"/>
        <s v="Hart, Mr. Benjamin"/>
        <s v="Nilsson, Miss. Helmina Josefina"/>
        <s v="Kantor, Mrs. Sinai (Miriam Sternin)"/>
        <s v="Moraweck, Dr. Ernest"/>
        <s v="Wick, Miss. Mary Natalie"/>
        <s v="Spedden, Mrs. Frederic Oakley (Margaretta Corning Stone)"/>
        <s v="Dennis, Mr. Samuel"/>
        <s v="Danoff, Mr. Yoto"/>
        <s v="Slayter, Miss. Hilda Mary"/>
        <s v="Caldwell, Mrs. Albert Francis (Sylvia Mae Harbaugh)"/>
        <s v="Sage, Mr. George John Jr"/>
        <s v="Young, Miss. Marie Grice"/>
        <s v="Nysveen, Mr. Johan Hansen"/>
        <s v="Ball, Mrs. (Ada E Hall)"/>
        <s v="Goldsmith, Mrs. Frank John (Emily Alice Brown)"/>
        <s v="Hippach, Miss. Jean Gertrude"/>
        <s v="McCoy, Miss. Agnes"/>
        <s v="Partner, Mr. Austen"/>
        <s v="Graham, Mr. George Edward"/>
        <s v="Vander Planke, Mr. Leo Edmondus"/>
        <s v="Frauenthal, Mrs. Henry William (Clara Heinsheimer)"/>
        <s v="Denkoff, Mr. Mitto"/>
        <s v="Pears, Mr. Thomas Clinton"/>
        <s v="Burns, Miss. Elizabeth Margaret"/>
        <s v="Dahl, Mr. Karl Edwart"/>
        <s v="Blackwell, Mr. Stephen Weart"/>
        <s v="Navratil, Master. Edmond Roger"/>
        <s v="Fortune, Miss. Alice Elizabeth"/>
        <s v="Collander, Mr. Erik Gustaf"/>
        <s v="Sedgwick, Mr. Charles Frederick Waddington"/>
        <s v="Fox, Mr. Stanley Hubert"/>
        <s v="Brown, Miss. Amelia &quot;Mildred&quot;"/>
        <s v="Smith, Miss. Marion Elsie"/>
        <s v="Davison, Mrs. Thomas Henry (Mary E Finck)"/>
        <s v="Coutts, Master. William Loch &quot;William&quot;"/>
        <s v="Dimic, Mr. Jovan"/>
        <s v="Odahl, Mr. Nils Martin"/>
        <s v="Williams-Lambert, Mr. Fletcher Fellows"/>
        <s v="Elias, Mr. Tannous"/>
        <s v="Arnold-Franchi, Mr. Josef"/>
        <s v="Yousif, Mr. Wazli"/>
        <s v="Vanden Steen, Mr. Leo Peter"/>
        <s v="Bowerman, Miss. Elsie Edith"/>
        <s v="Funk, Miss. Annie Clemmer"/>
        <s v="McGovern, Miss. Mary"/>
        <s v="Mockler, Miss. Helen Mary &quot;Ellie&quot;"/>
        <s v="Skoog, Mr. Wilhelm"/>
        <s v="del Carlo, Mr. Sebastiano"/>
        <s v="Barbara, Mrs. (Catherine David)"/>
        <s v="Asim, Mr. Adola"/>
        <s v="O'Brien, Mr. Thomas"/>
        <s v="Adahl, Mr. Mauritz Nils Martin"/>
        <s v="Warren, Mrs. Frank Manley (Anna Sophia Atkinson)"/>
        <s v="Moussa, Mrs. (Mantoura Boulos)"/>
        <s v="Jermyn, Miss. Annie"/>
        <s v="Aubart, Mme. Leontine Pauline"/>
        <s v="Harder, Mr. George Achilles"/>
        <s v="Wiklund, Mr. Jakob Alfred"/>
        <s v="Beavan, Mr. William Thomas"/>
        <s v="Ringhini, Mr. Sante"/>
        <s v="Palsson, Miss. Stina Viola"/>
        <s v="Meyer, Mrs. Edgar Joseph (Leila Saks)"/>
        <s v="Landergren, Miss. Aurora Adelia"/>
        <s v="Widener, Mr. Harry Elkins"/>
        <s v="Betros, Mr. Tannous"/>
        <s v="Gustafsson, Mr. Karl Gideon"/>
        <s v="Bidois, Miss. Rosalie"/>
        <s v="Nakid, Miss. Maria (&quot;Mary&quot;)"/>
        <s v="Tikkanen, Mr. Juho"/>
        <s v="Holverson, Mrs. Alexander Oskar (Mary Aline Towner)"/>
        <s v="Plotcharsky, Mr. Vasil"/>
        <s v="Davies, Mr. Charles Henry"/>
        <s v="Goodwin, Master. Sidney Leonard"/>
        <s v="Buss, Miss. Kate"/>
        <s v="Sadlier, Mr. Matthew"/>
        <s v="Lehmann, Miss. Bertha"/>
        <s v="Carter, Mr. William Ernest"/>
        <s v="Jansson, Mr. Carl Olof"/>
        <s v="Gustafsson, Mr. Johan Birger"/>
        <s v="Newell, Miss. Marjorie"/>
        <s v="Sandstrom, Mrs. Hjalmar (Agnes Charlotta Bengtsson)"/>
        <s v="Johansson, Mr. Erik"/>
        <s v="Olsson, Miss. Elina"/>
        <s v="McKane, Mr. Peter David"/>
        <s v="Pain, Dr. Alfred"/>
        <s v="Trout, Mrs. William H (Jessie L)"/>
        <s v="Niskanen, Mr. Juha"/>
        <s v="Adams, Mr. John"/>
        <s v="Jussila, Miss. Mari Aina"/>
        <s v="Hakkarainen, Mr. Pekka Pietari"/>
        <s v="Oreskovic, Miss. Marija"/>
        <s v="Gale, Mr. Shadrach"/>
        <s v="Widegren, Mr. Carl/Charles Peter"/>
        <s v="Richards, Master. William Rowe"/>
        <s v="Birkeland, Mr. Hans Martin Monsen"/>
        <s v="Lefebre, Miss. Ida"/>
        <s v="Sdycoff, Mr. Todor"/>
        <s v="Hart, Mr. Henry"/>
        <s v="Minahan, Miss. Daisy E"/>
        <s v="Cunningham, Mr. Alfred Fleming"/>
        <s v="Sundman, Mr. Johan Julian"/>
        <s v="Meek, Mrs. Thomas (Annie Louise Rowley)"/>
        <s v="Drew, Mrs. James Vivian (Lulu Thorne Christian)"/>
        <s v="Silven, Miss. Lyyli Karoliina"/>
        <s v="Matthews, Mr. William John"/>
        <s v="Van Impe, Miss. Catharina"/>
        <s v="Gheorgheff, Mr. Stanio"/>
        <s v="Charters, Mr. David"/>
        <s v="Zimmerman, Mr. Leo"/>
        <s v="Danbom, Mrs. Ernst Gilbert (Anna Sigrid Maria Brogren)"/>
        <s v="Rosblom, Mr. Viktor Richard"/>
        <s v="Wiseman, Mr. Phillippe"/>
        <s v="Clarke, Mrs. Charles V (Ada Maria Winfield)"/>
        <s v="Phillips, Miss. Kate Florence (&quot;Mrs Kate Louise Phillips Marshall&quot;)"/>
        <s v="Flynn, Mr. James"/>
        <s v="Pickard, Mr. Berk (Berk Trembisky)"/>
        <s v="Bjornstrom-Steffansson, Mr. Mauritz Hakan"/>
        <s v="Thorneycroft, Mrs. Percival (Florence Kate White)"/>
        <s v="Louch, Mrs. Charles Alexander (Alice Adelaide Slow)"/>
        <s v="Kallio, Mr. Nikolai Erland"/>
        <s v="Silvey, Mr. William Baird"/>
        <s v="Carter, Miss. Lucile Polk"/>
        <s v="Ford, Miss. Doolina Margaret &quot;Daisy&quot;"/>
        <s v="Richards, Mrs. Sidney (Emily Hocking)"/>
        <s v="Fortune, Mr. Mark"/>
        <s v="Kvillner, Mr. Johan Henrik Johannesson"/>
        <s v="Hart, Mrs. Benjamin (Esther Ada Bloomfield)"/>
        <s v="Hampe, Mr. Leon"/>
        <s v="Petterson, Mr. Johan Emil"/>
        <s v="Reynaldo, Ms. Encarnacion"/>
        <s v="Johannesen-Bratthammer, Mr. Bernt"/>
        <s v="Dodge, Master. Washington"/>
        <s v="Mellinger, Miss. Madeleine Violet"/>
        <s v="Seward, Mr. Frederic Kimber"/>
        <s v="Baclini, Miss. Marie Catherine"/>
        <s v="Peuchen, Major. Arthur Godfrey"/>
        <s v="West, Mr. Edwy Arthur"/>
        <s v="Hagland, Mr. Ingvald Olai Olsen"/>
        <s v="Foreman, Mr. Benjamin Laventall"/>
        <s v="Goldenberg, Mr. Samuel L"/>
        <s v="Peduzzi, Mr. Joseph"/>
        <s v="Jalsevac, Mr. Ivan"/>
        <s v="Millet, Mr. Francis Davis"/>
        <s v="Kenyon, Mrs. Frederick R (Marion)"/>
        <s v="Toomey, Miss. Ellen"/>
        <s v="O'Connor, Mr. Maurice"/>
        <s v="Anderson, Mr. Harry"/>
        <s v="Morley, Mr. William"/>
        <s v="Gee, Mr. Arthur H"/>
        <s v="Milling, Mr. Jacob Christian"/>
        <s v="Maisner, Mr. Simon"/>
        <s v="Goncalves, Mr. Manuel Estanslas"/>
        <s v="Campbell, Mr. William"/>
        <s v="Smart, Mr. John Montgomery"/>
        <s v="Scanlan, Mr. James"/>
        <s v="Baclini, Miss. Helene Barbara"/>
        <s v="Keefe, Mr. Arthur"/>
        <s v="Cacic, Mr. Luka"/>
        <s v="West, Mrs. Edwy Arthur (Ada Mary Worth)"/>
        <s v="Jerwan, Mrs. Amin S (Marie Marthe Thuillard)"/>
        <s v="Strandberg, Miss. Ida Sofia"/>
        <s v="Clifford, Mr. George Quincy"/>
        <s v="Renouf, Mr. Peter Henry"/>
        <s v="Braund, Mr. Lewis Richard"/>
        <s v="Karlsson, Mr. Nils August"/>
        <s v="Hirvonen, Miss. Hildur E"/>
        <s v="Goodwin, Master. Harold Victor"/>
        <s v="Frost, Mr. Anthony Wood &quot;Archie&quot;"/>
        <s v="Rouse, Mr. Richard Henry"/>
        <s v="Turkula, Mrs. (Hedwig)"/>
        <s v="Bishop, Mr. Dickinson H"/>
        <s v="Lefebre, Miss. Jeannie"/>
        <s v="Hoyt, Mrs. Frederick Maxfield (Jane Anne Forby)"/>
        <s v="Kent, Mr. Edward Austin"/>
        <s v="Somerton, Mr. Francis William"/>
        <s v="Coutts, Master. Eden Leslie &quot;Neville&quot;"/>
        <s v="Hagland, Mr. Konrad Mathias Reiersen"/>
        <s v="Windelov, Mr. Einar"/>
        <s v="Molson, Mr. Harry Markland"/>
        <s v="Artagaveytia, Mr. Ramon"/>
        <s v="Stanley, Mr. Edward Roland"/>
        <s v="Yousseff, Mr. Gerious"/>
        <s v="Eustis, Miss. Elizabeth Mussey"/>
        <s v="Shellard, Mr. Frederick William"/>
        <s v="Allison, Mrs. Hudson J C (Bessie Waldo Daniels)"/>
        <s v="Svensson, Mr. Olof"/>
        <s v="Calic, Mr. Petar"/>
        <s v="Canavan, Miss. Mary"/>
        <s v="O'Sullivan, Miss. Bridget Mary"/>
        <s v="Laitinen, Miss. Kristina Sofia"/>
        <s v="Maioni, Miss. Roberta"/>
        <s v="Penasco y Castellana, Mr. Victor de Satode"/>
        <s v="Quick, Mrs. Frederick Charles (Jane Richards)"/>
        <s v="Bradley, Mr. George (&quot;George Arthur Brayton&quot;)"/>
        <s v="Olsen, Mr. Henry Margido"/>
        <s v="Lang, Mr. Fang"/>
        <s v="Daly, Mr. Eugene Patrick"/>
        <s v="Webber, Mr. James"/>
        <s v="McGough, Mr. James Robert"/>
        <s v="Rothschild, Mrs. Martin (Elizabeth L. Barrett)"/>
        <s v="Coleff, Mr. Satio"/>
        <s v="Walker, Mr. William Anderson"/>
        <s v="Lemore, Mrs. (Amelia Milley)"/>
        <s v="Ryan, Mr. Patrick"/>
        <s v="Angle, Mrs. William A (Florence &quot;Mary&quot; Agnes Hughes)"/>
        <s v="Pavlovic, Mr. Stefo"/>
        <s v="Perreault, Miss. Anne"/>
        <s v="Vovk, Mr. Janko"/>
        <s v="Lahoud, Mr. Sarkis"/>
        <s v="Hippach, Mrs. Louis Albert (Ida Sophia Fischer)"/>
        <s v="Kassem, Mr. Fared"/>
        <s v="Farrell, Mr. James"/>
        <s v="Ridsdale, Miss. Lucy"/>
        <s v="Farthing, Mr. John"/>
        <s v="Salonen, Mr. Johan Werner"/>
        <s v="Hocking, Mr. Richard George"/>
        <s v="Quick, Miss. Phyllis May"/>
        <s v="Toufik, Mr. Nakli"/>
        <s v="Elias, Mr. Joseph Jr"/>
        <s v="Peter, Mrs. Catherine (Catherine Rizk)"/>
        <s v="Cacic, Miss. Marija"/>
        <s v="Hart, Miss. Eva Miriam"/>
        <s v="Butt, Major. Archibald Willingham"/>
        <s v="LeRoy, Miss. Bertha"/>
        <s v="Risien, Mr. Samuel Beard"/>
        <s v="Frolicher, Miss. Hedwig Margaritha"/>
        <s v="Crosby, Miss. Harriet R"/>
        <s v="Andersson, Miss. Ingeborg Constanzia"/>
        <s v="Andersson, Miss. Sigrid Elisabeth"/>
        <s v="Beane, Mr. Edward"/>
        <s v="Douglas, Mr. Walter Donald"/>
        <s v="Nicholson, Mr. Arthur Ernest"/>
        <s v="Beane, Mrs. Edward (Ethel Clarke)"/>
        <s v="Padro y Manent, Mr. Julian"/>
        <s v="Goldsmith, Mr. Frank John"/>
        <s v="Davies, Master. John Morgan Jr"/>
        <s v="Thayer, Mr. John Borland Jr"/>
        <s v="Sharp, Mr. Percival James R"/>
        <s v="O'Brien, Mr. Timothy"/>
        <s v="Leeni, Mr. Fahim (&quot;Philip Zenni&quot;)"/>
        <s v="Ohman, Miss. Velin"/>
        <s v="Wright, Mr. George"/>
        <s v="Duff Gordon, Lady. (Lucille Christiana Sutherland) (&quot;Mrs Morgan&quot;)"/>
        <s v="Robbins, Mr. Victor"/>
        <s v="Taussig, Mrs. Emil (Tillie Mandelbaum)"/>
        <s v="de Messemaeker, Mrs. Guillaume Joseph (Emma)"/>
        <s v="Morrow, Mr. Thomas Rowan"/>
        <s v="Sivic, Mr. Husein"/>
        <s v="Norman, Mr. Robert Douglas"/>
        <s v="Simmons, Mr. John"/>
        <s v="Meanwell, Miss. (Marion Ogden)"/>
        <s v="Davies, Mr. Alfred J"/>
        <s v="Stoytcheff, Mr. Ilia"/>
        <s v="Palsson, Mrs. Nils (Alma Cornelia Berglund)"/>
        <s v="Doharr, Mr. Tannous"/>
        <s v="Jonsson, Mr. Carl"/>
        <s v="Harris, Mr. George"/>
        <s v="Appleton, Mrs. Edward Dale (Charlotte Lamson)"/>
        <s v="Flynn, Mr. John Irwin (&quot;Irving&quot;)"/>
        <s v="Kelly, Miss. Mary"/>
        <s v="Rush, Mr. Alfred George John"/>
        <s v="Patchett, Mr. George"/>
        <s v="Garside, Miss. Ethel"/>
        <s v="Silvey, Mrs. William Baird (Alice Munger)"/>
        <s v="Caram, Mrs. Joseph (Maria Elias)"/>
        <s v="Jussila, Mr. Eiriik"/>
        <s v="Christy, Miss. Julie Rachel"/>
        <s v="Thayer, Mrs. John Borland (Marian Longstreth Morris)"/>
        <s v="Downton, Mr. William James"/>
        <s v="Ross, Mr. John Hugo"/>
        <s v="Paulner, Mr. Uscher"/>
        <s v="Taussig, Miss. Ruth"/>
        <s v="Jarvis, Mr. John Denzil"/>
        <s v="Frolicher-Stehli, Mr. Maxmillian"/>
        <s v="Gilinski, Mr. Eliezer"/>
        <s v="Murdlin, Mr. Joseph"/>
        <s v="Rintamaki, Mr. Matti"/>
        <s v="Stephenson, Mrs. Walter Bertram (Martha Eustis)"/>
        <s v="Elsbury, Mr. William James"/>
        <s v="Bourke, Miss. Mary"/>
        <s v="Chapman, Mr. John Henry"/>
        <s v="Van Impe, Mr. Jean Baptiste"/>
        <s v="Leitch, Miss. Jessie Wills"/>
        <s v="Johnson, Mr. Alfred"/>
        <s v="Boulos, Mr. Hanna"/>
        <s v="Duff Gordon, Sir. Cosmo Edmund (&quot;Mr Morgan&quot;)"/>
        <s v="Jacobsohn, Mrs. Sidney Samuel (Amy Frances Christy)"/>
        <s v="Slabenoff, Mr. Petco"/>
        <s v="Harrington, Mr. Charles H"/>
        <s v="Torber, Mr. Ernst William"/>
        <s v="Homer, Mr. Harry (&quot;Mr E Haven&quot;)"/>
        <s v="Lindell, Mr. Edvard Bengtsson"/>
        <s v="Karaic, Mr. Milan"/>
        <s v="Daniel, Mr. Robert Williams"/>
        <s v="Laroche, Mrs. Joseph (Juliette Marie Louise Lafargue)"/>
        <s v="Shutes, Miss. Elizabeth W"/>
        <s v="Andersson, Mrs. Anders Johan (Alfrida Konstantia Brogren)"/>
        <s v="Jardin, Mr. Jose Neto"/>
        <s v="Murphy, Miss. Margaret Jane"/>
        <s v="Horgan, Mr. John"/>
        <s v="Brocklebank, Mr. William Alfred"/>
        <s v="Herman, Miss. Alice"/>
        <s v="Danbom, Mr. Ernst Gilbert"/>
        <s v="Lobb, Mrs. William Arthur (Cordelia K Stanlick)"/>
        <s v="Becker, Miss. Marion Louise"/>
        <s v="Gavey, Mr. Lawrence"/>
        <s v="Yasbeck, Mr. Antoni"/>
        <s v="Kimball, Mr. Edwin Nelson Jr"/>
        <s v="Nakid, Mr. Sahid"/>
        <s v="Hansen, Mr. Henry Damsgaard"/>
        <s v="Bowen, Mr. David John &quot;Dai&quot;"/>
        <s v="Sutton, Mr. Frederick"/>
        <s v="Kirkland, Rev. Charles Leonard"/>
        <s v="Longley, Miss. Gretchen Fiske"/>
        <s v="Bostandyeff, Mr. Guentcho"/>
        <s v="O'Connell, Mr. Patrick D"/>
        <s v="Barkworth, Mr. Algernon Henry Wilson"/>
        <s v="Lundahl, Mr. Johan Svensson"/>
        <s v="Stahelin-Maeglin, Dr. Max"/>
        <s v="Parr, Mr. William Henry Marsh"/>
        <s v="Skoog, Miss. Mabel"/>
        <s v="Davis, Miss. Mary"/>
        <s v="Leinonen, Mr. Antti Gustaf"/>
        <s v="Collyer, Mr. Harvey"/>
        <s v="Panula, Mrs. Juha (Maria Emilia Ojala)"/>
        <s v="Thorneycroft, Mr. Percival"/>
        <s v="Jensen, Mr. Hans Peder"/>
        <s v="Sagesser, Mlle. Emma"/>
        <s v="Skoog, Miss. Margit Elizabeth"/>
        <s v="Foo, Mr. Choong"/>
        <s v="Baclini, Miss. Eugenie"/>
        <s v="Harper, Mr. Henry Sleeper"/>
        <s v="Cor, Mr. Liudevit"/>
        <s v="Simonius-Blumer, Col. Oberst Alfons"/>
        <s v="Willey, Mr. Edward"/>
        <s v="Stanley, Miss. Amy Zillah Elsie"/>
        <s v="Mitkoff, Mr. Mito"/>
        <s v="Doling, Miss. Elsie"/>
        <s v="Kalvik, Mr. Johannes Halvorsen"/>
        <s v="O'Leary, Miss. Hanora &quot;Norah&quot;"/>
        <s v="Hegarty, Miss. Hanora &quot;Nora&quot;"/>
        <s v="Hickman, Mr. Leonard Mark"/>
        <s v="Radeff, Mr. Alexander"/>
        <s v="Bourke, Mrs. John (Catherine)"/>
        <s v="Eitemiller, Mr. George Floyd"/>
        <s v="Newell, Mr. Arthur Webster"/>
        <s v="Frauenthal, Dr. Henry William"/>
        <s v="Badt, Mr. Mohamed"/>
        <s v="Colley, Mr. Edward Pomeroy"/>
        <s v="Coleff, Mr. Peju"/>
        <s v="Lindqvist, Mr. Eino William"/>
        <s v="Hickman, Mr. Lewis"/>
        <s v="Butler, Mr. Reginald Fenton"/>
        <s v="Rommetvedt, Mr. Knud Paust"/>
        <s v="Cook, Mr. Jacob"/>
        <s v="Taylor, Mrs. Elmer Zebley (Juliet Cummins Wright)"/>
        <s v="Brown, Mrs. Thomas William Solomon (Elizabeth Catherine Ford)"/>
        <s v="Davidson, Mr. Thornton"/>
        <s v="Mitchell, Mr. Henry Michael"/>
        <s v="Wilhelms, Mr. Charles"/>
        <s v="Watson, Mr. Ennis Hastings"/>
        <s v="Edvardsson, Mr. Gustaf Hjalmar"/>
        <s v="Sawyer, Mr. Frederick Charles"/>
        <s v="Turja, Miss. Anna Sofia"/>
        <s v="Goodwin, Mrs. Frederick (Augusta Tyler)"/>
        <s v="Cardeza, Mr. Thomas Drake Martinez"/>
        <s v="Peters, Miss. Katie"/>
        <s v="Hassab, Mr. Hammad"/>
        <s v="Olsvigen, Mr. Thor Anderson"/>
        <s v="Goodwin, Mr. Charles Edward"/>
        <s v="Brown, Mr. Thomas William Solomon"/>
        <s v="Laroche, Mr. Joseph Philippe Lemercier"/>
        <s v="Panula, Mr. Jaako Arnold"/>
        <s v="Dakic, Mr. Branko"/>
        <s v="Fischer, Mr. Eberhard Thelander"/>
        <s v="Madill, Miss. Georgette Alexandra"/>
        <s v="Dick, Mr. Albert Adrian"/>
        <s v="Karun, Miss. Manca"/>
        <s v="Lam, Mr. Ali"/>
        <s v="Saad, Mr. Khalil"/>
        <s v="Weir, Col. John"/>
        <s v="Chapman, Mr. Charles Henry"/>
        <s v="Kelly, Mr. James"/>
        <s v="Mullens, Miss. Katherine &quot;Katie&quot;"/>
        <s v="Thayer, Mr. John Borland"/>
        <s v="Humblen, Mr. Adolf Mathias Nicolai Olsen"/>
        <s v="Astor, Mrs. John Jacob (Madeleine Talmadge Force)"/>
        <s v="Silverthorne, Mr. Spencer Victor"/>
        <s v="Barbara, Miss. Saiide"/>
        <s v="Gallagher, Mr. Martin"/>
        <s v="Hansen, Mr. Henrik Juul"/>
        <s v="Morley, Mr. Henry Samuel (&quot;Mr Henry Marshall&quot;)"/>
        <s v="Kelly, Mrs. Florence &quot;Fannie&quot;"/>
        <s v="Calderhead, Mr. Edward Pennington"/>
        <s v="Cleaver, Miss. Alice"/>
        <s v="Moubarek, Master. Halim Gonios (&quot;William George&quot;)"/>
        <s v="Mayne, Mlle. Berthe Antonine (&quot;Mrs de Villiers&quot;)"/>
        <s v="Klaber, Mr. Herman"/>
        <s v="Taylor, Mr. Elmer Zebley"/>
        <s v="Larsson, Mr. August Viktor"/>
        <s v="Greenberg, Mr. Samuel"/>
        <s v="Soholt, Mr. Peter Andreas Lauritz Andersen"/>
        <s v="Endres, Miss. Caroline Louise"/>
        <s v="Troutt, Miss. Edwina Celia &quot;Winnie&quot;"/>
        <s v="McEvoy, Mr. Michael"/>
        <s v="Johnson, Mr. Malkolm Joackim"/>
        <s v="Harper, Miss. Annie Jessie &quot;Nina&quot;"/>
        <s v="Jensen, Mr. Svend Lauritz"/>
        <s v="Gillespie, Mr. William Henry"/>
        <s v="Hodges, Mr. Henry Price"/>
        <s v="Chambers, Mr. Norman Campbell"/>
        <s v="Oreskovic, Mr. Luka"/>
        <s v="Renouf, Mrs. Peter Henry (Lillian Jefferys)"/>
        <s v="Mannion, Miss. Margareth"/>
        <s v="Bryhl, Mr. Kurt Arnold Gottfrid"/>
        <s v="Ilmakangas, Miss. Pieta Sofia"/>
        <s v="Allen, Miss. Elisabeth Walton"/>
        <s v="Hassan, Mr. Houssein G N"/>
        <s v="Knight, Mr. Robert J"/>
        <s v="Berriman, Mr. William John"/>
        <s v="Troupiansky, Mr. Moses Aaron"/>
        <s v="Williams, Mr. Leslie"/>
        <s v="Ford, Mrs. Edward (Margaret Ann Watson)"/>
        <s v="Lesurer, Mr. Gustave J"/>
        <s v="Ivanoff, Mr. Kanio"/>
        <s v="Nankoff, Mr. Minko"/>
        <s v="Hawksford, Mr. Walter James"/>
        <s v="Cavendish, Mr. Tyrell William"/>
        <s v="Ryerson, Miss. Susan Parker &quot;Suzette&quot;"/>
        <s v="McNamee, Mr. Neal"/>
        <s v="Stranden, Mr. Juho"/>
        <s v="Crosby, Capt. Edward Gifford"/>
        <s v="Abbott, Mr. Rossmore Edward"/>
        <s v="Sinkkonen, Miss. Anna"/>
        <s v="Marvin, Mr. Daniel Warner"/>
        <s v="Connaghton, Mr. Michael"/>
        <s v="Wells, Miss. Joan"/>
        <s v="Moor, Master. Meier"/>
        <s v="Vande Velde, Mr. Johannes Joseph"/>
        <s v="Jonkoff, Mr. Lalio"/>
        <s v="Herman, Mrs. Samuel (Jane Laver)"/>
        <s v="Hamalainen, Master. Viljo"/>
        <s v="Carlsson, Mr. August Sigfrid"/>
        <s v="Bailey, Mr. Percy Andrew"/>
        <s v="Theobald, Mr. Thomas Leonard"/>
        <s v="Rothes, the Countess. of (Lucy Noel Martha Dyer-Edwards)"/>
        <s v="Garfirth, Mr. John"/>
        <s v="Nirva, Mr. Iisakki Antino Aijo"/>
        <s v="Barah, Mr. Hanna Assi"/>
        <s v="Carter, Mrs. William Ernest (Lucile Polk)"/>
        <s v="Eklund, Mr. Hans Linus"/>
        <s v="Hogeboom, Mrs. John C (Anna Andrews)"/>
        <s v="Brewe, Dr. Arthur Jackson"/>
        <s v="Mangan, Miss. Mary"/>
        <s v="Moran, Mr. Daniel J"/>
        <s v="Gronnestad, Mr. Daniel Danielsen"/>
        <s v="Lievens, Mr. Rene Aime"/>
        <s v="Jensen, Mr. Niels Peder"/>
        <s v="Mack, Mrs. (Mary)"/>
        <s v="Elias, Mr. Dibo"/>
        <s v="Hocking, Mrs. Elizabeth (Eliza Needs)"/>
        <s v="Myhrman, Mr. Pehr Fabian Oliver Malkolm"/>
        <s v="Tobin, Mr. Roger"/>
        <s v="Emanuel, Miss. Virginia Ethel"/>
        <s v="Kilgannon, Mr. Thomas J"/>
        <s v="Robert, Mrs. Edward Scott (Elisabeth Walton McMillan)"/>
        <s v="Ayoub, Miss. Banoura"/>
        <s v="Dick, Mrs. Albert Adrian (Vera Gillespie)"/>
        <s v="Long, Mr. Milton Clyde"/>
        <s v="Johnston, Mr. Andrew G"/>
        <s v="Ali, Mr. William"/>
        <s v="Harmer, Mr. Abraham (David Lishin)"/>
        <s v="Sjoblom, Miss. Anna Sofia"/>
        <s v="Rice, Master. George Hugh"/>
        <s v="Dean, Master. Bertram Vere"/>
        <s v="Guggenheim, Mr. Benjamin"/>
        <s v="Keane, Mr. Andrew &quot;Andy&quot;"/>
        <s v="Gaskell, Mr. Alfred"/>
        <s v="Sage, Miss. Stella Anna"/>
        <s v="Hoyt, Mr. William Fisher"/>
        <s v="Dantcheff, Mr. Ristiu"/>
        <s v="Otter, Mr. Richard"/>
        <s v="Leader, Dr. Alice (Farnham)"/>
        <s v="Osman, Mrs. Mara"/>
        <s v="Ibrahim Shawah, Mr. Yousseff"/>
        <s v="Van Impe, Mrs. Jean Baptiste (Rosalie Paula Govaert)"/>
        <s v="Ponesell, Mr. Martin"/>
        <s v="Collyer, Mrs. Harvey (Charlotte Annie Tate)"/>
        <s v="Carter, Master. William Thornton II"/>
        <s v="Thomas, Master. Assad Alexander"/>
        <s v="Hedman, Mr. Oskar Arvid"/>
        <s v="Johansson, Mr. Karl Johan"/>
        <s v="Andrews, Mr. Thomas Jr"/>
        <s v="Pettersson, Miss. Ellen Natalia"/>
        <s v="Meyer, Mr. August"/>
        <s v="Chambers, Mrs. Norman Campbell (Bertha Griggs)"/>
        <s v="Alexander, Mr. William"/>
        <s v="Lester, Mr. James"/>
        <s v="Slemen, Mr. Richard James"/>
        <s v="Andersson, Miss. Ebba Iris Alfrida"/>
        <s v="Tomlin, Mr. Ernest Portage"/>
        <s v="Fry, Mr. Richard"/>
        <s v="Heininen, Miss. Wendla Maria"/>
        <s v="Mallet, Mr. Albert"/>
        <s v="Holm, Mr. John Fredrik Alexander"/>
        <s v="Skoog, Master. Karl Thorsten"/>
        <s v="Hays, Mrs. Charles Melville (Clara Jennings Gregg)"/>
        <s v="Lulic, Mr. Nikola"/>
        <s v="Reuchlin, Jonkheer. John George"/>
        <s v="Moor, Mrs. (Beila)"/>
        <s v="Panula, Master. Urho Abraham"/>
        <s v="Flynn, Mr. John"/>
        <s v="Lam, Mr. Len"/>
        <s v="Mallet, Master. Andre"/>
        <s v="McCormack, Mr. Thomas Joseph"/>
        <s v="Stone, Mrs. George Nelson (Martha Evelyn)"/>
        <s v="Yasbeck, Mrs. Antoni (Selini Alexander)"/>
        <s v="Richards, Master. George Sibley"/>
        <s v="Saad, Mr. Amin"/>
        <s v="Augustsson, Mr. Albert"/>
        <s v="Allum, Mr. Owen George"/>
        <s v="Compton, Miss. Sara Rebecca"/>
        <s v="Pasic, Mr. Jakob"/>
        <s v="Sirota, Mr. Maurice"/>
        <s v="Chip, Mr. Chang"/>
        <s v="Marechal, Mr. Pierre"/>
        <s v="Alhomaki, Mr. Ilmari Rudolf"/>
        <s v="Mudd, Mr. Thomas Charles"/>
        <s v="Serepeca, Miss. Augusta"/>
        <s v="Lemberopolous, Mr. Peter L"/>
        <s v="Culumovic, Mr. Jeso"/>
        <s v="Abbing, Mr. Anthony"/>
        <s v="Sage, Mr. Douglas Bullen"/>
        <s v="Markoff, Mr. Marin"/>
        <s v="Harper, Rev. John"/>
        <s v="Goldenberg, Mrs. Samuel L (Edwiga Grabowska)"/>
        <s v="Andersson, Master. Sigvard Harald Elias"/>
        <s v="Svensson, Mr. Johan"/>
        <s v="Boulos, Miss. Nourelain"/>
        <s v="Lines, Miss. Mary Conover"/>
        <s v="Carter, Mrs. Ernest Courtenay (Lilian Hughes)"/>
        <s v="Aks, Mrs. Sam (Leah Rosen)"/>
        <s v="Wick, Mrs. George Dennick (Mary Hitchcock)"/>
        <s v="Daly, Mr. Peter Denis "/>
        <s v="Baclini, Mrs. Solomon (Latifa Qurban)"/>
        <s v="Razi, Mr. Raihed"/>
        <s v="Hansen, Mr. Claus Peter"/>
        <s v="Giles, Mr. Frederick Edward"/>
        <s v="Swift, Mrs. Frederick Joel (Margaret Welles Barron)"/>
        <s v="Sage, Miss. Dorothy Edith &quot;Dolly&quot;"/>
        <s v="Gill, Mr. John William"/>
        <s v="Bystrom, Mrs. (Karolina)"/>
        <s v="Duran y More, Miss. Asuncion"/>
        <s v="Roebling, Mr. Washington Augustus II"/>
        <s v="van Melkebeke, Mr. Philemon"/>
        <s v="Johnson, Master. Harold Theodor"/>
        <s v="Balkic, Mr. Cerin"/>
        <s v="Beckwith, Mrs. Richard Leonard (Sallie Monypeny)"/>
        <s v="Carlsson, Mr. Frans Olof"/>
        <s v="Vander Cruyssen, Mr. Victor"/>
        <s v="Abelson, Mrs. Samuel (Hannah Wizosky)"/>
        <s v="Najib, Miss. Adele Kiamie &quot;Jane&quot;"/>
        <s v="Gustafsson, Mr. Alfred Ossian"/>
        <s v="Petroff, Mr. Nedelio"/>
        <s v="Laleff, Mr. Kristo"/>
        <s v="Potter, Mrs. Thomas Jr (Lily Alexenia Wilson)"/>
        <s v="Shelley, Mrs. William (Imanita Parrish Hall)"/>
        <s v="Markun, Mr. Johann"/>
        <s v="Dahlberg, Miss. Gerda Ulrika"/>
        <s v="Banfield, Mr. Frederick James"/>
        <s v="Sutehall, Mr. Henry Jr"/>
        <s v="Rice, Mrs. William (Margaret Norton)"/>
        <s v="Montvila, Rev. Juozas"/>
        <s v="Graham, Miss. Margaret Edith"/>
        <s v="Johnston, Miss. Catherine Helen &quot;Carrie&quot;"/>
        <s v="Behr, Mr. Karl Howell"/>
        <s v="Dooley, Mr. Patrick"/>
      </sharedItems>
    </cacheField>
    <cacheField name="Sexo" numFmtId="49">
      <sharedItems count="2">
        <s v="male"/>
        <s v="female"/>
      </sharedItems>
    </cacheField>
    <cacheField name="ID_Pasajero" numFmtId="49">
      <sharedItems containsSemiMixedTypes="0" containsString="0" containsNumber="1" containsInteger="1" minValue="1" maxValue="891"/>
    </cacheField>
    <cacheField name="Edad" numFmtId="0">
      <sharedItems containsSemiMixedTypes="0" containsString="0" containsNumber="1" containsInteger="1" minValue="1" maxValue="80" count="79">
        <n v="64"/>
        <n v="33"/>
        <n v="32"/>
        <n v="28"/>
        <n v="26"/>
        <n v="42"/>
        <n v="58"/>
        <n v="57"/>
        <n v="18"/>
        <n v="22"/>
        <n v="40"/>
        <n v="59"/>
        <n v="1"/>
        <n v="45"/>
        <n v="17"/>
        <n v="80"/>
        <n v="46"/>
        <n v="75"/>
        <n v="52"/>
        <n v="4"/>
        <n v="20"/>
        <n v="38"/>
        <n v="29"/>
        <n v="14"/>
        <n v="12"/>
        <n v="27"/>
        <n v="36"/>
        <n v="78"/>
        <n v="5"/>
        <n v="15"/>
        <n v="24"/>
        <n v="8"/>
        <n v="7"/>
        <n v="25"/>
        <n v="51"/>
        <n v="69"/>
        <n v="74"/>
        <n v="9"/>
        <n v="35"/>
        <n v="30"/>
        <n v="11"/>
        <n v="13"/>
        <n v="41"/>
        <n v="19"/>
        <n v="65"/>
        <n v="60"/>
        <n v="63"/>
        <n v="37"/>
        <n v="21"/>
        <n v="47"/>
        <n v="23"/>
        <n v="16"/>
        <n v="43"/>
        <n v="48"/>
        <n v="56"/>
        <n v="53"/>
        <n v="34"/>
        <n v="79"/>
        <n v="50"/>
        <n v="39"/>
        <n v="49"/>
        <n v="55"/>
        <n v="54"/>
        <n v="31"/>
        <n v="44"/>
        <n v="76"/>
        <n v="2"/>
        <n v="3"/>
        <n v="61"/>
        <n v="73"/>
        <n v="71"/>
        <n v="62"/>
        <n v="6"/>
        <n v="10"/>
        <n v="67"/>
        <n v="70"/>
        <n v="68"/>
        <n v="66"/>
        <n v="72"/>
      </sharedItems>
      <fieldGroup base="3">
        <rangePr autoStart="0" startNum="0" endNum="80" groupInterval="10"/>
        <groupItems count="10">
          <s v="&lt;0"/>
          <s v="0-9"/>
          <s v="10-19"/>
          <s v="20-29"/>
          <s v="30-39"/>
          <s v="40-49"/>
          <s v="50-59"/>
          <s v="60-69"/>
          <s v="70-80"/>
          <s v="&gt;80"/>
        </groupItems>
      </fieldGroup>
    </cacheField>
    <cacheField name="Parch" numFmtId="49">
      <sharedItems containsSemiMixedTypes="0" containsString="0" containsNumber="1" containsInteger="1" minValue="0" maxValue="6"/>
    </cacheField>
    <cacheField name="Hermanos/Cónyuge" numFmtId="49">
      <sharedItems containsSemiMixedTypes="0" containsString="0" containsNumber="1" containsInteger="1" minValue="0" maxValue="8" count="7">
        <n v="1"/>
        <n v="0"/>
        <n v="3"/>
        <n v="4"/>
        <n v="2"/>
        <n v="5"/>
        <n v="8"/>
      </sharedItems>
    </cacheField>
    <cacheField name="Clase_Del_Pasaje" numFmtId="49">
      <sharedItems containsSemiMixedTypes="0" containsString="0" containsNumber="1" containsInteger="1" minValue="1" maxValue="3" count="3">
        <n v="3"/>
        <n v="1"/>
        <n v="2"/>
      </sharedItems>
    </cacheField>
    <cacheField name="Sobreviviente" numFmtId="49">
      <sharedItems containsSemiMixedTypes="0" containsString="0" containsNumber="1" containsInteger="1" minValue="0" maxValue="1" count="2">
        <n v="0"/>
        <n v="1"/>
      </sharedItems>
    </cacheField>
    <cacheField name="Ticket" numFmtId="49">
      <sharedItems containsMixedTypes="1" containsNumber="1" containsInteger="1" minValue="693" maxValue="3101298" count="681">
        <n v="693"/>
        <n v="695"/>
        <n v="1601"/>
        <n v="2003"/>
        <n v="2223"/>
        <n v="2620"/>
        <n v="2623"/>
        <n v="2624"/>
        <n v="2625"/>
        <n v="2626"/>
        <n v="2627"/>
        <n v="2628"/>
        <n v="2629"/>
        <n v="2631"/>
        <n v="2641"/>
        <n v="2647"/>
        <n v="2648"/>
        <n v="2649"/>
        <n v="2650"/>
        <n v="2651"/>
        <n v="2653"/>
        <n v="2659"/>
        <n v="2661"/>
        <n v="2662"/>
        <n v="2663"/>
        <n v="2664"/>
        <n v="2665"/>
        <n v="2666"/>
        <n v="2667"/>
        <n v="2668"/>
        <n v="2669"/>
        <n v="2671"/>
        <n v="2672"/>
        <n v="2674"/>
        <n v="2677"/>
        <n v="2678"/>
        <n v="2680"/>
        <n v="2683"/>
        <n v="2685"/>
        <n v="2686"/>
        <n v="2687"/>
        <n v="2689"/>
        <n v="2690"/>
        <n v="2691"/>
        <n v="2693"/>
        <n v="2694"/>
        <n v="2695"/>
        <n v="2697"/>
        <n v="2699"/>
        <n v="2700"/>
        <n v="2908"/>
        <n v="2926"/>
        <n v="3411"/>
        <n v="3460"/>
        <n v="3474"/>
        <n v="4133"/>
        <n v="4134"/>
        <n v="4135"/>
        <n v="4136"/>
        <n v="4137"/>
        <n v="4138"/>
        <n v="4579"/>
        <n v="5727"/>
        <n v="6563"/>
        <n v="7267"/>
        <n v="7534"/>
        <n v="7540"/>
        <n v="7545"/>
        <n v="7546"/>
        <n v="7552"/>
        <n v="7553"/>
        <n v="7598"/>
        <n v="8471"/>
        <n v="8475"/>
        <n v="9234"/>
        <n v="11668"/>
        <n v="11751"/>
        <n v="11752"/>
        <n v="11753"/>
        <n v="11755"/>
        <n v="11765"/>
        <n v="11767"/>
        <n v="11769"/>
        <n v="11771"/>
        <n v="11774"/>
        <n v="11813"/>
        <n v="11967"/>
        <n v="12233"/>
        <n v="12460"/>
        <n v="12749"/>
        <n v="13049"/>
        <n v="13213"/>
        <n v="13214"/>
        <n v="13502"/>
        <n v="13507"/>
        <n v="13509"/>
        <n v="13567"/>
        <n v="13568"/>
        <n v="14311"/>
        <n v="14312"/>
        <n v="14313"/>
        <n v="14973"/>
        <n v="16966"/>
        <n v="16988"/>
        <n v="17421"/>
        <n v="17453"/>
        <n v="17463"/>
        <n v="17464"/>
        <n v="17465"/>
        <n v="17466"/>
        <n v="17474"/>
        <n v="17764"/>
        <n v="19877"/>
        <n v="19928"/>
        <n v="19943"/>
        <n v="19947"/>
        <n v="19950"/>
        <n v="19952"/>
        <n v="19972"/>
        <n v="19988"/>
        <n v="19996"/>
        <n v="21440"/>
        <n v="24160"/>
        <n v="26360"/>
        <n v="26707"/>
        <n v="27042"/>
        <n v="27267"/>
        <n v="27849"/>
        <n v="28134"/>
        <n v="28206"/>
        <n v="28213"/>
        <n v="28220"/>
        <n v="28228"/>
        <n v="28403"/>
        <n v="28424"/>
        <n v="28425"/>
        <n v="28551"/>
        <n v="28664"/>
        <n v="28665"/>
        <n v="29011"/>
        <n v="29103"/>
        <n v="29104"/>
        <n v="29105"/>
        <n v="29106"/>
        <n v="29108"/>
        <n v="29750"/>
        <n v="29751"/>
        <n v="31027"/>
        <n v="31028"/>
        <n v="31418"/>
        <n v="33638"/>
        <n v="34218"/>
        <n v="35273"/>
        <n v="35281"/>
        <n v="35851"/>
        <n v="35852"/>
        <n v="36209"/>
        <n v="36568"/>
        <n v="36864"/>
        <n v="36865"/>
        <n v="36866"/>
        <n v="36928"/>
        <n v="36947"/>
        <n v="36963"/>
        <n v="36967"/>
        <n v="36973"/>
        <n v="54636"/>
        <n v="65303"/>
        <n v="65304"/>
        <n v="65306"/>
        <n v="110152"/>
        <n v="110413"/>
        <n v="110465"/>
        <n v="110564"/>
        <n v="110813"/>
        <n v="111240"/>
        <n v="111320"/>
        <n v="111361"/>
        <n v="111369"/>
        <n v="111426"/>
        <n v="111427"/>
        <n v="111428"/>
        <n v="112050"/>
        <n v="112052"/>
        <n v="112053"/>
        <n v="112058"/>
        <n v="112059"/>
        <n v="112277"/>
        <n v="112379"/>
        <n v="113028"/>
        <n v="113043"/>
        <n v="113050"/>
        <n v="113051"/>
        <n v="113055"/>
        <n v="113056"/>
        <n v="113059"/>
        <n v="113501"/>
        <n v="113503"/>
        <n v="113505"/>
        <n v="113509"/>
        <n v="113510"/>
        <n v="113514"/>
        <n v="113572"/>
        <n v="113760"/>
        <n v="113767"/>
        <n v="113773"/>
        <n v="113776"/>
        <n v="113781"/>
        <n v="113783"/>
        <n v="113784"/>
        <n v="113786"/>
        <n v="113787"/>
        <n v="113788"/>
        <n v="113789"/>
        <n v="113792"/>
        <n v="113794"/>
        <n v="113796"/>
        <n v="113798"/>
        <n v="113800"/>
        <n v="113803"/>
        <n v="113804"/>
        <n v="113806"/>
        <n v="113807"/>
        <n v="211536"/>
        <n v="218629"/>
        <n v="219533"/>
        <n v="220367"/>
        <n v="220845"/>
        <n v="223596"/>
        <n v="226593"/>
        <n v="226875"/>
        <n v="228414"/>
        <n v="229236"/>
        <n v="230080"/>
        <n v="230136"/>
        <n v="230433"/>
        <n v="230434"/>
        <n v="231919"/>
        <n v="231945"/>
        <n v="233639"/>
        <n v="233866"/>
        <n v="234360"/>
        <n v="234604"/>
        <n v="234686"/>
        <n v="234818"/>
        <n v="236171"/>
        <n v="236852"/>
        <n v="236853"/>
        <n v="237442"/>
        <n v="237565"/>
        <n v="237668"/>
        <n v="237671"/>
        <n v="237736"/>
        <n v="237789"/>
        <n v="237798"/>
        <n v="239853"/>
        <n v="239854"/>
        <n v="239855"/>
        <n v="239856"/>
        <n v="239865"/>
        <n v="240929"/>
        <n v="243847"/>
        <n v="243880"/>
        <n v="244252"/>
        <n v="244270"/>
        <n v="244278"/>
        <n v="244310"/>
        <n v="244358"/>
        <n v="244361"/>
        <n v="244367"/>
        <n v="244373"/>
        <n v="248698"/>
        <n v="248706"/>
        <n v="248723"/>
        <n v="248727"/>
        <n v="248731"/>
        <n v="248733"/>
        <n v="248738"/>
        <n v="248740"/>
        <n v="248747"/>
        <n v="250643"/>
        <n v="250644"/>
        <n v="250646"/>
        <n v="250647"/>
        <n v="250648"/>
        <n v="250649"/>
        <n v="250651"/>
        <n v="250652"/>
        <n v="250653"/>
        <n v="250655"/>
        <n v="312991"/>
        <n v="312992"/>
        <n v="312993"/>
        <n v="315037"/>
        <n v="315082"/>
        <n v="315084"/>
        <n v="315086"/>
        <n v="315088"/>
        <n v="315089"/>
        <n v="315090"/>
        <n v="315093"/>
        <n v="315094"/>
        <n v="315096"/>
        <n v="315097"/>
        <n v="315098"/>
        <n v="315151"/>
        <n v="315153"/>
        <n v="323592"/>
        <n v="323951"/>
        <n v="324669"/>
        <n v="330877"/>
        <n v="330909"/>
        <n v="330919"/>
        <n v="330923"/>
        <n v="330931"/>
        <n v="330932"/>
        <n v="330935"/>
        <n v="330958"/>
        <n v="330959"/>
        <n v="330979"/>
        <n v="330980"/>
        <n v="334912"/>
        <n v="335097"/>
        <n v="335677"/>
        <n v="336439"/>
        <n v="341826"/>
        <n v="342826"/>
        <n v="343095"/>
        <n v="343120"/>
        <n v="343275"/>
        <n v="343276"/>
        <n v="345364"/>
        <n v="345572"/>
        <n v="345763"/>
        <n v="345764"/>
        <n v="345765"/>
        <n v="345767"/>
        <n v="345769"/>
        <n v="345770"/>
        <n v="345773"/>
        <n v="345774"/>
        <n v="345777"/>
        <n v="345778"/>
        <n v="345779"/>
        <n v="345780"/>
        <n v="345781"/>
        <n v="345783"/>
        <n v="347054"/>
        <n v="347060"/>
        <n v="347061"/>
        <n v="347062"/>
        <n v="347063"/>
        <n v="347064"/>
        <n v="347067"/>
        <n v="347068"/>
        <n v="347069"/>
        <n v="347071"/>
        <n v="347073"/>
        <n v="347074"/>
        <n v="347076"/>
        <n v="347077"/>
        <n v="347078"/>
        <n v="347080"/>
        <n v="347081"/>
        <n v="347082"/>
        <n v="347083"/>
        <n v="347085"/>
        <n v="347087"/>
        <n v="347088"/>
        <n v="347089"/>
        <n v="347464"/>
        <n v="347466"/>
        <n v="347468"/>
        <n v="347470"/>
        <n v="347742"/>
        <n v="347743"/>
        <n v="348121"/>
        <n v="348123"/>
        <n v="348124"/>
        <n v="349201"/>
        <n v="349203"/>
        <n v="349204"/>
        <n v="349205"/>
        <n v="349206"/>
        <n v="349207"/>
        <n v="349208"/>
        <n v="349209"/>
        <n v="349210"/>
        <n v="349212"/>
        <n v="349213"/>
        <n v="349214"/>
        <n v="349215"/>
        <n v="349216"/>
        <n v="349217"/>
        <n v="349218"/>
        <n v="349219"/>
        <n v="349221"/>
        <n v="349222"/>
        <n v="349223"/>
        <n v="349224"/>
        <n v="349225"/>
        <n v="349227"/>
        <n v="349228"/>
        <n v="349231"/>
        <n v="349233"/>
        <n v="349234"/>
        <n v="349236"/>
        <n v="349237"/>
        <n v="349239"/>
        <n v="349240"/>
        <n v="349241"/>
        <n v="349242"/>
        <n v="349243"/>
        <n v="349244"/>
        <n v="349245"/>
        <n v="349246"/>
        <n v="349247"/>
        <n v="349248"/>
        <n v="349249"/>
        <n v="349251"/>
        <n v="349252"/>
        <n v="349253"/>
        <n v="349254"/>
        <n v="349256"/>
        <n v="349257"/>
        <n v="349909"/>
        <n v="349910"/>
        <n v="349912"/>
        <n v="350025"/>
        <n v="350026"/>
        <n v="350029"/>
        <n v="350034"/>
        <n v="350035"/>
        <n v="350036"/>
        <n v="350042"/>
        <n v="350043"/>
        <n v="350046"/>
        <n v="350047"/>
        <n v="350048"/>
        <n v="350050"/>
        <n v="350052"/>
        <n v="350060"/>
        <n v="350404"/>
        <n v="350406"/>
        <n v="350407"/>
        <n v="350417"/>
        <n v="358585"/>
        <n v="362316"/>
        <n v="363291"/>
        <n v="363294"/>
        <n v="363592"/>
        <n v="364498"/>
        <n v="364499"/>
        <n v="364500"/>
        <n v="364506"/>
        <n v="364511"/>
        <n v="364512"/>
        <n v="364516"/>
        <n v="364846"/>
        <n v="364848"/>
        <n v="364849"/>
        <n v="364850"/>
        <n v="364851"/>
        <n v="365222"/>
        <n v="365226"/>
        <n v="367226"/>
        <n v="367228"/>
        <n v="367229"/>
        <n v="367230"/>
        <n v="367231"/>
        <n v="367232"/>
        <n v="367655"/>
        <n v="368323"/>
        <n v="368703"/>
        <n v="370129"/>
        <n v="370365"/>
        <n v="370369"/>
        <n v="370370"/>
        <n v="370371"/>
        <n v="370372"/>
        <n v="370373"/>
        <n v="370375"/>
        <n v="370376"/>
        <n v="370377"/>
        <n v="371060"/>
        <n v="371110"/>
        <n v="371362"/>
        <n v="372622"/>
        <n v="373450"/>
        <n v="374746"/>
        <n v="374887"/>
        <n v="374910"/>
        <n v="376564"/>
        <n v="376566"/>
        <n v="382649"/>
        <n v="382651"/>
        <n v="382652"/>
        <n v="383121"/>
        <n v="384461"/>
        <n v="386525"/>
        <n v="392091"/>
        <n v="392092"/>
        <n v="392096"/>
        <n v="394140"/>
        <n v="3101264"/>
        <n v="3101265"/>
        <n v="3101267"/>
        <n v="3101276"/>
        <n v="3101277"/>
        <n v="3101278"/>
        <n v="3101281"/>
        <n v="3101295"/>
        <n v="3101296"/>
        <n v="3101298"/>
        <s v="A./5. 2152"/>
        <s v="A./5. 3235"/>
        <s v="A.5. 11206"/>
        <s v="A.5. 18509"/>
        <s v="A/4 45380"/>
        <s v="A/4 48871"/>
        <s v="A/4. 20589"/>
        <s v="A/4. 34244"/>
        <s v="A/4. 39886"/>
        <s v="A/5 21171"/>
        <s v="A/5 21172"/>
        <s v="A/5 21173"/>
        <s v="A/5 21174"/>
        <s v="A/5 2466"/>
        <s v="A/5 2817"/>
        <s v="A/5 3536"/>
        <s v="A/5 3540"/>
        <s v="A/5 3594"/>
        <s v="A/5 3902"/>
        <s v="A/5. 10482"/>
        <s v="A/5. 13032"/>
        <s v="A/5. 2151"/>
        <s v="A/5. 3336"/>
        <s v="A/5. 3337"/>
        <s v="A/5. 851"/>
        <s v="A/S 2816"/>
        <s v="A4. 54510"/>
        <s v="C 17369"/>
        <s v="C 4001"/>
        <s v="C 7075"/>
        <s v="C 7076"/>
        <s v="C 7077"/>
        <s v="C.A. 17248"/>
        <s v="C.A. 18723"/>
        <s v="C.A. 2315"/>
        <s v="C.A. 24579"/>
        <s v="C.A. 24580"/>
        <s v="C.A. 2673"/>
        <s v="C.A. 29178"/>
        <s v="C.A. 29395"/>
        <s v="C.A. 29566"/>
        <s v="C.A. 31026"/>
        <s v="C.A. 31921"/>
        <s v="C.A. 33111"/>
        <s v="C.A. 33112"/>
        <s v="C.A. 33595"/>
        <s v="C.A. 34260"/>
        <s v="C.A. 34651"/>
        <s v="C.A. 37671"/>
        <s v="C.A. 5547"/>
        <s v="C.A. 6212"/>
        <s v="C.A./SOTON 34068"/>
        <s v="CA 2144"/>
        <s v="CA. 2314"/>
        <s v="CA. 2343"/>
        <s v="F.C. 12750"/>
        <s v="F.C.C. 13528"/>
        <s v="F.C.C. 13529"/>
        <s v="F.C.C. 13531"/>
        <s v="Fa 265302"/>
        <s v="LINE"/>
        <s v="P/PP 3381"/>
        <s v="PC 17318"/>
        <s v="PC 17473"/>
        <s v="PC 17474"/>
        <s v="PC 17475"/>
        <s v="PC 17476"/>
        <s v="PC 17477"/>
        <s v="PC 17482"/>
        <s v="PC 17483"/>
        <s v="PC 17485"/>
        <s v="PC 17558"/>
        <s v="PC 17569"/>
        <s v="PC 17572"/>
        <s v="PC 17582"/>
        <s v="PC 17585"/>
        <s v="PC 17590"/>
        <s v="PC 17592"/>
        <s v="PC 17593"/>
        <s v="PC 17595"/>
        <s v="PC 17596"/>
        <s v="PC 17597"/>
        <s v="PC 17599"/>
        <s v="PC 17600"/>
        <s v="PC 17601"/>
        <s v="PC 17603"/>
        <s v="PC 17604"/>
        <s v="PC 17605"/>
        <s v="PC 17608"/>
        <s v="PC 17609"/>
        <s v="PC 17610"/>
        <s v="PC 17611"/>
        <s v="PC 17612"/>
        <s v="PC 17754"/>
        <s v="PC 17755"/>
        <s v="PC 17756"/>
        <s v="PC 17757"/>
        <s v="PC 17758"/>
        <s v="PC 17759"/>
        <s v="PC 17760"/>
        <s v="PC 17761"/>
        <s v="PP 4348"/>
        <s v="PP 9549"/>
        <s v="S.C./A.4. 23567"/>
        <s v="S.C./PARIS 2079"/>
        <s v="S.O./P.P. 3"/>
        <s v="S.O./P.P. 751"/>
        <s v="S.O.C. 14879"/>
        <s v="S.O.P. 1166"/>
        <s v="S.P. 3464"/>
        <s v="S.W./PP 752"/>
        <s v="SC 1748"/>
        <s v="SC/AH 29037"/>
        <s v="SC/AH 3085"/>
        <s v="SC/AH Basle 541"/>
        <s v="SC/Paris 2123"/>
        <s v="SC/PARIS 2131"/>
        <s v="SC/PARIS 2133"/>
        <s v="SC/PARIS 2146"/>
        <s v="SC/PARIS 2149"/>
        <s v="SC/Paris 2163"/>
        <s v="SC/PARIS 2167"/>
        <s v="SCO/W 1585"/>
        <s v="SO/C 14885"/>
        <s v="SOTON/O.Q. 3101305"/>
        <s v="SOTON/O.Q. 3101306"/>
        <s v="SOTON/O.Q. 3101307"/>
        <s v="SOTON/O.Q. 3101310"/>
        <s v="SOTON/O.Q. 3101311"/>
        <s v="SOTON/O.Q. 3101312"/>
        <s v="SOTON/O.Q. 392078"/>
        <s v="SOTON/O.Q. 392087"/>
        <s v="SOTON/O2 3101272"/>
        <s v="SOTON/O2 3101287"/>
        <s v="SOTON/OQ 3101316"/>
        <s v="SOTON/OQ 3101317"/>
        <s v="SOTON/OQ 392076"/>
        <s v="SOTON/OQ 392082"/>
        <s v="SOTON/OQ 392086"/>
        <s v="SOTON/OQ 392089"/>
        <s v="SOTON/OQ 392090"/>
        <s v="STON/O 2. 3101269"/>
        <s v="STON/O 2. 3101273"/>
        <s v="STON/O 2. 3101274"/>
        <s v="STON/O 2. 3101275"/>
        <s v="STON/O 2. 3101280"/>
        <s v="STON/O 2. 3101285"/>
        <s v="STON/O 2. 3101286"/>
        <s v="STON/O 2. 3101288"/>
        <s v="STON/O 2. 3101289"/>
        <s v="STON/O 2. 3101292"/>
        <s v="STON/O 2. 3101293"/>
        <s v="STON/O 2. 3101294"/>
        <s v="STON/O2. 3101271"/>
        <s v="STON/O2. 3101279"/>
        <s v="STON/O2. 3101282"/>
        <s v="STON/O2. 3101283"/>
        <s v="STON/O2. 3101290"/>
        <s v="SW/PP 751"/>
        <s v="W./C. 14258"/>
        <s v="W./C. 14263"/>
        <s v="W./C. 6607"/>
        <s v="W./C. 6608"/>
        <s v="W./C. 6609"/>
        <s v="W.E.P. 5734"/>
        <s v="W/C 14208"/>
        <s v="WE/P 5735"/>
      </sharedItems>
    </cacheField>
    <cacheField name="Tarifa" numFmtId="44">
      <sharedItems containsSemiMixedTypes="0" containsString="0" containsNumber="1" minValue="0" maxValue="910.79200000000003" count="247">
        <n v="7.25"/>
        <n v="712.83299999999997"/>
        <n v="7.9249999999999998"/>
        <n v="53.1"/>
        <n v="8.0500000000000007"/>
        <n v="84.582999999999998"/>
        <n v="518.625"/>
        <n v="21.074999999999999"/>
        <n v="111.333"/>
        <n v="300.70800000000003"/>
        <n v="16.7"/>
        <n v="26.55"/>
        <n v="31.274999999999999"/>
        <n v="78.542000000000002"/>
        <n v="16"/>
        <n v="29.125"/>
        <n v="13"/>
        <n v="18"/>
        <n v="7.2249999999999996"/>
        <n v="26"/>
        <n v="80.292000000000002"/>
        <n v="35.5"/>
        <n v="313.875"/>
        <n v="263"/>
        <n v="78.792000000000002"/>
        <n v="78.957999999999998"/>
        <n v="277.20800000000003"/>
        <n v="146.52080000000001"/>
        <n v="7.75"/>
        <n v="10.5"/>
        <n v="821.70799999999997"/>
        <n v="52"/>
        <n v="72.292000000000002"/>
        <n v="112.417"/>
        <n v="9.4749999999999996"/>
        <n v="21"/>
        <n v="415.79199999999997"/>
        <n v="15.5"/>
        <n v="216.792"/>
        <n v="17.8"/>
        <n v="396.875"/>
        <n v="7.8"/>
        <n v="767.29200000000003"/>
        <n v="619.79200000000003"/>
        <n v="27.75"/>
        <n v="46.9"/>
        <n v="80"/>
        <n v="83.474999999999994"/>
        <n v="27.9"/>
        <n v="152.458"/>
        <n v="81.582999999999998"/>
        <n v="86.625"/>
        <n v="73.5"/>
        <n v="144.542"/>
        <n v="564.95799999999997"/>
        <n v="7.65"/>
        <n v="29"/>
        <n v="12.475"/>
        <n v="9"/>
        <n v="9.5"/>
        <n v="77.875"/>
        <n v="47.1"/>
        <n v="15.85"/>
        <n v="34.375"/>
        <n v="61.174999999999997"/>
        <n v="20.574999999999999"/>
        <n v="346.54199999999997"/>
        <n v="633.58299999999997"/>
        <n v="23"/>
        <n v="772.875"/>
        <n v="86.542000000000002"/>
        <n v="7.7750000000000004"/>
        <n v="24.15"/>
        <n v="9.8249999999999993"/>
        <n v="144.583"/>
        <n v="247.52080000000001"/>
        <n v="71.417000000000002"/>
        <n v="223.583"/>
        <n v="6.9749999999999996"/>
        <n v="7.05"/>
        <n v="14.5"/>
        <n v="150.458"/>
        <n v="262.83300000000003"/>
        <n v="92.167000000000002"/>
        <n v="79.2"/>
        <n v="6.75"/>
        <n v="11.5"/>
        <n v="36.75"/>
        <n v="77.957999999999998"/>
        <n v="12.525"/>
        <n v="66.599999999999994"/>
        <n v="73.125"/>
        <n v="613.79200000000003"/>
        <n v="77.332999999999998"/>
        <n v="69.55"/>
        <n v="16.100000000000001"/>
        <n v="15.75"/>
        <n v="20.524999999999999"/>
        <n v="55"/>
        <n v="25.925000000000001"/>
        <n v="33.5"/>
        <n v="306.95800000000003"/>
        <n v="254.667"/>
        <n v="287.125"/>
        <n v="0"/>
        <n v="15.05"/>
        <n v="39"/>
        <n v="22.024999999999999"/>
        <n v="50"/>
        <n v="84.042000000000002"/>
        <n v="64.957999999999998"/>
        <n v="104.625"/>
        <n v="187.875"/>
        <n v="31"/>
        <n v="113.27500000000001"/>
        <n v="27"/>
        <n v="762.91700000000003"/>
        <n v="90"/>
        <n v="9.35"/>
        <n v="13.5"/>
        <n v="7.55"/>
        <n v="26.25"/>
        <n v="12.275"/>
        <n v="7.125"/>
        <n v="525.54200000000003"/>
        <n v="202.125"/>
        <n v="86.5"/>
        <n v="512.32920000000001"/>
        <n v="79.650000000000006"/>
        <n v="153.46250000000001"/>
        <n v="135.63330000000002"/>
        <n v="19.5"/>
        <n v="29.7"/>
        <n v="779.58299999999997"/>
        <n v="20.25"/>
        <n v="78.849999999999994"/>
        <n v="910.79200000000003"/>
        <n v="12.875"/>
        <n v="8.85"/>
        <n v="151.55000000000001"/>
        <n v="30.5"/>
        <n v="23.25"/>
        <n v="12.35"/>
        <n v="110.88330000000001"/>
        <n v="108.9"/>
        <n v="24"/>
        <n v="569.29200000000003"/>
        <n v="831.58299999999997"/>
        <n v="262.375"/>
        <n v="14"/>
        <n v="164.86669999999998"/>
        <n v="134.5"/>
        <n v="62.375"/>
        <n v="579.79200000000003"/>
        <n v="28.5"/>
        <n v="133.65"/>
        <n v="15.9"/>
        <n v="9.2249999999999996"/>
        <n v="35"/>
        <n v="75.25"/>
        <n v="69.3"/>
        <n v="554.41700000000003"/>
        <n v="211.5"/>
        <n v="40.125"/>
        <n v="227.52500000000001"/>
        <n v="157.417"/>
        <n v="77.292000000000002"/>
        <n v="12"/>
        <n v="120"/>
        <n v="12.65"/>
        <n v="18.75"/>
        <n v="68.582999999999998"/>
        <n v="32.5"/>
        <n v="7.875"/>
        <n v="14.4"/>
        <n v="55.9"/>
        <n v="81.125"/>
        <n v="818.58299999999997"/>
        <n v="192.583"/>
        <n v="199.667"/>
        <n v="891.04200000000003"/>
        <n v="38.5"/>
        <n v="7.7249999999999996"/>
        <n v="137.917"/>
        <n v="98.375"/>
        <n v="70.457999999999998"/>
        <n v="75.207999999999998"/>
        <n v="122.875"/>
        <n v="95.875"/>
        <n v="495.04199999999997"/>
        <n v="782.66700000000003"/>
        <n v="15.1"/>
        <n v="76.292000000000002"/>
        <n v="22.524999999999999"/>
        <n v="262.875"/>
        <n v="59.4"/>
        <n v="74.957999999999998"/>
        <n v="340.20800000000003"/>
        <n v="93.5"/>
        <n v="221.7792"/>
        <n v="106.425"/>
        <n v="49.5"/>
        <n v="71"/>
        <n v="138.625"/>
        <n v="78.292000000000002"/>
        <n v="39.6"/>
        <n v="17.399999999999999"/>
        <n v="514.79200000000003"/>
        <n v="263.875"/>
        <n v="30"/>
        <n v="87.125"/>
        <n v="15"/>
        <n v="33"/>
        <n v="42.4"/>
        <n v="15.55"/>
        <n v="65"/>
        <n v="323.20800000000003"/>
        <n v="70.542000000000002"/>
        <n v="84.332999999999998"/>
        <n v="255.875"/>
        <n v="98.417000000000002"/>
        <n v="81.375"/>
        <n v="101.708"/>
        <n v="211.33750000000001"/>
        <n v="57"/>
        <n v="134.167"/>
        <n v="77.417000000000002"/>
        <n v="94.832999999999998"/>
        <n v="77.375"/>
        <n v="83.625"/>
        <n v="23.45"/>
        <n v="259.29199999999997"/>
        <n v="86.832999999999998"/>
        <n v="85.167000000000002"/>
        <n v="78.875"/>
        <n v="370.04199999999997"/>
        <n v="6.45"/>
        <n v="6.95"/>
        <n v="8.3000000000000007"/>
        <n v="64.375"/>
        <n v="39.4"/>
        <n v="141.083"/>
        <n v="138.583"/>
        <n v="504.95800000000003"/>
        <n v="5"/>
        <n v="98.457999999999998"/>
        <n v="105.167"/>
      </sharedItems>
    </cacheField>
    <cacheField name="Cabina" numFmtId="49">
      <sharedItems count="148">
        <s v="Desconocido"/>
        <s v="B51 B53 B55"/>
        <s v="F E69"/>
        <s v="E58"/>
        <s v="D35"/>
        <s v="D47"/>
        <s v="D19"/>
        <s v="A16"/>
        <s v="E50"/>
        <s v="C54"/>
        <s v="C50"/>
        <s v="C101"/>
        <s v="B37"/>
        <s v="C47"/>
        <s v="D15"/>
        <s v="B49"/>
        <s v="B73"/>
        <s v="B69"/>
        <s v="A10"/>
        <s v="A26"/>
        <s v="B50"/>
        <s v="D7"/>
        <s v="D9"/>
        <s v="D11"/>
        <s v="E44"/>
        <s v="E38"/>
        <s v="B41"/>
        <s v="B39"/>
        <s v="E34"/>
        <s v="E40"/>
        <s v="D45"/>
        <s v="C70"/>
        <s v="C68"/>
        <s v="C92"/>
        <s v="E46"/>
        <s v="D21"/>
        <s v="D17"/>
        <s v="B20"/>
        <s v="A7"/>
        <s v="C46"/>
        <s v="C78"/>
        <s v="C93"/>
        <s v="C52"/>
        <s v="C23 C25 C27"/>
        <s v="E12"/>
        <s v="C106"/>
        <s v="C126"/>
        <s v="B5"/>
        <s v="B3"/>
        <s v="A23"/>
        <s v="E101"/>
        <s v="D"/>
        <s v="A34"/>
        <s v="D36"/>
        <s v="D48"/>
        <s v="D26"/>
        <s v="C7"/>
        <s v="D20"/>
        <s v="D50"/>
        <s v="D46"/>
        <s v="C83"/>
        <s v="B77"/>
        <s v="B79"/>
        <s v="E67"/>
        <s v="E68"/>
        <s v="C110"/>
        <s v="A14"/>
        <s v="D37"/>
        <s v="B19"/>
        <s v="E63"/>
        <s v="B18"/>
        <s v="C148"/>
        <s v="A36"/>
        <s v="B42"/>
        <s v="B102"/>
        <s v="B94"/>
        <s v="A31"/>
        <s v="C124"/>
        <s v="B38"/>
        <s v="C111"/>
        <s v="E17"/>
        <s v="A19"/>
        <s v="D6"/>
        <s v="C82"/>
        <s v="E33"/>
        <s v="B30"/>
        <s v="C128"/>
        <s v="C87"/>
        <s v="B28"/>
        <s v="B96 B98"/>
        <s v="A32"/>
        <s v="D30"/>
        <s v="C2"/>
        <s v="C22 C26"/>
        <s v="C103"/>
        <s v="T"/>
        <s v="C104"/>
        <s v="C30"/>
        <s v="A6"/>
        <s v="C123"/>
        <s v="E8"/>
        <s v="F2"/>
        <s v="F4"/>
        <s v="D56"/>
        <s v="F33"/>
        <s v="G6"/>
        <s v="F G63"/>
        <s v="F G73"/>
        <s v="F38"/>
        <s v="E121"/>
        <s v="B71"/>
        <s v="E25"/>
        <s v="E24"/>
        <s v="B35"/>
        <s v="C90"/>
        <s v="C95"/>
        <s v="E36"/>
        <s v="A20"/>
        <s v="B58 B60"/>
        <s v="B78"/>
        <s v="B80"/>
        <s v="D33"/>
        <s v="D49"/>
        <s v="C125"/>
        <s v="C91"/>
        <s v="A24"/>
        <s v="D28"/>
        <s v="B86"/>
        <s v="B82 B84"/>
        <s v="C49"/>
        <s v="C118"/>
        <s v="C85"/>
        <s v="B57 B59 B63 B66"/>
        <s v="B4"/>
        <s v="A5"/>
        <s v="B101"/>
        <s v="E49"/>
        <s v="C62 C64"/>
        <s v="C45"/>
        <s v="C65"/>
        <s v="D10 D12"/>
        <s v="C99"/>
        <s v="C32"/>
        <s v="C86"/>
        <s v="E77"/>
        <s v="E10"/>
        <s v="E31"/>
        <s v="B22"/>
      </sharedItems>
    </cacheField>
    <cacheField name="Embarque" numFmtId="49">
      <sharedItems count="3">
        <s v="S"/>
        <s v="C"/>
        <s v="Q"/>
      </sharedItems>
    </cacheField>
    <cacheField name="Tasa_Supervivencia" numFmtId="0" formula="Sobreviviente" databaseField="0"/>
  </cacheFields>
  <extLst>
    <ext xmlns:x14="http://schemas.microsoft.com/office/spreadsheetml/2009/9/main" uri="{725AE2AE-9491-48be-B2B4-4EB974FC3084}">
      <x14:pivotCacheDefinition pivotCacheId="14476238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i" refreshedDate="46090.445035879631" backgroundQuery="1" createdVersion="8" refreshedVersion="8" minRefreshableVersion="3" recordCount="0" supportSubquery="1" supportAdvancedDrill="1" xr:uid="{5A92303C-2432-4C45-B336-0DF0D93B8A15}">
  <cacheSource type="external" connectionId="1"/>
  <cacheFields count="3">
    <cacheField name="[INFO_Pasajeros].[Rango Etario].[Rango Etario]" caption="Rango Etario" numFmtId="0" hierarchy="12" level="1">
      <sharedItems count="4">
        <s v="Adultos"/>
        <s v="Adultos Mayores"/>
        <s v="Jóvenes"/>
        <s v="Niños"/>
      </sharedItems>
    </cacheField>
    <cacheField name="[Measures].[Suma de Sobreviviente]" caption="Suma de Sobreviviente" numFmtId="0" hierarchy="15" level="32767"/>
    <cacheField name="[INFO_Pasajeros].[Clase_Del_Pasaje].[Clase_Del_Pasaje]" caption="Clase_Del_Pasaje" numFmtId="0" hierarchy="6"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INFO_Pasajeros].[Clase_Del_Pasaje].&amp;[1]"/>
            <x15:cachedUniqueName index="1" name="[INFO_Pasajeros].[Clase_Del_Pasaje].&amp;[2]"/>
            <x15:cachedUniqueName index="2" name="[INFO_Pasajeros].[Clase_Del_Pasaje].&amp;[3]"/>
          </x15:cachedUniqueNames>
        </ext>
      </extLst>
    </cacheField>
  </cacheFields>
  <cacheHierarchies count="18">
    <cacheHierarchy uniqueName="[INFO_Pasajeros].[Nombre]" caption="Nombre" attribute="1" defaultMemberUniqueName="[INFO_Pasajeros].[Nombre].[All]" allUniqueName="[INFO_Pasajeros].[Nombre].[All]" dimensionUniqueName="[INFO_Pasajeros]" displayFolder="" count="0" memberValueDatatype="130" unbalanced="0"/>
    <cacheHierarchy uniqueName="[INFO_Pasajeros].[Sexo]" caption="Sexo" attribute="1" defaultMemberUniqueName="[INFO_Pasajeros].[Sexo].[All]" allUniqueName="[INFO_Pasajeros].[Sexo].[All]" dimensionUniqueName="[INFO_Pasajeros]" displayFolder="" count="2" memberValueDatatype="130" unbalanced="0"/>
    <cacheHierarchy uniqueName="[INFO_Pasajeros].[ID_Pasajero]" caption="ID_Pasajero" attribute="1" defaultMemberUniqueName="[INFO_Pasajeros].[ID_Pasajero].[All]" allUniqueName="[INFO_Pasajeros].[ID_Pasajero].[All]" dimensionUniqueName="[INFO_Pasajeros]" displayFolder="" count="0" memberValueDatatype="20" unbalanced="0"/>
    <cacheHierarchy uniqueName="[INFO_Pasajeros].[Edad]" caption="Edad" attribute="1" defaultMemberUniqueName="[INFO_Pasajeros].[Edad].[All]" allUniqueName="[INFO_Pasajeros].[Edad].[All]" dimensionUniqueName="[INFO_Pasajeros]" displayFolder="" count="0" memberValueDatatype="20" unbalanced="0"/>
    <cacheHierarchy uniqueName="[INFO_Pasajeros].[Padres_Hijos]" caption="Padres_Hijos" attribute="1" defaultMemberUniqueName="[INFO_Pasajeros].[Padres_Hijos].[All]" allUniqueName="[INFO_Pasajeros].[Padres_Hijos].[All]" dimensionUniqueName="[INFO_Pasajeros]" displayFolder="" count="0" memberValueDatatype="20" unbalanced="0"/>
    <cacheHierarchy uniqueName="[INFO_Pasajeros].[Hermanos/Cónyuge]" caption="Hermanos/Cónyuge" attribute="1" defaultMemberUniqueName="[INFO_Pasajeros].[Hermanos/Cónyuge].[All]" allUniqueName="[INFO_Pasajeros].[Hermanos/Cónyuge].[All]" dimensionUniqueName="[INFO_Pasajeros]" displayFolder="" count="0" memberValueDatatype="20" unbalanced="0"/>
    <cacheHierarchy uniqueName="[INFO_Pasajeros].[Clase_Del_Pasaje]" caption="Clase_Del_Pasaje" attribute="1" defaultMemberUniqueName="[INFO_Pasajeros].[Clase_Del_Pasaje].[All]" allUniqueName="[INFO_Pasajeros].[Clase_Del_Pasaje].[All]" dimensionUniqueName="[INFO_Pasajeros]" displayFolder="" count="2" memberValueDatatype="20" unbalanced="0">
      <fieldsUsage count="2">
        <fieldUsage x="-1"/>
        <fieldUsage x="2"/>
      </fieldsUsage>
    </cacheHierarchy>
    <cacheHierarchy uniqueName="[INFO_Pasajeros].[Sobreviviente]" caption="Sobreviviente" attribute="1" defaultMemberUniqueName="[INFO_Pasajeros].[Sobreviviente].[All]" allUniqueName="[INFO_Pasajeros].[Sobreviviente].[All]" dimensionUniqueName="[INFO_Pasajeros]" displayFolder="" count="0" memberValueDatatype="20" unbalanced="0"/>
    <cacheHierarchy uniqueName="[INFO_Pasajeros].[Ticket]" caption="Ticket" attribute="1" defaultMemberUniqueName="[INFO_Pasajeros].[Ticket].[All]" allUniqueName="[INFO_Pasajeros].[Ticket].[All]" dimensionUniqueName="[INFO_Pasajeros]" displayFolder="" count="2" memberValueDatatype="130" unbalanced="0"/>
    <cacheHierarchy uniqueName="[INFO_Pasajeros].[Tarifa]" caption="Tarifa" attribute="1" defaultMemberUniqueName="[INFO_Pasajeros].[Tarifa].[All]" allUniqueName="[INFO_Pasajeros].[Tarifa].[All]" dimensionUniqueName="[INFO_Pasajeros]" displayFolder="" count="0" memberValueDatatype="5" unbalanced="0"/>
    <cacheHierarchy uniqueName="[INFO_Pasajeros].[Cabina]" caption="Cabina" attribute="1" defaultMemberUniqueName="[INFO_Pasajeros].[Cabina].[All]" allUniqueName="[INFO_Pasajeros].[Cabina].[All]" dimensionUniqueName="[INFO_Pasajeros]" displayFolder="" count="0" memberValueDatatype="130" unbalanced="0"/>
    <cacheHierarchy uniqueName="[INFO_Pasajeros].[Embarque]" caption="Embarque" attribute="1" defaultMemberUniqueName="[INFO_Pasajeros].[Embarque].[All]" allUniqueName="[INFO_Pasajeros].[Embarque].[All]" dimensionUniqueName="[INFO_Pasajeros]" displayFolder="" count="0" memberValueDatatype="130" unbalanced="0"/>
    <cacheHierarchy uniqueName="[INFO_Pasajeros].[Rango Etario]" caption="Rango Etario" attribute="1" defaultMemberUniqueName="[INFO_Pasajeros].[Rango Etario].[All]" allUniqueName="[INFO_Pasajeros].[Rango Etario].[All]" dimensionUniqueName="[INFO_Pasajeros]" displayFolder="" count="2" memberValueDatatype="130" unbalanced="0">
      <fieldsUsage count="2">
        <fieldUsage x="-1"/>
        <fieldUsage x="0"/>
      </fieldsUsage>
    </cacheHierarchy>
    <cacheHierarchy uniqueName="[Measures].[__XL_Count INFO_Pasajeros]" caption="__XL_Count INFO_Pasajeros" measure="1" displayFolder="" measureGroup="INFO_Pasajeros" count="0" hidden="1"/>
    <cacheHierarchy uniqueName="[Measures].[__No measures defined]" caption="__No measures defined" measure="1" displayFolder="" count="0" hidden="1"/>
    <cacheHierarchy uniqueName="[Measures].[Suma de Sobreviviente]" caption="Suma de Sobreviviente" measure="1" displayFolder="" measureGroup="INFO_Pasajeros" count="0" oneField="1" hidden="1">
      <fieldsUsage count="1">
        <fieldUsage x="1"/>
      </fieldsUsage>
      <extLst>
        <ext xmlns:x15="http://schemas.microsoft.com/office/spreadsheetml/2010/11/main" uri="{B97F6D7D-B522-45F9-BDA1-12C45D357490}">
          <x15:cacheHierarchy aggregatedColumn="7"/>
        </ext>
      </extLst>
    </cacheHierarchy>
    <cacheHierarchy uniqueName="[Measures].[Suma de ID_Pasajero]" caption="Suma de ID_Pasajero" measure="1" displayFolder="" measureGroup="INFO_Pasajeros" count="0" hidden="1">
      <extLst>
        <ext xmlns:x15="http://schemas.microsoft.com/office/spreadsheetml/2010/11/main" uri="{B97F6D7D-B522-45F9-BDA1-12C45D357490}">
          <x15:cacheHierarchy aggregatedColumn="2"/>
        </ext>
      </extLst>
    </cacheHierarchy>
    <cacheHierarchy uniqueName="[Measures].[Suma de Clase_Del_Pasaje]" caption="Suma de Clase_Del_Pasaje" measure="1" displayFolder="" measureGroup="INFO_Pasajeros" count="0" hidden="1">
      <extLst>
        <ext xmlns:x15="http://schemas.microsoft.com/office/spreadsheetml/2010/11/main" uri="{B97F6D7D-B522-45F9-BDA1-12C45D357490}">
          <x15:cacheHierarchy aggregatedColumn="6"/>
        </ext>
      </extLst>
    </cacheHierarchy>
  </cacheHierarchies>
  <kpis count="0"/>
  <dimensions count="2">
    <dimension name="INFO_Pasajeros" uniqueName="[INFO_Pasajeros]" caption="INFO_Pasajeros"/>
    <dimension measure="1" name="Measures" uniqueName="[Measures]" caption="Measures"/>
  </dimensions>
  <measureGroups count="1">
    <measureGroup name="INFO_Pasajeros" caption="INFO_Pasajero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n v="1"/>
    <x v="0"/>
    <n v="0"/>
    <x v="0"/>
    <x v="0"/>
    <x v="0"/>
    <x v="0"/>
    <x v="0"/>
    <x v="0"/>
    <x v="0"/>
  </r>
  <r>
    <x v="1"/>
    <x v="1"/>
    <n v="2"/>
    <x v="1"/>
    <n v="0"/>
    <x v="0"/>
    <x v="1"/>
    <x v="1"/>
    <x v="1"/>
    <x v="1"/>
    <x v="1"/>
    <x v="0"/>
  </r>
  <r>
    <x v="2"/>
    <x v="1"/>
    <n v="3"/>
    <x v="2"/>
    <n v="0"/>
    <x v="1"/>
    <x v="0"/>
    <x v="1"/>
    <x v="2"/>
    <x v="2"/>
    <x v="0"/>
    <x v="0"/>
  </r>
  <r>
    <x v="3"/>
    <x v="1"/>
    <n v="4"/>
    <x v="3"/>
    <n v="0"/>
    <x v="0"/>
    <x v="1"/>
    <x v="1"/>
    <x v="2"/>
    <x v="3"/>
    <x v="0"/>
    <x v="0"/>
  </r>
  <r>
    <x v="4"/>
    <x v="0"/>
    <n v="5"/>
    <x v="4"/>
    <n v="0"/>
    <x v="1"/>
    <x v="0"/>
    <x v="0"/>
    <x v="2"/>
    <x v="4"/>
    <x v="0"/>
    <x v="0"/>
  </r>
  <r>
    <x v="5"/>
    <x v="0"/>
    <n v="6"/>
    <x v="5"/>
    <n v="0"/>
    <x v="1"/>
    <x v="0"/>
    <x v="0"/>
    <x v="2"/>
    <x v="5"/>
    <x v="0"/>
    <x v="0"/>
  </r>
  <r>
    <x v="6"/>
    <x v="0"/>
    <n v="7"/>
    <x v="6"/>
    <n v="0"/>
    <x v="1"/>
    <x v="1"/>
    <x v="0"/>
    <x v="2"/>
    <x v="6"/>
    <x v="0"/>
    <x v="0"/>
  </r>
  <r>
    <x v="7"/>
    <x v="0"/>
    <n v="8"/>
    <x v="7"/>
    <n v="1"/>
    <x v="2"/>
    <x v="0"/>
    <x v="0"/>
    <x v="2"/>
    <x v="7"/>
    <x v="0"/>
    <x v="0"/>
  </r>
  <r>
    <x v="8"/>
    <x v="1"/>
    <n v="9"/>
    <x v="2"/>
    <n v="2"/>
    <x v="1"/>
    <x v="0"/>
    <x v="1"/>
    <x v="2"/>
    <x v="8"/>
    <x v="0"/>
    <x v="0"/>
  </r>
  <r>
    <x v="9"/>
    <x v="1"/>
    <n v="10"/>
    <x v="3"/>
    <n v="0"/>
    <x v="0"/>
    <x v="2"/>
    <x v="1"/>
    <x v="3"/>
    <x v="9"/>
    <x v="0"/>
    <x v="0"/>
  </r>
  <r>
    <x v="10"/>
    <x v="1"/>
    <n v="11"/>
    <x v="8"/>
    <n v="1"/>
    <x v="0"/>
    <x v="0"/>
    <x v="1"/>
    <x v="4"/>
    <x v="10"/>
    <x v="0"/>
    <x v="0"/>
  </r>
  <r>
    <x v="11"/>
    <x v="1"/>
    <n v="12"/>
    <x v="9"/>
    <n v="0"/>
    <x v="1"/>
    <x v="1"/>
    <x v="1"/>
    <x v="5"/>
    <x v="11"/>
    <x v="0"/>
    <x v="1"/>
  </r>
  <r>
    <x v="12"/>
    <x v="0"/>
    <n v="13"/>
    <x v="10"/>
    <n v="0"/>
    <x v="1"/>
    <x v="0"/>
    <x v="0"/>
    <x v="6"/>
    <x v="4"/>
    <x v="0"/>
    <x v="1"/>
  </r>
  <r>
    <x v="13"/>
    <x v="0"/>
    <n v="14"/>
    <x v="11"/>
    <n v="5"/>
    <x v="0"/>
    <x v="0"/>
    <x v="0"/>
    <x v="7"/>
    <x v="12"/>
    <x v="0"/>
    <x v="1"/>
  </r>
  <r>
    <x v="14"/>
    <x v="1"/>
    <n v="15"/>
    <x v="12"/>
    <n v="0"/>
    <x v="1"/>
    <x v="0"/>
    <x v="0"/>
    <x v="8"/>
    <x v="13"/>
    <x v="0"/>
    <x v="1"/>
  </r>
  <r>
    <x v="15"/>
    <x v="1"/>
    <n v="16"/>
    <x v="13"/>
    <n v="0"/>
    <x v="1"/>
    <x v="2"/>
    <x v="1"/>
    <x v="9"/>
    <x v="14"/>
    <x v="0"/>
    <x v="1"/>
  </r>
  <r>
    <x v="16"/>
    <x v="0"/>
    <n v="17"/>
    <x v="14"/>
    <n v="1"/>
    <x v="3"/>
    <x v="0"/>
    <x v="0"/>
    <x v="10"/>
    <x v="15"/>
    <x v="0"/>
    <x v="1"/>
  </r>
  <r>
    <x v="17"/>
    <x v="0"/>
    <n v="18"/>
    <x v="15"/>
    <n v="0"/>
    <x v="1"/>
    <x v="2"/>
    <x v="1"/>
    <x v="10"/>
    <x v="16"/>
    <x v="0"/>
    <x v="1"/>
  </r>
  <r>
    <x v="18"/>
    <x v="1"/>
    <n v="19"/>
    <x v="16"/>
    <n v="0"/>
    <x v="0"/>
    <x v="0"/>
    <x v="0"/>
    <x v="11"/>
    <x v="17"/>
    <x v="0"/>
    <x v="1"/>
  </r>
  <r>
    <x v="19"/>
    <x v="1"/>
    <n v="20"/>
    <x v="1"/>
    <n v="0"/>
    <x v="1"/>
    <x v="0"/>
    <x v="1"/>
    <x v="12"/>
    <x v="18"/>
    <x v="0"/>
    <x v="1"/>
  </r>
  <r>
    <x v="20"/>
    <x v="0"/>
    <n v="21"/>
    <x v="17"/>
    <n v="0"/>
    <x v="1"/>
    <x v="2"/>
    <x v="0"/>
    <x v="13"/>
    <x v="19"/>
    <x v="0"/>
    <x v="1"/>
  </r>
  <r>
    <x v="21"/>
    <x v="0"/>
    <n v="22"/>
    <x v="18"/>
    <n v="0"/>
    <x v="1"/>
    <x v="2"/>
    <x v="1"/>
    <x v="14"/>
    <x v="16"/>
    <x v="0"/>
    <x v="1"/>
  </r>
  <r>
    <x v="22"/>
    <x v="1"/>
    <n v="23"/>
    <x v="19"/>
    <n v="0"/>
    <x v="1"/>
    <x v="0"/>
    <x v="1"/>
    <x v="15"/>
    <x v="20"/>
    <x v="0"/>
    <x v="1"/>
  </r>
  <r>
    <x v="23"/>
    <x v="0"/>
    <n v="24"/>
    <x v="20"/>
    <n v="0"/>
    <x v="1"/>
    <x v="1"/>
    <x v="1"/>
    <x v="16"/>
    <x v="21"/>
    <x v="0"/>
    <x v="1"/>
  </r>
  <r>
    <x v="24"/>
    <x v="1"/>
    <n v="25"/>
    <x v="21"/>
    <n v="1"/>
    <x v="2"/>
    <x v="0"/>
    <x v="0"/>
    <x v="17"/>
    <x v="7"/>
    <x v="0"/>
    <x v="1"/>
  </r>
  <r>
    <x v="25"/>
    <x v="1"/>
    <n v="26"/>
    <x v="22"/>
    <n v="5"/>
    <x v="0"/>
    <x v="0"/>
    <x v="1"/>
    <x v="18"/>
    <x v="22"/>
    <x v="0"/>
    <x v="1"/>
  </r>
  <r>
    <x v="26"/>
    <x v="0"/>
    <n v="27"/>
    <x v="23"/>
    <n v="0"/>
    <x v="1"/>
    <x v="0"/>
    <x v="0"/>
    <x v="19"/>
    <x v="18"/>
    <x v="0"/>
    <x v="1"/>
  </r>
  <r>
    <x v="27"/>
    <x v="0"/>
    <n v="28"/>
    <x v="24"/>
    <n v="2"/>
    <x v="2"/>
    <x v="1"/>
    <x v="0"/>
    <x v="19"/>
    <x v="23"/>
    <x v="0"/>
    <x v="1"/>
  </r>
  <r>
    <x v="28"/>
    <x v="1"/>
    <n v="29"/>
    <x v="12"/>
    <n v="0"/>
    <x v="1"/>
    <x v="0"/>
    <x v="1"/>
    <x v="20"/>
    <x v="24"/>
    <x v="0"/>
    <x v="1"/>
  </r>
  <r>
    <x v="29"/>
    <x v="0"/>
    <n v="30"/>
    <x v="20"/>
    <n v="0"/>
    <x v="1"/>
    <x v="0"/>
    <x v="0"/>
    <x v="20"/>
    <x v="25"/>
    <x v="0"/>
    <x v="1"/>
  </r>
  <r>
    <x v="30"/>
    <x v="0"/>
    <n v="31"/>
    <x v="25"/>
    <n v="0"/>
    <x v="1"/>
    <x v="1"/>
    <x v="0"/>
    <x v="21"/>
    <x v="26"/>
    <x v="0"/>
    <x v="1"/>
  </r>
  <r>
    <x v="31"/>
    <x v="1"/>
    <n v="32"/>
    <x v="14"/>
    <n v="0"/>
    <x v="0"/>
    <x v="1"/>
    <x v="1"/>
    <x v="21"/>
    <x v="27"/>
    <x v="0"/>
    <x v="1"/>
  </r>
  <r>
    <x v="32"/>
    <x v="1"/>
    <n v="33"/>
    <x v="21"/>
    <n v="0"/>
    <x v="1"/>
    <x v="0"/>
    <x v="1"/>
    <x v="22"/>
    <x v="28"/>
    <x v="0"/>
    <x v="1"/>
  </r>
  <r>
    <x v="33"/>
    <x v="0"/>
    <n v="34"/>
    <x v="26"/>
    <n v="0"/>
    <x v="1"/>
    <x v="2"/>
    <x v="0"/>
    <x v="22"/>
    <x v="29"/>
    <x v="0"/>
    <x v="1"/>
  </r>
  <r>
    <x v="34"/>
    <x v="0"/>
    <n v="35"/>
    <x v="27"/>
    <n v="0"/>
    <x v="0"/>
    <x v="1"/>
    <x v="0"/>
    <x v="23"/>
    <x v="30"/>
    <x v="0"/>
    <x v="1"/>
  </r>
  <r>
    <x v="35"/>
    <x v="0"/>
    <n v="36"/>
    <x v="20"/>
    <n v="0"/>
    <x v="0"/>
    <x v="1"/>
    <x v="0"/>
    <x v="24"/>
    <x v="31"/>
    <x v="0"/>
    <x v="1"/>
  </r>
  <r>
    <x v="36"/>
    <x v="0"/>
    <n v="37"/>
    <x v="28"/>
    <n v="0"/>
    <x v="1"/>
    <x v="0"/>
    <x v="1"/>
    <x v="25"/>
    <x v="32"/>
    <x v="0"/>
    <x v="1"/>
  </r>
  <r>
    <x v="37"/>
    <x v="0"/>
    <n v="38"/>
    <x v="29"/>
    <n v="0"/>
    <x v="1"/>
    <x v="0"/>
    <x v="0"/>
    <x v="26"/>
    <x v="4"/>
    <x v="0"/>
    <x v="1"/>
  </r>
  <r>
    <x v="38"/>
    <x v="1"/>
    <n v="39"/>
    <x v="22"/>
    <n v="0"/>
    <x v="4"/>
    <x v="0"/>
    <x v="0"/>
    <x v="26"/>
    <x v="17"/>
    <x v="0"/>
    <x v="1"/>
  </r>
  <r>
    <x v="39"/>
    <x v="1"/>
    <n v="40"/>
    <x v="28"/>
    <n v="0"/>
    <x v="0"/>
    <x v="0"/>
    <x v="1"/>
    <x v="27"/>
    <x v="33"/>
    <x v="0"/>
    <x v="1"/>
  </r>
  <r>
    <x v="40"/>
    <x v="1"/>
    <n v="41"/>
    <x v="12"/>
    <n v="0"/>
    <x v="0"/>
    <x v="0"/>
    <x v="0"/>
    <x v="27"/>
    <x v="34"/>
    <x v="0"/>
    <x v="1"/>
  </r>
  <r>
    <x v="41"/>
    <x v="1"/>
    <n v="42"/>
    <x v="12"/>
    <n v="0"/>
    <x v="0"/>
    <x v="2"/>
    <x v="0"/>
    <x v="27"/>
    <x v="35"/>
    <x v="0"/>
    <x v="1"/>
  </r>
  <r>
    <x v="42"/>
    <x v="0"/>
    <n v="43"/>
    <x v="30"/>
    <n v="0"/>
    <x v="1"/>
    <x v="0"/>
    <x v="0"/>
    <x v="27"/>
    <x v="25"/>
    <x v="0"/>
    <x v="1"/>
  </r>
  <r>
    <x v="43"/>
    <x v="1"/>
    <n v="44"/>
    <x v="29"/>
    <n v="2"/>
    <x v="0"/>
    <x v="2"/>
    <x v="1"/>
    <x v="28"/>
    <x v="36"/>
    <x v="0"/>
    <x v="1"/>
  </r>
  <r>
    <x v="44"/>
    <x v="1"/>
    <n v="45"/>
    <x v="31"/>
    <n v="0"/>
    <x v="1"/>
    <x v="0"/>
    <x v="1"/>
    <x v="29"/>
    <x v="24"/>
    <x v="2"/>
    <x v="1"/>
  </r>
  <r>
    <x v="45"/>
    <x v="0"/>
    <n v="46"/>
    <x v="32"/>
    <n v="0"/>
    <x v="1"/>
    <x v="0"/>
    <x v="0"/>
    <x v="29"/>
    <x v="4"/>
    <x v="0"/>
    <x v="1"/>
  </r>
  <r>
    <x v="46"/>
    <x v="0"/>
    <n v="47"/>
    <x v="9"/>
    <n v="0"/>
    <x v="0"/>
    <x v="0"/>
    <x v="0"/>
    <x v="30"/>
    <x v="37"/>
    <x v="0"/>
    <x v="1"/>
  </r>
  <r>
    <x v="47"/>
    <x v="1"/>
    <n v="48"/>
    <x v="21"/>
    <n v="0"/>
    <x v="1"/>
    <x v="0"/>
    <x v="1"/>
    <x v="31"/>
    <x v="28"/>
    <x v="0"/>
    <x v="1"/>
  </r>
  <r>
    <x v="48"/>
    <x v="0"/>
    <n v="49"/>
    <x v="33"/>
    <n v="0"/>
    <x v="4"/>
    <x v="0"/>
    <x v="0"/>
    <x v="32"/>
    <x v="38"/>
    <x v="0"/>
    <x v="1"/>
  </r>
  <r>
    <x v="49"/>
    <x v="1"/>
    <n v="50"/>
    <x v="34"/>
    <n v="0"/>
    <x v="0"/>
    <x v="0"/>
    <x v="0"/>
    <x v="33"/>
    <x v="39"/>
    <x v="0"/>
    <x v="1"/>
  </r>
  <r>
    <x v="50"/>
    <x v="0"/>
    <n v="51"/>
    <x v="35"/>
    <n v="1"/>
    <x v="3"/>
    <x v="0"/>
    <x v="0"/>
    <x v="34"/>
    <x v="40"/>
    <x v="0"/>
    <x v="1"/>
  </r>
  <r>
    <x v="51"/>
    <x v="0"/>
    <n v="52"/>
    <x v="36"/>
    <n v="0"/>
    <x v="1"/>
    <x v="0"/>
    <x v="0"/>
    <x v="35"/>
    <x v="41"/>
    <x v="0"/>
    <x v="1"/>
  </r>
  <r>
    <x v="52"/>
    <x v="1"/>
    <n v="53"/>
    <x v="37"/>
    <n v="0"/>
    <x v="0"/>
    <x v="1"/>
    <x v="1"/>
    <x v="35"/>
    <x v="42"/>
    <x v="0"/>
    <x v="1"/>
  </r>
  <r>
    <x v="53"/>
    <x v="1"/>
    <n v="54"/>
    <x v="4"/>
    <n v="0"/>
    <x v="0"/>
    <x v="2"/>
    <x v="1"/>
    <x v="36"/>
    <x v="19"/>
    <x v="0"/>
    <x v="1"/>
  </r>
  <r>
    <x v="54"/>
    <x v="0"/>
    <n v="55"/>
    <x v="38"/>
    <n v="1"/>
    <x v="1"/>
    <x v="1"/>
    <x v="0"/>
    <x v="37"/>
    <x v="43"/>
    <x v="0"/>
    <x v="1"/>
  </r>
  <r>
    <x v="55"/>
    <x v="0"/>
    <n v="56"/>
    <x v="39"/>
    <n v="0"/>
    <x v="1"/>
    <x v="1"/>
    <x v="1"/>
    <x v="38"/>
    <x v="21"/>
    <x v="0"/>
    <x v="1"/>
  </r>
  <r>
    <x v="56"/>
    <x v="1"/>
    <n v="57"/>
    <x v="40"/>
    <n v="0"/>
    <x v="1"/>
    <x v="2"/>
    <x v="1"/>
    <x v="39"/>
    <x v="29"/>
    <x v="0"/>
    <x v="1"/>
  </r>
  <r>
    <x v="57"/>
    <x v="0"/>
    <n v="58"/>
    <x v="41"/>
    <n v="0"/>
    <x v="1"/>
    <x v="0"/>
    <x v="0"/>
    <x v="40"/>
    <x v="32"/>
    <x v="0"/>
    <x v="1"/>
  </r>
  <r>
    <x v="58"/>
    <x v="1"/>
    <n v="59"/>
    <x v="41"/>
    <n v="2"/>
    <x v="0"/>
    <x v="2"/>
    <x v="1"/>
    <x v="41"/>
    <x v="44"/>
    <x v="0"/>
    <x v="1"/>
  </r>
  <r>
    <x v="59"/>
    <x v="0"/>
    <n v="60"/>
    <x v="14"/>
    <n v="2"/>
    <x v="5"/>
    <x v="0"/>
    <x v="0"/>
    <x v="42"/>
    <x v="45"/>
    <x v="0"/>
    <x v="1"/>
  </r>
  <r>
    <x v="60"/>
    <x v="0"/>
    <n v="61"/>
    <x v="13"/>
    <n v="0"/>
    <x v="1"/>
    <x v="0"/>
    <x v="0"/>
    <x v="43"/>
    <x v="32"/>
    <x v="0"/>
    <x v="1"/>
  </r>
  <r>
    <x v="61"/>
    <x v="1"/>
    <n v="62"/>
    <x v="8"/>
    <n v="0"/>
    <x v="1"/>
    <x v="1"/>
    <x v="1"/>
    <x v="43"/>
    <x v="46"/>
    <x v="0"/>
    <x v="1"/>
  </r>
  <r>
    <x v="62"/>
    <x v="0"/>
    <n v="63"/>
    <x v="30"/>
    <n v="0"/>
    <x v="0"/>
    <x v="1"/>
    <x v="0"/>
    <x v="44"/>
    <x v="47"/>
    <x v="0"/>
    <x v="1"/>
  </r>
  <r>
    <x v="63"/>
    <x v="0"/>
    <n v="64"/>
    <x v="39"/>
    <n v="2"/>
    <x v="2"/>
    <x v="0"/>
    <x v="0"/>
    <x v="45"/>
    <x v="48"/>
    <x v="0"/>
    <x v="1"/>
  </r>
  <r>
    <x v="64"/>
    <x v="0"/>
    <n v="65"/>
    <x v="29"/>
    <n v="0"/>
    <x v="1"/>
    <x v="1"/>
    <x v="0"/>
    <x v="46"/>
    <x v="26"/>
    <x v="0"/>
    <x v="1"/>
  </r>
  <r>
    <x v="65"/>
    <x v="0"/>
    <n v="66"/>
    <x v="22"/>
    <n v="1"/>
    <x v="0"/>
    <x v="0"/>
    <x v="1"/>
    <x v="47"/>
    <x v="49"/>
    <x v="0"/>
    <x v="1"/>
  </r>
  <r>
    <x v="66"/>
    <x v="1"/>
    <n v="67"/>
    <x v="4"/>
    <n v="0"/>
    <x v="1"/>
    <x v="2"/>
    <x v="1"/>
    <x v="48"/>
    <x v="29"/>
    <x v="0"/>
    <x v="1"/>
  </r>
  <r>
    <x v="67"/>
    <x v="0"/>
    <n v="68"/>
    <x v="40"/>
    <n v="0"/>
    <x v="1"/>
    <x v="0"/>
    <x v="0"/>
    <x v="48"/>
    <x v="50"/>
    <x v="0"/>
    <x v="1"/>
  </r>
  <r>
    <x v="68"/>
    <x v="1"/>
    <n v="69"/>
    <x v="42"/>
    <n v="2"/>
    <x v="3"/>
    <x v="0"/>
    <x v="1"/>
    <x v="49"/>
    <x v="2"/>
    <x v="0"/>
    <x v="1"/>
  </r>
  <r>
    <x v="69"/>
    <x v="0"/>
    <n v="70"/>
    <x v="2"/>
    <n v="0"/>
    <x v="4"/>
    <x v="0"/>
    <x v="0"/>
    <x v="50"/>
    <x v="51"/>
    <x v="0"/>
    <x v="0"/>
  </r>
  <r>
    <x v="70"/>
    <x v="0"/>
    <n v="71"/>
    <x v="43"/>
    <n v="0"/>
    <x v="1"/>
    <x v="2"/>
    <x v="0"/>
    <x v="50"/>
    <x v="29"/>
    <x v="0"/>
    <x v="0"/>
  </r>
  <r>
    <x v="71"/>
    <x v="1"/>
    <n v="72"/>
    <x v="22"/>
    <n v="2"/>
    <x v="5"/>
    <x v="0"/>
    <x v="0"/>
    <x v="51"/>
    <x v="45"/>
    <x v="0"/>
    <x v="0"/>
  </r>
  <r>
    <x v="72"/>
    <x v="0"/>
    <n v="73"/>
    <x v="42"/>
    <n v="0"/>
    <x v="1"/>
    <x v="2"/>
    <x v="0"/>
    <x v="52"/>
    <x v="52"/>
    <x v="0"/>
    <x v="1"/>
  </r>
  <r>
    <x v="73"/>
    <x v="0"/>
    <n v="74"/>
    <x v="22"/>
    <n v="0"/>
    <x v="0"/>
    <x v="0"/>
    <x v="0"/>
    <x v="53"/>
    <x v="53"/>
    <x v="0"/>
    <x v="0"/>
  </r>
  <r>
    <x v="74"/>
    <x v="0"/>
    <n v="75"/>
    <x v="4"/>
    <n v="0"/>
    <x v="1"/>
    <x v="0"/>
    <x v="1"/>
    <x v="54"/>
    <x v="54"/>
    <x v="0"/>
    <x v="0"/>
  </r>
  <r>
    <x v="75"/>
    <x v="0"/>
    <n v="76"/>
    <x v="26"/>
    <n v="0"/>
    <x v="1"/>
    <x v="0"/>
    <x v="0"/>
    <x v="55"/>
    <x v="55"/>
    <x v="0"/>
    <x v="0"/>
  </r>
  <r>
    <x v="76"/>
    <x v="0"/>
    <n v="77"/>
    <x v="13"/>
    <n v="0"/>
    <x v="1"/>
    <x v="0"/>
    <x v="0"/>
    <x v="55"/>
    <x v="25"/>
    <x v="0"/>
    <x v="0"/>
  </r>
  <r>
    <x v="77"/>
    <x v="0"/>
    <n v="78"/>
    <x v="44"/>
    <n v="0"/>
    <x v="1"/>
    <x v="0"/>
    <x v="0"/>
    <x v="55"/>
    <x v="4"/>
    <x v="0"/>
    <x v="0"/>
  </r>
  <r>
    <x v="78"/>
    <x v="0"/>
    <n v="79"/>
    <x v="45"/>
    <n v="2"/>
    <x v="1"/>
    <x v="2"/>
    <x v="1"/>
    <x v="55"/>
    <x v="56"/>
    <x v="0"/>
    <x v="0"/>
  </r>
  <r>
    <x v="79"/>
    <x v="1"/>
    <n v="80"/>
    <x v="46"/>
    <n v="0"/>
    <x v="1"/>
    <x v="0"/>
    <x v="1"/>
    <x v="56"/>
    <x v="57"/>
    <x v="0"/>
    <x v="0"/>
  </r>
  <r>
    <x v="80"/>
    <x v="0"/>
    <n v="81"/>
    <x v="47"/>
    <n v="0"/>
    <x v="1"/>
    <x v="0"/>
    <x v="0"/>
    <x v="57"/>
    <x v="58"/>
    <x v="0"/>
    <x v="0"/>
  </r>
  <r>
    <x v="81"/>
    <x v="0"/>
    <n v="82"/>
    <x v="20"/>
    <n v="0"/>
    <x v="1"/>
    <x v="0"/>
    <x v="1"/>
    <x v="58"/>
    <x v="59"/>
    <x v="0"/>
    <x v="0"/>
  </r>
  <r>
    <x v="82"/>
    <x v="1"/>
    <n v="83"/>
    <x v="48"/>
    <n v="0"/>
    <x v="1"/>
    <x v="0"/>
    <x v="1"/>
    <x v="59"/>
    <x v="60"/>
    <x v="0"/>
    <x v="0"/>
  </r>
  <r>
    <x v="83"/>
    <x v="0"/>
    <n v="84"/>
    <x v="8"/>
    <n v="0"/>
    <x v="1"/>
    <x v="1"/>
    <x v="0"/>
    <x v="60"/>
    <x v="61"/>
    <x v="0"/>
    <x v="0"/>
  </r>
  <r>
    <x v="84"/>
    <x v="1"/>
    <n v="85"/>
    <x v="5"/>
    <n v="0"/>
    <x v="1"/>
    <x v="2"/>
    <x v="1"/>
    <x v="61"/>
    <x v="29"/>
    <x v="0"/>
    <x v="0"/>
  </r>
  <r>
    <x v="85"/>
    <x v="1"/>
    <n v="86"/>
    <x v="49"/>
    <n v="0"/>
    <x v="2"/>
    <x v="0"/>
    <x v="1"/>
    <x v="62"/>
    <x v="62"/>
    <x v="3"/>
    <x v="0"/>
  </r>
  <r>
    <x v="86"/>
    <x v="0"/>
    <n v="87"/>
    <x v="20"/>
    <n v="3"/>
    <x v="0"/>
    <x v="0"/>
    <x v="0"/>
    <x v="63"/>
    <x v="63"/>
    <x v="0"/>
    <x v="0"/>
  </r>
  <r>
    <x v="87"/>
    <x v="0"/>
    <n v="88"/>
    <x v="50"/>
    <n v="0"/>
    <x v="1"/>
    <x v="0"/>
    <x v="0"/>
    <x v="64"/>
    <x v="4"/>
    <x v="0"/>
    <x v="0"/>
  </r>
  <r>
    <x v="88"/>
    <x v="1"/>
    <n v="89"/>
    <x v="51"/>
    <n v="2"/>
    <x v="2"/>
    <x v="1"/>
    <x v="1"/>
    <x v="65"/>
    <x v="23"/>
    <x v="0"/>
    <x v="0"/>
  </r>
  <r>
    <x v="89"/>
    <x v="0"/>
    <n v="90"/>
    <x v="20"/>
    <n v="0"/>
    <x v="1"/>
    <x v="0"/>
    <x v="0"/>
    <x v="65"/>
    <x v="4"/>
    <x v="0"/>
    <x v="0"/>
  </r>
  <r>
    <x v="90"/>
    <x v="0"/>
    <n v="91"/>
    <x v="1"/>
    <n v="0"/>
    <x v="1"/>
    <x v="0"/>
    <x v="0"/>
    <x v="66"/>
    <x v="4"/>
    <x v="0"/>
    <x v="0"/>
  </r>
  <r>
    <x v="91"/>
    <x v="0"/>
    <n v="92"/>
    <x v="22"/>
    <n v="0"/>
    <x v="1"/>
    <x v="0"/>
    <x v="0"/>
    <x v="67"/>
    <x v="13"/>
    <x v="0"/>
    <x v="0"/>
  </r>
  <r>
    <x v="92"/>
    <x v="0"/>
    <n v="93"/>
    <x v="10"/>
    <n v="0"/>
    <x v="0"/>
    <x v="1"/>
    <x v="0"/>
    <x v="68"/>
    <x v="64"/>
    <x v="0"/>
    <x v="0"/>
  </r>
  <r>
    <x v="93"/>
    <x v="0"/>
    <n v="94"/>
    <x v="9"/>
    <n v="2"/>
    <x v="0"/>
    <x v="0"/>
    <x v="0"/>
    <x v="69"/>
    <x v="65"/>
    <x v="0"/>
    <x v="0"/>
  </r>
  <r>
    <x v="94"/>
    <x v="0"/>
    <n v="95"/>
    <x v="9"/>
    <n v="0"/>
    <x v="1"/>
    <x v="0"/>
    <x v="0"/>
    <x v="70"/>
    <x v="0"/>
    <x v="0"/>
    <x v="0"/>
  </r>
  <r>
    <x v="95"/>
    <x v="0"/>
    <n v="96"/>
    <x v="13"/>
    <n v="0"/>
    <x v="1"/>
    <x v="0"/>
    <x v="0"/>
    <x v="71"/>
    <x v="4"/>
    <x v="0"/>
    <x v="0"/>
  </r>
  <r>
    <x v="96"/>
    <x v="0"/>
    <n v="97"/>
    <x v="2"/>
    <n v="0"/>
    <x v="1"/>
    <x v="1"/>
    <x v="0"/>
    <x v="72"/>
    <x v="66"/>
    <x v="0"/>
    <x v="0"/>
  </r>
  <r>
    <x v="97"/>
    <x v="0"/>
    <n v="98"/>
    <x v="48"/>
    <n v="1"/>
    <x v="1"/>
    <x v="1"/>
    <x v="1"/>
    <x v="73"/>
    <x v="67"/>
    <x v="0"/>
    <x v="0"/>
  </r>
  <r>
    <x v="98"/>
    <x v="1"/>
    <n v="99"/>
    <x v="52"/>
    <n v="1"/>
    <x v="1"/>
    <x v="2"/>
    <x v="1"/>
    <x v="74"/>
    <x v="68"/>
    <x v="0"/>
    <x v="2"/>
  </r>
  <r>
    <x v="99"/>
    <x v="0"/>
    <n v="100"/>
    <x v="25"/>
    <n v="0"/>
    <x v="0"/>
    <x v="2"/>
    <x v="0"/>
    <x v="75"/>
    <x v="19"/>
    <x v="0"/>
    <x v="0"/>
  </r>
  <r>
    <x v="100"/>
    <x v="1"/>
    <n v="101"/>
    <x v="22"/>
    <n v="0"/>
    <x v="1"/>
    <x v="0"/>
    <x v="0"/>
    <x v="75"/>
    <x v="25"/>
    <x v="0"/>
    <x v="0"/>
  </r>
  <r>
    <x v="101"/>
    <x v="0"/>
    <n v="102"/>
    <x v="47"/>
    <n v="0"/>
    <x v="1"/>
    <x v="0"/>
    <x v="0"/>
    <x v="76"/>
    <x v="25"/>
    <x v="4"/>
    <x v="0"/>
  </r>
  <r>
    <x v="102"/>
    <x v="0"/>
    <n v="103"/>
    <x v="49"/>
    <n v="1"/>
    <x v="1"/>
    <x v="1"/>
    <x v="0"/>
    <x v="76"/>
    <x v="69"/>
    <x v="4"/>
    <x v="0"/>
  </r>
  <r>
    <x v="103"/>
    <x v="0"/>
    <n v="104"/>
    <x v="43"/>
    <n v="0"/>
    <x v="1"/>
    <x v="0"/>
    <x v="0"/>
    <x v="77"/>
    <x v="70"/>
    <x v="5"/>
    <x v="0"/>
  </r>
  <r>
    <x v="104"/>
    <x v="0"/>
    <n v="105"/>
    <x v="5"/>
    <n v="0"/>
    <x v="4"/>
    <x v="0"/>
    <x v="0"/>
    <x v="78"/>
    <x v="2"/>
    <x v="6"/>
    <x v="0"/>
  </r>
  <r>
    <x v="105"/>
    <x v="0"/>
    <n v="106"/>
    <x v="53"/>
    <n v="0"/>
    <x v="1"/>
    <x v="0"/>
    <x v="0"/>
    <x v="79"/>
    <x v="25"/>
    <x v="7"/>
    <x v="1"/>
  </r>
  <r>
    <x v="106"/>
    <x v="1"/>
    <n v="107"/>
    <x v="33"/>
    <n v="0"/>
    <x v="1"/>
    <x v="0"/>
    <x v="1"/>
    <x v="80"/>
    <x v="55"/>
    <x v="8"/>
    <x v="1"/>
  </r>
  <r>
    <x v="107"/>
    <x v="0"/>
    <n v="108"/>
    <x v="30"/>
    <n v="0"/>
    <x v="1"/>
    <x v="0"/>
    <x v="1"/>
    <x v="81"/>
    <x v="71"/>
    <x v="9"/>
    <x v="1"/>
  </r>
  <r>
    <x v="108"/>
    <x v="0"/>
    <n v="109"/>
    <x v="54"/>
    <n v="0"/>
    <x v="1"/>
    <x v="0"/>
    <x v="0"/>
    <x v="81"/>
    <x v="25"/>
    <x v="10"/>
    <x v="1"/>
  </r>
  <r>
    <x v="109"/>
    <x v="1"/>
    <n v="110"/>
    <x v="55"/>
    <n v="0"/>
    <x v="0"/>
    <x v="0"/>
    <x v="1"/>
    <x v="82"/>
    <x v="72"/>
    <x v="11"/>
    <x v="0"/>
  </r>
  <r>
    <x v="110"/>
    <x v="0"/>
    <n v="111"/>
    <x v="6"/>
    <n v="0"/>
    <x v="1"/>
    <x v="1"/>
    <x v="0"/>
    <x v="83"/>
    <x v="31"/>
    <x v="12"/>
    <x v="1"/>
  </r>
  <r>
    <x v="111"/>
    <x v="1"/>
    <n v="112"/>
    <x v="53"/>
    <n v="0"/>
    <x v="0"/>
    <x v="0"/>
    <x v="0"/>
    <x v="84"/>
    <x v="53"/>
    <x v="13"/>
    <x v="1"/>
  </r>
  <r>
    <x v="112"/>
    <x v="0"/>
    <n v="113"/>
    <x v="2"/>
    <n v="0"/>
    <x v="1"/>
    <x v="0"/>
    <x v="0"/>
    <x v="85"/>
    <x v="4"/>
    <x v="14"/>
    <x v="1"/>
  </r>
  <r>
    <x v="113"/>
    <x v="1"/>
    <n v="114"/>
    <x v="43"/>
    <n v="0"/>
    <x v="0"/>
    <x v="0"/>
    <x v="0"/>
    <x v="86"/>
    <x v="73"/>
    <x v="15"/>
    <x v="1"/>
  </r>
  <r>
    <x v="114"/>
    <x v="1"/>
    <n v="115"/>
    <x v="33"/>
    <n v="0"/>
    <x v="1"/>
    <x v="0"/>
    <x v="0"/>
    <x v="86"/>
    <x v="74"/>
    <x v="15"/>
    <x v="1"/>
  </r>
  <r>
    <x v="115"/>
    <x v="0"/>
    <n v="116"/>
    <x v="56"/>
    <n v="0"/>
    <x v="1"/>
    <x v="0"/>
    <x v="0"/>
    <x v="87"/>
    <x v="2"/>
    <x v="0"/>
    <x v="0"/>
  </r>
  <r>
    <x v="116"/>
    <x v="0"/>
    <n v="117"/>
    <x v="57"/>
    <n v="0"/>
    <x v="1"/>
    <x v="0"/>
    <x v="0"/>
    <x v="88"/>
    <x v="28"/>
    <x v="0"/>
    <x v="2"/>
  </r>
  <r>
    <x v="117"/>
    <x v="0"/>
    <n v="118"/>
    <x v="39"/>
    <n v="0"/>
    <x v="0"/>
    <x v="2"/>
    <x v="0"/>
    <x v="89"/>
    <x v="35"/>
    <x v="16"/>
    <x v="0"/>
  </r>
  <r>
    <x v="118"/>
    <x v="0"/>
    <n v="119"/>
    <x v="18"/>
    <n v="1"/>
    <x v="1"/>
    <x v="1"/>
    <x v="0"/>
    <x v="89"/>
    <x v="75"/>
    <x v="17"/>
    <x v="0"/>
  </r>
  <r>
    <x v="119"/>
    <x v="1"/>
    <n v="120"/>
    <x v="26"/>
    <n v="2"/>
    <x v="3"/>
    <x v="0"/>
    <x v="0"/>
    <x v="90"/>
    <x v="12"/>
    <x v="18"/>
    <x v="1"/>
  </r>
  <r>
    <x v="120"/>
    <x v="0"/>
    <n v="121"/>
    <x v="54"/>
    <n v="0"/>
    <x v="4"/>
    <x v="2"/>
    <x v="0"/>
    <x v="91"/>
    <x v="52"/>
    <x v="19"/>
    <x v="1"/>
  </r>
  <r>
    <x v="121"/>
    <x v="0"/>
    <n v="122"/>
    <x v="2"/>
    <n v="0"/>
    <x v="1"/>
    <x v="0"/>
    <x v="0"/>
    <x v="92"/>
    <x v="4"/>
    <x v="20"/>
    <x v="1"/>
  </r>
  <r>
    <x v="122"/>
    <x v="0"/>
    <n v="123"/>
    <x v="46"/>
    <n v="0"/>
    <x v="0"/>
    <x v="2"/>
    <x v="0"/>
    <x v="93"/>
    <x v="9"/>
    <x v="21"/>
    <x v="0"/>
  </r>
  <r>
    <x v="123"/>
    <x v="1"/>
    <n v="124"/>
    <x v="48"/>
    <n v="0"/>
    <x v="1"/>
    <x v="2"/>
    <x v="1"/>
    <x v="93"/>
    <x v="16"/>
    <x v="22"/>
    <x v="0"/>
  </r>
  <r>
    <x v="124"/>
    <x v="0"/>
    <n v="125"/>
    <x v="34"/>
    <n v="1"/>
    <x v="1"/>
    <x v="1"/>
    <x v="0"/>
    <x v="93"/>
    <x v="69"/>
    <x v="23"/>
    <x v="0"/>
  </r>
  <r>
    <x v="125"/>
    <x v="0"/>
    <n v="126"/>
    <x v="58"/>
    <n v="0"/>
    <x v="0"/>
    <x v="0"/>
    <x v="1"/>
    <x v="94"/>
    <x v="33"/>
    <x v="24"/>
    <x v="0"/>
  </r>
  <r>
    <x v="126"/>
    <x v="0"/>
    <n v="127"/>
    <x v="59"/>
    <n v="0"/>
    <x v="1"/>
    <x v="0"/>
    <x v="0"/>
    <x v="94"/>
    <x v="28"/>
    <x v="24"/>
    <x v="0"/>
  </r>
  <r>
    <x v="127"/>
    <x v="0"/>
    <n v="128"/>
    <x v="44"/>
    <n v="0"/>
    <x v="1"/>
    <x v="0"/>
    <x v="1"/>
    <x v="95"/>
    <x v="76"/>
    <x v="25"/>
    <x v="0"/>
  </r>
  <r>
    <x v="128"/>
    <x v="1"/>
    <n v="129"/>
    <x v="45"/>
    <n v="1"/>
    <x v="0"/>
    <x v="0"/>
    <x v="1"/>
    <x v="96"/>
    <x v="77"/>
    <x v="26"/>
    <x v="1"/>
  </r>
  <r>
    <x v="129"/>
    <x v="0"/>
    <n v="130"/>
    <x v="9"/>
    <n v="0"/>
    <x v="1"/>
    <x v="0"/>
    <x v="0"/>
    <x v="97"/>
    <x v="78"/>
    <x v="27"/>
    <x v="1"/>
  </r>
  <r>
    <x v="130"/>
    <x v="0"/>
    <n v="131"/>
    <x v="9"/>
    <n v="0"/>
    <x v="1"/>
    <x v="0"/>
    <x v="0"/>
    <x v="98"/>
    <x v="25"/>
    <x v="0"/>
    <x v="2"/>
  </r>
  <r>
    <x v="131"/>
    <x v="0"/>
    <n v="132"/>
    <x v="9"/>
    <n v="0"/>
    <x v="1"/>
    <x v="0"/>
    <x v="0"/>
    <x v="99"/>
    <x v="79"/>
    <x v="0"/>
    <x v="2"/>
  </r>
  <r>
    <x v="132"/>
    <x v="1"/>
    <n v="133"/>
    <x v="4"/>
    <n v="0"/>
    <x v="0"/>
    <x v="0"/>
    <x v="0"/>
    <x v="100"/>
    <x v="80"/>
    <x v="0"/>
    <x v="2"/>
  </r>
  <r>
    <x v="133"/>
    <x v="1"/>
    <n v="134"/>
    <x v="9"/>
    <n v="0"/>
    <x v="0"/>
    <x v="2"/>
    <x v="1"/>
    <x v="101"/>
    <x v="19"/>
    <x v="0"/>
    <x v="0"/>
  </r>
  <r>
    <x v="134"/>
    <x v="0"/>
    <n v="135"/>
    <x v="10"/>
    <n v="0"/>
    <x v="1"/>
    <x v="2"/>
    <x v="0"/>
    <x v="102"/>
    <x v="16"/>
    <x v="28"/>
    <x v="1"/>
  </r>
  <r>
    <x v="135"/>
    <x v="0"/>
    <n v="136"/>
    <x v="42"/>
    <n v="0"/>
    <x v="1"/>
    <x v="2"/>
    <x v="0"/>
    <x v="102"/>
    <x v="81"/>
    <x v="29"/>
    <x v="1"/>
  </r>
  <r>
    <x v="136"/>
    <x v="1"/>
    <n v="137"/>
    <x v="5"/>
    <n v="2"/>
    <x v="1"/>
    <x v="1"/>
    <x v="1"/>
    <x v="103"/>
    <x v="82"/>
    <x v="30"/>
    <x v="0"/>
  </r>
  <r>
    <x v="137"/>
    <x v="0"/>
    <n v="138"/>
    <x v="30"/>
    <n v="0"/>
    <x v="0"/>
    <x v="1"/>
    <x v="0"/>
    <x v="104"/>
    <x v="3"/>
    <x v="0"/>
    <x v="1"/>
  </r>
  <r>
    <x v="138"/>
    <x v="0"/>
    <n v="139"/>
    <x v="14"/>
    <n v="0"/>
    <x v="1"/>
    <x v="0"/>
    <x v="0"/>
    <x v="104"/>
    <x v="83"/>
    <x v="31"/>
    <x v="1"/>
  </r>
  <r>
    <x v="139"/>
    <x v="0"/>
    <n v="140"/>
    <x v="59"/>
    <n v="0"/>
    <x v="1"/>
    <x v="1"/>
    <x v="0"/>
    <x v="104"/>
    <x v="84"/>
    <x v="32"/>
    <x v="1"/>
  </r>
  <r>
    <x v="140"/>
    <x v="1"/>
    <n v="141"/>
    <x v="60"/>
    <n v="2"/>
    <x v="1"/>
    <x v="0"/>
    <x v="0"/>
    <x v="104"/>
    <x v="49"/>
    <x v="32"/>
    <x v="1"/>
  </r>
  <r>
    <x v="141"/>
    <x v="1"/>
    <n v="142"/>
    <x v="60"/>
    <n v="0"/>
    <x v="1"/>
    <x v="0"/>
    <x v="1"/>
    <x v="105"/>
    <x v="28"/>
    <x v="33"/>
    <x v="1"/>
  </r>
  <r>
    <x v="142"/>
    <x v="1"/>
    <n v="143"/>
    <x v="61"/>
    <n v="0"/>
    <x v="0"/>
    <x v="0"/>
    <x v="1"/>
    <x v="105"/>
    <x v="62"/>
    <x v="33"/>
    <x v="1"/>
  </r>
  <r>
    <x v="143"/>
    <x v="0"/>
    <n v="144"/>
    <x v="62"/>
    <n v="0"/>
    <x v="1"/>
    <x v="0"/>
    <x v="0"/>
    <x v="106"/>
    <x v="85"/>
    <x v="34"/>
    <x v="0"/>
  </r>
  <r>
    <x v="144"/>
    <x v="0"/>
    <n v="145"/>
    <x v="41"/>
    <n v="0"/>
    <x v="1"/>
    <x v="2"/>
    <x v="0"/>
    <x v="107"/>
    <x v="86"/>
    <x v="35"/>
    <x v="0"/>
  </r>
  <r>
    <x v="145"/>
    <x v="0"/>
    <n v="146"/>
    <x v="60"/>
    <n v="1"/>
    <x v="0"/>
    <x v="2"/>
    <x v="0"/>
    <x v="108"/>
    <x v="87"/>
    <x v="36"/>
    <x v="0"/>
  </r>
  <r>
    <x v="146"/>
    <x v="0"/>
    <n v="147"/>
    <x v="53"/>
    <n v="0"/>
    <x v="1"/>
    <x v="0"/>
    <x v="1"/>
    <x v="109"/>
    <x v="88"/>
    <x v="36"/>
    <x v="0"/>
  </r>
  <r>
    <x v="147"/>
    <x v="1"/>
    <n v="148"/>
    <x v="63"/>
    <n v="2"/>
    <x v="4"/>
    <x v="0"/>
    <x v="0"/>
    <x v="110"/>
    <x v="63"/>
    <x v="37"/>
    <x v="0"/>
  </r>
  <r>
    <x v="148"/>
    <x v="0"/>
    <n v="149"/>
    <x v="14"/>
    <n v="2"/>
    <x v="1"/>
    <x v="2"/>
    <x v="0"/>
    <x v="110"/>
    <x v="19"/>
    <x v="37"/>
    <x v="0"/>
  </r>
  <r>
    <x v="149"/>
    <x v="0"/>
    <n v="150"/>
    <x v="54"/>
    <n v="0"/>
    <x v="1"/>
    <x v="2"/>
    <x v="0"/>
    <x v="111"/>
    <x v="16"/>
    <x v="38"/>
    <x v="1"/>
  </r>
  <r>
    <x v="150"/>
    <x v="0"/>
    <n v="151"/>
    <x v="4"/>
    <n v="0"/>
    <x v="1"/>
    <x v="2"/>
    <x v="0"/>
    <x v="112"/>
    <x v="89"/>
    <x v="0"/>
    <x v="0"/>
  </r>
  <r>
    <x v="151"/>
    <x v="1"/>
    <n v="152"/>
    <x v="26"/>
    <n v="0"/>
    <x v="0"/>
    <x v="1"/>
    <x v="1"/>
    <x v="112"/>
    <x v="90"/>
    <x v="39"/>
    <x v="0"/>
  </r>
  <r>
    <x v="152"/>
    <x v="0"/>
    <n v="153"/>
    <x v="64"/>
    <n v="0"/>
    <x v="1"/>
    <x v="0"/>
    <x v="0"/>
    <x v="113"/>
    <x v="4"/>
    <x v="40"/>
    <x v="2"/>
  </r>
  <r>
    <x v="153"/>
    <x v="0"/>
    <n v="154"/>
    <x v="1"/>
    <n v="2"/>
    <x v="1"/>
    <x v="0"/>
    <x v="0"/>
    <x v="113"/>
    <x v="80"/>
    <x v="40"/>
    <x v="2"/>
  </r>
  <r>
    <x v="154"/>
    <x v="0"/>
    <n v="155"/>
    <x v="21"/>
    <n v="0"/>
    <x v="1"/>
    <x v="0"/>
    <x v="0"/>
    <x v="114"/>
    <x v="91"/>
    <x v="41"/>
    <x v="0"/>
  </r>
  <r>
    <x v="155"/>
    <x v="0"/>
    <n v="156"/>
    <x v="38"/>
    <n v="1"/>
    <x v="1"/>
    <x v="1"/>
    <x v="0"/>
    <x v="114"/>
    <x v="92"/>
    <x v="41"/>
    <x v="0"/>
  </r>
  <r>
    <x v="156"/>
    <x v="1"/>
    <n v="157"/>
    <x v="22"/>
    <n v="0"/>
    <x v="1"/>
    <x v="0"/>
    <x v="1"/>
    <x v="115"/>
    <x v="93"/>
    <x v="42"/>
    <x v="0"/>
  </r>
  <r>
    <x v="157"/>
    <x v="0"/>
    <n v="158"/>
    <x v="43"/>
    <n v="0"/>
    <x v="1"/>
    <x v="0"/>
    <x v="0"/>
    <x v="116"/>
    <x v="4"/>
    <x v="43"/>
    <x v="0"/>
  </r>
  <r>
    <x v="158"/>
    <x v="0"/>
    <n v="159"/>
    <x v="50"/>
    <n v="0"/>
    <x v="1"/>
    <x v="0"/>
    <x v="0"/>
    <x v="116"/>
    <x v="51"/>
    <x v="43"/>
    <x v="0"/>
  </r>
  <r>
    <x v="159"/>
    <x v="0"/>
    <n v="160"/>
    <x v="30"/>
    <n v="2"/>
    <x v="6"/>
    <x v="0"/>
    <x v="0"/>
    <x v="116"/>
    <x v="94"/>
    <x v="43"/>
    <x v="0"/>
  </r>
  <r>
    <x v="160"/>
    <x v="0"/>
    <n v="161"/>
    <x v="0"/>
    <n v="1"/>
    <x v="1"/>
    <x v="0"/>
    <x v="0"/>
    <x v="116"/>
    <x v="95"/>
    <x v="43"/>
    <x v="0"/>
  </r>
  <r>
    <x v="161"/>
    <x v="1"/>
    <n v="162"/>
    <x v="53"/>
    <n v="0"/>
    <x v="1"/>
    <x v="2"/>
    <x v="1"/>
    <x v="117"/>
    <x v="96"/>
    <x v="44"/>
    <x v="0"/>
  </r>
  <r>
    <x v="162"/>
    <x v="0"/>
    <n v="163"/>
    <x v="21"/>
    <n v="0"/>
    <x v="1"/>
    <x v="0"/>
    <x v="0"/>
    <x v="118"/>
    <x v="71"/>
    <x v="0"/>
    <x v="0"/>
  </r>
  <r>
    <x v="163"/>
    <x v="0"/>
    <n v="164"/>
    <x v="65"/>
    <n v="0"/>
    <x v="1"/>
    <x v="0"/>
    <x v="0"/>
    <x v="119"/>
    <x v="51"/>
    <x v="45"/>
    <x v="0"/>
  </r>
  <r>
    <x v="164"/>
    <x v="0"/>
    <n v="165"/>
    <x v="61"/>
    <n v="1"/>
    <x v="3"/>
    <x v="0"/>
    <x v="0"/>
    <x v="120"/>
    <x v="40"/>
    <x v="46"/>
    <x v="0"/>
  </r>
  <r>
    <x v="165"/>
    <x v="0"/>
    <n v="166"/>
    <x v="53"/>
    <n v="2"/>
    <x v="1"/>
    <x v="0"/>
    <x v="1"/>
    <x v="120"/>
    <x v="97"/>
    <x v="46"/>
    <x v="0"/>
  </r>
  <r>
    <x v="166"/>
    <x v="1"/>
    <n v="167"/>
    <x v="34"/>
    <n v="1"/>
    <x v="1"/>
    <x v="1"/>
    <x v="1"/>
    <x v="121"/>
    <x v="98"/>
    <x v="0"/>
    <x v="0"/>
  </r>
  <r>
    <x v="167"/>
    <x v="1"/>
    <n v="168"/>
    <x v="29"/>
    <n v="4"/>
    <x v="0"/>
    <x v="0"/>
    <x v="0"/>
    <x v="122"/>
    <x v="48"/>
    <x v="47"/>
    <x v="0"/>
  </r>
  <r>
    <x v="168"/>
    <x v="0"/>
    <n v="169"/>
    <x v="22"/>
    <n v="0"/>
    <x v="1"/>
    <x v="1"/>
    <x v="0"/>
    <x v="122"/>
    <x v="99"/>
    <x v="47"/>
    <x v="0"/>
  </r>
  <r>
    <x v="169"/>
    <x v="0"/>
    <n v="170"/>
    <x v="52"/>
    <n v="0"/>
    <x v="1"/>
    <x v="0"/>
    <x v="0"/>
    <x v="122"/>
    <x v="54"/>
    <x v="48"/>
    <x v="0"/>
  </r>
  <r>
    <x v="170"/>
    <x v="0"/>
    <n v="171"/>
    <x v="1"/>
    <n v="0"/>
    <x v="1"/>
    <x v="1"/>
    <x v="0"/>
    <x v="123"/>
    <x v="100"/>
    <x v="0"/>
    <x v="0"/>
  </r>
  <r>
    <x v="171"/>
    <x v="0"/>
    <n v="172"/>
    <x v="66"/>
    <n v="1"/>
    <x v="3"/>
    <x v="0"/>
    <x v="0"/>
    <x v="123"/>
    <x v="15"/>
    <x v="0"/>
    <x v="0"/>
  </r>
  <r>
    <x v="172"/>
    <x v="1"/>
    <n v="173"/>
    <x v="64"/>
    <n v="1"/>
    <x v="0"/>
    <x v="0"/>
    <x v="1"/>
    <x v="124"/>
    <x v="8"/>
    <x v="0"/>
    <x v="0"/>
  </r>
  <r>
    <x v="173"/>
    <x v="0"/>
    <n v="174"/>
    <x v="15"/>
    <n v="0"/>
    <x v="1"/>
    <x v="0"/>
    <x v="0"/>
    <x v="125"/>
    <x v="2"/>
    <x v="49"/>
    <x v="0"/>
  </r>
  <r>
    <x v="174"/>
    <x v="0"/>
    <n v="175"/>
    <x v="1"/>
    <n v="0"/>
    <x v="1"/>
    <x v="1"/>
    <x v="0"/>
    <x v="126"/>
    <x v="101"/>
    <x v="50"/>
    <x v="0"/>
  </r>
  <r>
    <x v="175"/>
    <x v="0"/>
    <n v="176"/>
    <x v="26"/>
    <n v="1"/>
    <x v="0"/>
    <x v="0"/>
    <x v="0"/>
    <x v="127"/>
    <x v="13"/>
    <x v="0"/>
    <x v="0"/>
  </r>
  <r>
    <x v="176"/>
    <x v="0"/>
    <n v="177"/>
    <x v="48"/>
    <n v="1"/>
    <x v="2"/>
    <x v="0"/>
    <x v="0"/>
    <x v="128"/>
    <x v="102"/>
    <x v="0"/>
    <x v="0"/>
  </r>
  <r>
    <x v="177"/>
    <x v="1"/>
    <n v="178"/>
    <x v="38"/>
    <n v="0"/>
    <x v="1"/>
    <x v="1"/>
    <x v="0"/>
    <x v="129"/>
    <x v="103"/>
    <x v="0"/>
    <x v="0"/>
  </r>
  <r>
    <x v="178"/>
    <x v="0"/>
    <n v="179"/>
    <x v="59"/>
    <n v="0"/>
    <x v="1"/>
    <x v="2"/>
    <x v="0"/>
    <x v="130"/>
    <x v="16"/>
    <x v="0"/>
    <x v="0"/>
  </r>
  <r>
    <x v="179"/>
    <x v="0"/>
    <n v="180"/>
    <x v="56"/>
    <n v="0"/>
    <x v="1"/>
    <x v="0"/>
    <x v="0"/>
    <x v="131"/>
    <x v="104"/>
    <x v="0"/>
    <x v="0"/>
  </r>
  <r>
    <x v="180"/>
    <x v="1"/>
    <n v="181"/>
    <x v="39"/>
    <n v="2"/>
    <x v="6"/>
    <x v="0"/>
    <x v="0"/>
    <x v="132"/>
    <x v="94"/>
    <x v="0"/>
    <x v="0"/>
  </r>
  <r>
    <x v="181"/>
    <x v="0"/>
    <n v="182"/>
    <x v="16"/>
    <n v="0"/>
    <x v="1"/>
    <x v="2"/>
    <x v="0"/>
    <x v="133"/>
    <x v="105"/>
    <x v="0"/>
    <x v="0"/>
  </r>
  <r>
    <x v="182"/>
    <x v="0"/>
    <n v="183"/>
    <x v="62"/>
    <n v="2"/>
    <x v="3"/>
    <x v="0"/>
    <x v="0"/>
    <x v="133"/>
    <x v="22"/>
    <x v="0"/>
    <x v="0"/>
  </r>
  <r>
    <x v="183"/>
    <x v="0"/>
    <n v="184"/>
    <x v="43"/>
    <n v="1"/>
    <x v="4"/>
    <x v="2"/>
    <x v="1"/>
    <x v="134"/>
    <x v="106"/>
    <x v="0"/>
    <x v="0"/>
  </r>
  <r>
    <x v="184"/>
    <x v="1"/>
    <n v="185"/>
    <x v="50"/>
    <n v="2"/>
    <x v="1"/>
    <x v="0"/>
    <x v="1"/>
    <x v="135"/>
    <x v="107"/>
    <x v="0"/>
    <x v="0"/>
  </r>
  <r>
    <x v="185"/>
    <x v="0"/>
    <n v="186"/>
    <x v="26"/>
    <n v="0"/>
    <x v="1"/>
    <x v="1"/>
    <x v="0"/>
    <x v="136"/>
    <x v="108"/>
    <x v="51"/>
    <x v="0"/>
  </r>
  <r>
    <x v="186"/>
    <x v="1"/>
    <n v="187"/>
    <x v="56"/>
    <n v="0"/>
    <x v="0"/>
    <x v="0"/>
    <x v="1"/>
    <x v="137"/>
    <x v="37"/>
    <x v="0"/>
    <x v="0"/>
  </r>
  <r>
    <x v="187"/>
    <x v="0"/>
    <n v="188"/>
    <x v="43"/>
    <n v="0"/>
    <x v="1"/>
    <x v="1"/>
    <x v="1"/>
    <x v="138"/>
    <x v="11"/>
    <x v="0"/>
    <x v="0"/>
  </r>
  <r>
    <x v="188"/>
    <x v="0"/>
    <n v="189"/>
    <x v="62"/>
    <n v="1"/>
    <x v="0"/>
    <x v="0"/>
    <x v="0"/>
    <x v="139"/>
    <x v="37"/>
    <x v="0"/>
    <x v="0"/>
  </r>
  <r>
    <x v="189"/>
    <x v="0"/>
    <n v="190"/>
    <x v="19"/>
    <n v="0"/>
    <x v="1"/>
    <x v="0"/>
    <x v="0"/>
    <x v="140"/>
    <x v="25"/>
    <x v="0"/>
    <x v="0"/>
  </r>
  <r>
    <x v="190"/>
    <x v="1"/>
    <n v="191"/>
    <x v="50"/>
    <n v="0"/>
    <x v="1"/>
    <x v="2"/>
    <x v="1"/>
    <x v="141"/>
    <x v="16"/>
    <x v="0"/>
    <x v="0"/>
  </r>
  <r>
    <x v="191"/>
    <x v="0"/>
    <n v="192"/>
    <x v="62"/>
    <n v="0"/>
    <x v="1"/>
    <x v="2"/>
    <x v="0"/>
    <x v="142"/>
    <x v="16"/>
    <x v="0"/>
    <x v="0"/>
  </r>
  <r>
    <x v="192"/>
    <x v="1"/>
    <n v="193"/>
    <x v="67"/>
    <n v="0"/>
    <x v="0"/>
    <x v="0"/>
    <x v="1"/>
    <x v="143"/>
    <x v="13"/>
    <x v="0"/>
    <x v="0"/>
  </r>
  <r>
    <x v="193"/>
    <x v="0"/>
    <n v="194"/>
    <x v="30"/>
    <n v="1"/>
    <x v="0"/>
    <x v="2"/>
    <x v="1"/>
    <x v="143"/>
    <x v="19"/>
    <x v="0"/>
    <x v="0"/>
  </r>
  <r>
    <x v="194"/>
    <x v="1"/>
    <n v="195"/>
    <x v="12"/>
    <n v="0"/>
    <x v="1"/>
    <x v="1"/>
    <x v="1"/>
    <x v="143"/>
    <x v="26"/>
    <x v="0"/>
    <x v="0"/>
  </r>
  <r>
    <x v="195"/>
    <x v="1"/>
    <n v="196"/>
    <x v="8"/>
    <n v="0"/>
    <x v="1"/>
    <x v="1"/>
    <x v="1"/>
    <x v="144"/>
    <x v="27"/>
    <x v="0"/>
    <x v="0"/>
  </r>
  <r>
    <x v="196"/>
    <x v="0"/>
    <n v="197"/>
    <x v="10"/>
    <n v="0"/>
    <x v="1"/>
    <x v="0"/>
    <x v="0"/>
    <x v="145"/>
    <x v="28"/>
    <x v="0"/>
    <x v="0"/>
  </r>
  <r>
    <x v="197"/>
    <x v="0"/>
    <n v="198"/>
    <x v="45"/>
    <n v="1"/>
    <x v="1"/>
    <x v="0"/>
    <x v="0"/>
    <x v="145"/>
    <x v="109"/>
    <x v="0"/>
    <x v="0"/>
  </r>
  <r>
    <x v="198"/>
    <x v="1"/>
    <n v="199"/>
    <x v="50"/>
    <n v="0"/>
    <x v="1"/>
    <x v="0"/>
    <x v="1"/>
    <x v="146"/>
    <x v="28"/>
    <x v="0"/>
    <x v="0"/>
  </r>
  <r>
    <x v="199"/>
    <x v="1"/>
    <n v="200"/>
    <x v="56"/>
    <n v="0"/>
    <x v="1"/>
    <x v="2"/>
    <x v="0"/>
    <x v="147"/>
    <x v="16"/>
    <x v="0"/>
    <x v="0"/>
  </r>
  <r>
    <x v="200"/>
    <x v="0"/>
    <n v="201"/>
    <x v="39"/>
    <n v="0"/>
    <x v="1"/>
    <x v="0"/>
    <x v="0"/>
    <x v="147"/>
    <x v="59"/>
    <x v="0"/>
    <x v="0"/>
  </r>
  <r>
    <x v="201"/>
    <x v="0"/>
    <n v="202"/>
    <x v="4"/>
    <n v="2"/>
    <x v="6"/>
    <x v="0"/>
    <x v="0"/>
    <x v="148"/>
    <x v="94"/>
    <x v="0"/>
    <x v="0"/>
  </r>
  <r>
    <x v="202"/>
    <x v="0"/>
    <n v="203"/>
    <x v="10"/>
    <n v="0"/>
    <x v="1"/>
    <x v="0"/>
    <x v="0"/>
    <x v="149"/>
    <x v="110"/>
    <x v="0"/>
    <x v="0"/>
  </r>
  <r>
    <x v="203"/>
    <x v="0"/>
    <n v="204"/>
    <x v="19"/>
    <n v="0"/>
    <x v="1"/>
    <x v="0"/>
    <x v="0"/>
    <x v="150"/>
    <x v="18"/>
    <x v="52"/>
    <x v="0"/>
  </r>
  <r>
    <x v="204"/>
    <x v="0"/>
    <n v="205"/>
    <x v="25"/>
    <n v="0"/>
    <x v="1"/>
    <x v="0"/>
    <x v="1"/>
    <x v="151"/>
    <x v="4"/>
    <x v="50"/>
    <x v="0"/>
  </r>
  <r>
    <x v="205"/>
    <x v="1"/>
    <n v="206"/>
    <x v="63"/>
    <n v="1"/>
    <x v="1"/>
    <x v="0"/>
    <x v="0"/>
    <x v="152"/>
    <x v="111"/>
    <x v="53"/>
    <x v="1"/>
  </r>
  <r>
    <x v="206"/>
    <x v="0"/>
    <n v="207"/>
    <x v="50"/>
    <n v="0"/>
    <x v="0"/>
    <x v="0"/>
    <x v="0"/>
    <x v="152"/>
    <x v="62"/>
    <x v="53"/>
    <x v="1"/>
  </r>
  <r>
    <x v="207"/>
    <x v="0"/>
    <n v="208"/>
    <x v="6"/>
    <n v="0"/>
    <x v="1"/>
    <x v="0"/>
    <x v="1"/>
    <x v="152"/>
    <x v="112"/>
    <x v="54"/>
    <x v="1"/>
  </r>
  <r>
    <x v="208"/>
    <x v="1"/>
    <n v="209"/>
    <x v="48"/>
    <n v="0"/>
    <x v="1"/>
    <x v="0"/>
    <x v="1"/>
    <x v="153"/>
    <x v="28"/>
    <x v="55"/>
    <x v="0"/>
  </r>
  <r>
    <x v="209"/>
    <x v="0"/>
    <n v="210"/>
    <x v="62"/>
    <n v="0"/>
    <x v="1"/>
    <x v="1"/>
    <x v="1"/>
    <x v="153"/>
    <x v="113"/>
    <x v="55"/>
    <x v="0"/>
  </r>
  <r>
    <x v="210"/>
    <x v="0"/>
    <n v="211"/>
    <x v="51"/>
    <n v="0"/>
    <x v="1"/>
    <x v="0"/>
    <x v="0"/>
    <x v="154"/>
    <x v="79"/>
    <x v="0"/>
    <x v="2"/>
  </r>
  <r>
    <x v="211"/>
    <x v="1"/>
    <n v="212"/>
    <x v="58"/>
    <n v="0"/>
    <x v="1"/>
    <x v="2"/>
    <x v="1"/>
    <x v="155"/>
    <x v="35"/>
    <x v="0"/>
    <x v="2"/>
  </r>
  <r>
    <x v="212"/>
    <x v="0"/>
    <n v="213"/>
    <x v="28"/>
    <n v="0"/>
    <x v="1"/>
    <x v="0"/>
    <x v="0"/>
    <x v="156"/>
    <x v="0"/>
    <x v="0"/>
    <x v="2"/>
  </r>
  <r>
    <x v="213"/>
    <x v="0"/>
    <n v="214"/>
    <x v="64"/>
    <n v="0"/>
    <x v="1"/>
    <x v="2"/>
    <x v="0"/>
    <x v="157"/>
    <x v="16"/>
    <x v="0"/>
    <x v="2"/>
  </r>
  <r>
    <x v="214"/>
    <x v="0"/>
    <n v="215"/>
    <x v="33"/>
    <n v="0"/>
    <x v="0"/>
    <x v="0"/>
    <x v="0"/>
    <x v="158"/>
    <x v="28"/>
    <x v="0"/>
    <x v="2"/>
  </r>
  <r>
    <x v="215"/>
    <x v="1"/>
    <n v="216"/>
    <x v="21"/>
    <n v="0"/>
    <x v="0"/>
    <x v="1"/>
    <x v="1"/>
    <x v="159"/>
    <x v="114"/>
    <x v="0"/>
    <x v="2"/>
  </r>
  <r>
    <x v="216"/>
    <x v="1"/>
    <n v="217"/>
    <x v="60"/>
    <n v="0"/>
    <x v="1"/>
    <x v="0"/>
    <x v="1"/>
    <x v="160"/>
    <x v="2"/>
    <x v="0"/>
    <x v="2"/>
  </r>
  <r>
    <x v="217"/>
    <x v="0"/>
    <n v="218"/>
    <x v="63"/>
    <n v="0"/>
    <x v="0"/>
    <x v="2"/>
    <x v="0"/>
    <x v="161"/>
    <x v="115"/>
    <x v="56"/>
    <x v="0"/>
  </r>
  <r>
    <x v="218"/>
    <x v="1"/>
    <n v="219"/>
    <x v="13"/>
    <n v="0"/>
    <x v="1"/>
    <x v="1"/>
    <x v="1"/>
    <x v="161"/>
    <x v="116"/>
    <x v="0"/>
    <x v="0"/>
  </r>
  <r>
    <x v="219"/>
    <x v="0"/>
    <n v="220"/>
    <x v="62"/>
    <n v="0"/>
    <x v="1"/>
    <x v="2"/>
    <x v="0"/>
    <x v="162"/>
    <x v="29"/>
    <x v="57"/>
    <x v="1"/>
  </r>
  <r>
    <x v="220"/>
    <x v="0"/>
    <n v="221"/>
    <x v="18"/>
    <n v="0"/>
    <x v="1"/>
    <x v="0"/>
    <x v="1"/>
    <x v="162"/>
    <x v="4"/>
    <x v="57"/>
    <x v="1"/>
  </r>
  <r>
    <x v="221"/>
    <x v="0"/>
    <n v="222"/>
    <x v="68"/>
    <n v="0"/>
    <x v="1"/>
    <x v="2"/>
    <x v="0"/>
    <x v="163"/>
    <x v="16"/>
    <x v="58"/>
    <x v="0"/>
  </r>
  <r>
    <x v="222"/>
    <x v="0"/>
    <n v="223"/>
    <x v="49"/>
    <n v="0"/>
    <x v="1"/>
    <x v="0"/>
    <x v="0"/>
    <x v="164"/>
    <x v="4"/>
    <x v="59"/>
    <x v="0"/>
  </r>
  <r>
    <x v="223"/>
    <x v="0"/>
    <n v="224"/>
    <x v="13"/>
    <n v="0"/>
    <x v="1"/>
    <x v="0"/>
    <x v="0"/>
    <x v="165"/>
    <x v="25"/>
    <x v="60"/>
    <x v="0"/>
  </r>
  <r>
    <x v="224"/>
    <x v="0"/>
    <n v="225"/>
    <x v="38"/>
    <n v="0"/>
    <x v="0"/>
    <x v="1"/>
    <x v="1"/>
    <x v="165"/>
    <x v="117"/>
    <x v="60"/>
    <x v="0"/>
  </r>
  <r>
    <x v="225"/>
    <x v="0"/>
    <n v="226"/>
    <x v="48"/>
    <n v="0"/>
    <x v="1"/>
    <x v="0"/>
    <x v="0"/>
    <x v="166"/>
    <x v="118"/>
    <x v="0"/>
    <x v="0"/>
  </r>
  <r>
    <x v="226"/>
    <x v="0"/>
    <n v="227"/>
    <x v="22"/>
    <n v="0"/>
    <x v="1"/>
    <x v="2"/>
    <x v="1"/>
    <x v="166"/>
    <x v="29"/>
    <x v="0"/>
    <x v="0"/>
  </r>
  <r>
    <x v="227"/>
    <x v="0"/>
    <n v="228"/>
    <x v="42"/>
    <n v="0"/>
    <x v="1"/>
    <x v="0"/>
    <x v="0"/>
    <x v="167"/>
    <x v="0"/>
    <x v="0"/>
    <x v="0"/>
  </r>
  <r>
    <x v="228"/>
    <x v="0"/>
    <n v="229"/>
    <x v="69"/>
    <n v="0"/>
    <x v="1"/>
    <x v="2"/>
    <x v="0"/>
    <x v="168"/>
    <x v="16"/>
    <x v="0"/>
    <x v="0"/>
  </r>
  <r>
    <x v="229"/>
    <x v="1"/>
    <n v="230"/>
    <x v="54"/>
    <n v="1"/>
    <x v="2"/>
    <x v="0"/>
    <x v="0"/>
    <x v="169"/>
    <x v="102"/>
    <x v="0"/>
    <x v="0"/>
  </r>
  <r>
    <x v="230"/>
    <x v="1"/>
    <n v="231"/>
    <x v="39"/>
    <n v="0"/>
    <x v="0"/>
    <x v="1"/>
    <x v="1"/>
    <x v="170"/>
    <x v="47"/>
    <x v="61"/>
    <x v="0"/>
  </r>
  <r>
    <x v="231"/>
    <x v="0"/>
    <n v="232"/>
    <x v="51"/>
    <n v="0"/>
    <x v="1"/>
    <x v="0"/>
    <x v="0"/>
    <x v="170"/>
    <x v="71"/>
    <x v="62"/>
    <x v="0"/>
  </r>
  <r>
    <x v="232"/>
    <x v="0"/>
    <n v="233"/>
    <x v="1"/>
    <n v="0"/>
    <x v="1"/>
    <x v="2"/>
    <x v="0"/>
    <x v="170"/>
    <x v="119"/>
    <x v="61"/>
    <x v="0"/>
  </r>
  <r>
    <x v="233"/>
    <x v="1"/>
    <n v="234"/>
    <x v="18"/>
    <n v="2"/>
    <x v="3"/>
    <x v="0"/>
    <x v="1"/>
    <x v="171"/>
    <x v="22"/>
    <x v="63"/>
    <x v="0"/>
  </r>
  <r>
    <x v="234"/>
    <x v="0"/>
    <n v="235"/>
    <x v="59"/>
    <n v="0"/>
    <x v="1"/>
    <x v="2"/>
    <x v="0"/>
    <x v="171"/>
    <x v="29"/>
    <x v="63"/>
    <x v="0"/>
  </r>
  <r>
    <x v="235"/>
    <x v="1"/>
    <n v="236"/>
    <x v="8"/>
    <n v="0"/>
    <x v="1"/>
    <x v="0"/>
    <x v="0"/>
    <x v="171"/>
    <x v="120"/>
    <x v="64"/>
    <x v="0"/>
  </r>
  <r>
    <x v="236"/>
    <x v="0"/>
    <n v="237"/>
    <x v="49"/>
    <n v="0"/>
    <x v="0"/>
    <x v="2"/>
    <x v="0"/>
    <x v="172"/>
    <x v="19"/>
    <x v="65"/>
    <x v="0"/>
  </r>
  <r>
    <x v="237"/>
    <x v="1"/>
    <n v="238"/>
    <x v="64"/>
    <n v="2"/>
    <x v="1"/>
    <x v="2"/>
    <x v="1"/>
    <x v="172"/>
    <x v="121"/>
    <x v="66"/>
    <x v="0"/>
  </r>
  <r>
    <x v="238"/>
    <x v="0"/>
    <n v="239"/>
    <x v="3"/>
    <n v="0"/>
    <x v="1"/>
    <x v="2"/>
    <x v="0"/>
    <x v="173"/>
    <x v="29"/>
    <x v="42"/>
    <x v="0"/>
  </r>
  <r>
    <x v="239"/>
    <x v="0"/>
    <n v="240"/>
    <x v="45"/>
    <n v="0"/>
    <x v="1"/>
    <x v="2"/>
    <x v="0"/>
    <x v="174"/>
    <x v="122"/>
    <x v="67"/>
    <x v="1"/>
  </r>
  <r>
    <x v="240"/>
    <x v="1"/>
    <n v="241"/>
    <x v="68"/>
    <n v="0"/>
    <x v="0"/>
    <x v="0"/>
    <x v="0"/>
    <x v="175"/>
    <x v="53"/>
    <x v="68"/>
    <x v="0"/>
  </r>
  <r>
    <x v="241"/>
    <x v="1"/>
    <n v="242"/>
    <x v="49"/>
    <n v="0"/>
    <x v="0"/>
    <x v="0"/>
    <x v="1"/>
    <x v="176"/>
    <x v="37"/>
    <x v="69"/>
    <x v="0"/>
  </r>
  <r>
    <x v="242"/>
    <x v="0"/>
    <n v="243"/>
    <x v="51"/>
    <n v="0"/>
    <x v="1"/>
    <x v="2"/>
    <x v="0"/>
    <x v="177"/>
    <x v="29"/>
    <x v="70"/>
    <x v="1"/>
  </r>
  <r>
    <x v="243"/>
    <x v="0"/>
    <n v="244"/>
    <x v="64"/>
    <n v="0"/>
    <x v="1"/>
    <x v="0"/>
    <x v="0"/>
    <x v="177"/>
    <x v="123"/>
    <x v="70"/>
    <x v="1"/>
  </r>
  <r>
    <x v="244"/>
    <x v="0"/>
    <n v="245"/>
    <x v="4"/>
    <n v="0"/>
    <x v="1"/>
    <x v="0"/>
    <x v="0"/>
    <x v="178"/>
    <x v="18"/>
    <x v="71"/>
    <x v="1"/>
  </r>
  <r>
    <x v="245"/>
    <x v="0"/>
    <n v="246"/>
    <x v="38"/>
    <n v="0"/>
    <x v="4"/>
    <x v="1"/>
    <x v="0"/>
    <x v="179"/>
    <x v="117"/>
    <x v="0"/>
    <x v="1"/>
  </r>
  <r>
    <x v="246"/>
    <x v="1"/>
    <n v="247"/>
    <x v="51"/>
    <n v="0"/>
    <x v="1"/>
    <x v="0"/>
    <x v="0"/>
    <x v="180"/>
    <x v="71"/>
    <x v="0"/>
    <x v="0"/>
  </r>
  <r>
    <x v="247"/>
    <x v="1"/>
    <n v="248"/>
    <x v="13"/>
    <n v="2"/>
    <x v="1"/>
    <x v="2"/>
    <x v="1"/>
    <x v="181"/>
    <x v="80"/>
    <x v="0"/>
    <x v="0"/>
  </r>
  <r>
    <x v="248"/>
    <x v="0"/>
    <n v="249"/>
    <x v="59"/>
    <n v="1"/>
    <x v="0"/>
    <x v="1"/>
    <x v="1"/>
    <x v="182"/>
    <x v="124"/>
    <x v="72"/>
    <x v="0"/>
  </r>
  <r>
    <x v="249"/>
    <x v="0"/>
    <n v="250"/>
    <x v="44"/>
    <n v="0"/>
    <x v="0"/>
    <x v="2"/>
    <x v="0"/>
    <x v="183"/>
    <x v="19"/>
    <x v="0"/>
    <x v="0"/>
  </r>
  <r>
    <x v="250"/>
    <x v="0"/>
    <n v="251"/>
    <x v="43"/>
    <n v="0"/>
    <x v="1"/>
    <x v="0"/>
    <x v="0"/>
    <x v="184"/>
    <x v="0"/>
    <x v="73"/>
    <x v="0"/>
  </r>
  <r>
    <x v="251"/>
    <x v="1"/>
    <n v="252"/>
    <x v="47"/>
    <n v="1"/>
    <x v="0"/>
    <x v="0"/>
    <x v="0"/>
    <x v="185"/>
    <x v="111"/>
    <x v="74"/>
    <x v="0"/>
  </r>
  <r>
    <x v="252"/>
    <x v="0"/>
    <n v="253"/>
    <x v="10"/>
    <n v="0"/>
    <x v="1"/>
    <x v="1"/>
    <x v="0"/>
    <x v="186"/>
    <x v="11"/>
    <x v="75"/>
    <x v="0"/>
  </r>
  <r>
    <x v="253"/>
    <x v="0"/>
    <n v="254"/>
    <x v="10"/>
    <n v="0"/>
    <x v="0"/>
    <x v="0"/>
    <x v="0"/>
    <x v="187"/>
    <x v="95"/>
    <x v="76"/>
    <x v="1"/>
  </r>
  <r>
    <x v="254"/>
    <x v="1"/>
    <n v="255"/>
    <x v="63"/>
    <n v="2"/>
    <x v="1"/>
    <x v="0"/>
    <x v="0"/>
    <x v="188"/>
    <x v="125"/>
    <x v="0"/>
    <x v="1"/>
  </r>
  <r>
    <x v="255"/>
    <x v="1"/>
    <n v="256"/>
    <x v="32"/>
    <n v="2"/>
    <x v="1"/>
    <x v="0"/>
    <x v="1"/>
    <x v="189"/>
    <x v="49"/>
    <x v="77"/>
    <x v="0"/>
  </r>
  <r>
    <x v="256"/>
    <x v="1"/>
    <n v="257"/>
    <x v="16"/>
    <n v="0"/>
    <x v="1"/>
    <x v="1"/>
    <x v="1"/>
    <x v="190"/>
    <x v="84"/>
    <x v="77"/>
    <x v="0"/>
  </r>
  <r>
    <x v="257"/>
    <x v="1"/>
    <n v="258"/>
    <x v="13"/>
    <n v="0"/>
    <x v="1"/>
    <x v="1"/>
    <x v="1"/>
    <x v="191"/>
    <x v="126"/>
    <x v="78"/>
    <x v="0"/>
  </r>
  <r>
    <x v="258"/>
    <x v="1"/>
    <n v="259"/>
    <x v="39"/>
    <n v="0"/>
    <x v="1"/>
    <x v="1"/>
    <x v="1"/>
    <x v="192"/>
    <x v="127"/>
    <x v="79"/>
    <x v="1"/>
  </r>
  <r>
    <x v="259"/>
    <x v="1"/>
    <n v="260"/>
    <x v="34"/>
    <n v="1"/>
    <x v="1"/>
    <x v="2"/>
    <x v="1"/>
    <x v="193"/>
    <x v="19"/>
    <x v="80"/>
    <x v="0"/>
  </r>
  <r>
    <x v="260"/>
    <x v="0"/>
    <n v="261"/>
    <x v="70"/>
    <n v="0"/>
    <x v="1"/>
    <x v="0"/>
    <x v="0"/>
    <x v="194"/>
    <x v="28"/>
    <x v="81"/>
    <x v="0"/>
  </r>
  <r>
    <x v="261"/>
    <x v="0"/>
    <n v="262"/>
    <x v="3"/>
    <n v="2"/>
    <x v="3"/>
    <x v="0"/>
    <x v="1"/>
    <x v="195"/>
    <x v="22"/>
    <x v="0"/>
    <x v="0"/>
  </r>
  <r>
    <x v="262"/>
    <x v="0"/>
    <n v="263"/>
    <x v="22"/>
    <n v="1"/>
    <x v="0"/>
    <x v="1"/>
    <x v="0"/>
    <x v="196"/>
    <x v="128"/>
    <x v="82"/>
    <x v="0"/>
  </r>
  <r>
    <x v="263"/>
    <x v="0"/>
    <n v="264"/>
    <x v="25"/>
    <n v="0"/>
    <x v="1"/>
    <x v="1"/>
    <x v="0"/>
    <x v="197"/>
    <x v="104"/>
    <x v="83"/>
    <x v="1"/>
  </r>
  <r>
    <x v="264"/>
    <x v="1"/>
    <n v="265"/>
    <x v="62"/>
    <n v="0"/>
    <x v="1"/>
    <x v="0"/>
    <x v="0"/>
    <x v="198"/>
    <x v="28"/>
    <x v="84"/>
    <x v="0"/>
  </r>
  <r>
    <x v="265"/>
    <x v="0"/>
    <n v="266"/>
    <x v="9"/>
    <n v="0"/>
    <x v="1"/>
    <x v="2"/>
    <x v="0"/>
    <x v="198"/>
    <x v="29"/>
    <x v="84"/>
    <x v="0"/>
  </r>
  <r>
    <x v="266"/>
    <x v="0"/>
    <n v="267"/>
    <x v="44"/>
    <n v="1"/>
    <x v="3"/>
    <x v="0"/>
    <x v="0"/>
    <x v="199"/>
    <x v="40"/>
    <x v="85"/>
    <x v="1"/>
  </r>
  <r>
    <x v="267"/>
    <x v="0"/>
    <n v="268"/>
    <x v="26"/>
    <n v="0"/>
    <x v="0"/>
    <x v="0"/>
    <x v="1"/>
    <x v="200"/>
    <x v="71"/>
    <x v="86"/>
    <x v="0"/>
  </r>
  <r>
    <x v="268"/>
    <x v="1"/>
    <n v="269"/>
    <x v="71"/>
    <n v="1"/>
    <x v="1"/>
    <x v="1"/>
    <x v="1"/>
    <x v="201"/>
    <x v="129"/>
    <x v="87"/>
    <x v="0"/>
  </r>
  <r>
    <x v="269"/>
    <x v="1"/>
    <n v="270"/>
    <x v="21"/>
    <n v="0"/>
    <x v="1"/>
    <x v="1"/>
    <x v="1"/>
    <x v="202"/>
    <x v="130"/>
    <x v="88"/>
    <x v="0"/>
  </r>
  <r>
    <x v="270"/>
    <x v="0"/>
    <n v="271"/>
    <x v="71"/>
    <n v="0"/>
    <x v="1"/>
    <x v="1"/>
    <x v="0"/>
    <x v="202"/>
    <x v="113"/>
    <x v="88"/>
    <x v="0"/>
  </r>
  <r>
    <x v="271"/>
    <x v="0"/>
    <n v="272"/>
    <x v="26"/>
    <n v="0"/>
    <x v="1"/>
    <x v="0"/>
    <x v="1"/>
    <x v="203"/>
    <x v="104"/>
    <x v="89"/>
    <x v="0"/>
  </r>
  <r>
    <x v="272"/>
    <x v="1"/>
    <n v="273"/>
    <x v="23"/>
    <n v="1"/>
    <x v="1"/>
    <x v="2"/>
    <x v="1"/>
    <x v="203"/>
    <x v="131"/>
    <x v="89"/>
    <x v="0"/>
  </r>
  <r>
    <x v="273"/>
    <x v="0"/>
    <n v="274"/>
    <x v="26"/>
    <n v="1"/>
    <x v="1"/>
    <x v="1"/>
    <x v="0"/>
    <x v="203"/>
    <x v="132"/>
    <x v="89"/>
    <x v="0"/>
  </r>
  <r>
    <x v="274"/>
    <x v="1"/>
    <n v="275"/>
    <x v="40"/>
    <n v="0"/>
    <x v="1"/>
    <x v="0"/>
    <x v="1"/>
    <x v="203"/>
    <x v="28"/>
    <x v="89"/>
    <x v="0"/>
  </r>
  <r>
    <x v="275"/>
    <x v="1"/>
    <n v="276"/>
    <x v="68"/>
    <n v="0"/>
    <x v="0"/>
    <x v="1"/>
    <x v="1"/>
    <x v="204"/>
    <x v="133"/>
    <x v="90"/>
    <x v="0"/>
  </r>
  <r>
    <x v="276"/>
    <x v="1"/>
    <n v="277"/>
    <x v="43"/>
    <n v="0"/>
    <x v="1"/>
    <x v="0"/>
    <x v="0"/>
    <x v="205"/>
    <x v="28"/>
    <x v="91"/>
    <x v="0"/>
  </r>
  <r>
    <x v="277"/>
    <x v="0"/>
    <n v="278"/>
    <x v="9"/>
    <n v="0"/>
    <x v="1"/>
    <x v="2"/>
    <x v="0"/>
    <x v="206"/>
    <x v="104"/>
    <x v="92"/>
    <x v="0"/>
  </r>
  <r>
    <x v="278"/>
    <x v="0"/>
    <n v="279"/>
    <x v="22"/>
    <n v="1"/>
    <x v="3"/>
    <x v="0"/>
    <x v="0"/>
    <x v="206"/>
    <x v="15"/>
    <x v="92"/>
    <x v="0"/>
  </r>
  <r>
    <x v="279"/>
    <x v="1"/>
    <n v="280"/>
    <x v="66"/>
    <n v="1"/>
    <x v="0"/>
    <x v="0"/>
    <x v="1"/>
    <x v="207"/>
    <x v="134"/>
    <x v="93"/>
    <x v="0"/>
  </r>
  <r>
    <x v="280"/>
    <x v="0"/>
    <n v="281"/>
    <x v="12"/>
    <n v="0"/>
    <x v="1"/>
    <x v="0"/>
    <x v="0"/>
    <x v="207"/>
    <x v="28"/>
    <x v="93"/>
    <x v="0"/>
  </r>
  <r>
    <x v="281"/>
    <x v="0"/>
    <n v="282"/>
    <x v="33"/>
    <n v="0"/>
    <x v="1"/>
    <x v="0"/>
    <x v="0"/>
    <x v="207"/>
    <x v="13"/>
    <x v="93"/>
    <x v="0"/>
  </r>
  <r>
    <x v="282"/>
    <x v="0"/>
    <n v="283"/>
    <x v="9"/>
    <n v="0"/>
    <x v="1"/>
    <x v="0"/>
    <x v="0"/>
    <x v="207"/>
    <x v="59"/>
    <x v="0"/>
    <x v="0"/>
  </r>
  <r>
    <x v="283"/>
    <x v="0"/>
    <n v="284"/>
    <x v="6"/>
    <n v="0"/>
    <x v="1"/>
    <x v="0"/>
    <x v="1"/>
    <x v="208"/>
    <x v="4"/>
    <x v="94"/>
    <x v="0"/>
  </r>
  <r>
    <x v="284"/>
    <x v="0"/>
    <n v="285"/>
    <x v="13"/>
    <n v="0"/>
    <x v="1"/>
    <x v="1"/>
    <x v="0"/>
    <x v="209"/>
    <x v="19"/>
    <x v="95"/>
    <x v="0"/>
  </r>
  <r>
    <x v="285"/>
    <x v="0"/>
    <n v="286"/>
    <x v="18"/>
    <n v="0"/>
    <x v="1"/>
    <x v="0"/>
    <x v="0"/>
    <x v="210"/>
    <x v="51"/>
    <x v="96"/>
    <x v="0"/>
  </r>
  <r>
    <x v="286"/>
    <x v="0"/>
    <n v="287"/>
    <x v="61"/>
    <n v="0"/>
    <x v="1"/>
    <x v="0"/>
    <x v="1"/>
    <x v="211"/>
    <x v="59"/>
    <x v="97"/>
    <x v="0"/>
  </r>
  <r>
    <x v="287"/>
    <x v="0"/>
    <n v="288"/>
    <x v="3"/>
    <n v="0"/>
    <x v="1"/>
    <x v="0"/>
    <x v="0"/>
    <x v="212"/>
    <x v="25"/>
    <x v="98"/>
    <x v="0"/>
  </r>
  <r>
    <x v="288"/>
    <x v="0"/>
    <n v="289"/>
    <x v="5"/>
    <n v="0"/>
    <x v="1"/>
    <x v="2"/>
    <x v="1"/>
    <x v="213"/>
    <x v="16"/>
    <x v="0"/>
    <x v="0"/>
  </r>
  <r>
    <x v="289"/>
    <x v="1"/>
    <n v="290"/>
    <x v="38"/>
    <n v="0"/>
    <x v="1"/>
    <x v="0"/>
    <x v="1"/>
    <x v="213"/>
    <x v="28"/>
    <x v="0"/>
    <x v="0"/>
  </r>
  <r>
    <x v="290"/>
    <x v="1"/>
    <n v="291"/>
    <x v="54"/>
    <n v="0"/>
    <x v="1"/>
    <x v="1"/>
    <x v="1"/>
    <x v="214"/>
    <x v="135"/>
    <x v="0"/>
    <x v="0"/>
  </r>
  <r>
    <x v="291"/>
    <x v="1"/>
    <n v="292"/>
    <x v="56"/>
    <n v="0"/>
    <x v="0"/>
    <x v="1"/>
    <x v="1"/>
    <x v="215"/>
    <x v="136"/>
    <x v="0"/>
    <x v="0"/>
  </r>
  <r>
    <x v="292"/>
    <x v="0"/>
    <n v="293"/>
    <x v="25"/>
    <n v="0"/>
    <x v="1"/>
    <x v="2"/>
    <x v="0"/>
    <x v="216"/>
    <x v="137"/>
    <x v="0"/>
    <x v="0"/>
  </r>
  <r>
    <x v="293"/>
    <x v="1"/>
    <n v="294"/>
    <x v="37"/>
    <n v="0"/>
    <x v="1"/>
    <x v="0"/>
    <x v="0"/>
    <x v="217"/>
    <x v="138"/>
    <x v="0"/>
    <x v="0"/>
  </r>
  <r>
    <x v="294"/>
    <x v="0"/>
    <n v="295"/>
    <x v="39"/>
    <n v="0"/>
    <x v="1"/>
    <x v="0"/>
    <x v="0"/>
    <x v="217"/>
    <x v="25"/>
    <x v="0"/>
    <x v="1"/>
  </r>
  <r>
    <x v="295"/>
    <x v="0"/>
    <n v="296"/>
    <x v="45"/>
    <n v="0"/>
    <x v="1"/>
    <x v="1"/>
    <x v="0"/>
    <x v="218"/>
    <x v="26"/>
    <x v="0"/>
    <x v="0"/>
  </r>
  <r>
    <x v="296"/>
    <x v="0"/>
    <n v="297"/>
    <x v="38"/>
    <n v="0"/>
    <x v="1"/>
    <x v="0"/>
    <x v="0"/>
    <x v="219"/>
    <x v="32"/>
    <x v="99"/>
    <x v="0"/>
  </r>
  <r>
    <x v="297"/>
    <x v="1"/>
    <n v="298"/>
    <x v="47"/>
    <n v="2"/>
    <x v="0"/>
    <x v="1"/>
    <x v="0"/>
    <x v="219"/>
    <x v="139"/>
    <x v="99"/>
    <x v="0"/>
  </r>
  <r>
    <x v="298"/>
    <x v="0"/>
    <n v="299"/>
    <x v="25"/>
    <n v="0"/>
    <x v="1"/>
    <x v="1"/>
    <x v="1"/>
    <x v="220"/>
    <x v="140"/>
    <x v="0"/>
    <x v="0"/>
  </r>
  <r>
    <x v="299"/>
    <x v="1"/>
    <n v="300"/>
    <x v="25"/>
    <n v="1"/>
    <x v="1"/>
    <x v="1"/>
    <x v="1"/>
    <x v="221"/>
    <x v="75"/>
    <x v="100"/>
    <x v="0"/>
  </r>
  <r>
    <x v="300"/>
    <x v="1"/>
    <n v="301"/>
    <x v="1"/>
    <n v="0"/>
    <x v="1"/>
    <x v="0"/>
    <x v="1"/>
    <x v="221"/>
    <x v="28"/>
    <x v="100"/>
    <x v="0"/>
  </r>
  <r>
    <x v="301"/>
    <x v="0"/>
    <n v="302"/>
    <x v="71"/>
    <n v="0"/>
    <x v="4"/>
    <x v="0"/>
    <x v="1"/>
    <x v="222"/>
    <x v="141"/>
    <x v="0"/>
    <x v="0"/>
  </r>
  <r>
    <x v="302"/>
    <x v="0"/>
    <n v="303"/>
    <x v="25"/>
    <n v="0"/>
    <x v="1"/>
    <x v="0"/>
    <x v="0"/>
    <x v="223"/>
    <x v="104"/>
    <x v="0"/>
    <x v="0"/>
  </r>
  <r>
    <x v="303"/>
    <x v="1"/>
    <n v="304"/>
    <x v="3"/>
    <n v="0"/>
    <x v="1"/>
    <x v="2"/>
    <x v="1"/>
    <x v="224"/>
    <x v="142"/>
    <x v="0"/>
    <x v="0"/>
  </r>
  <r>
    <x v="304"/>
    <x v="0"/>
    <n v="305"/>
    <x v="7"/>
    <n v="0"/>
    <x v="1"/>
    <x v="0"/>
    <x v="0"/>
    <x v="225"/>
    <x v="4"/>
    <x v="0"/>
    <x v="2"/>
  </r>
  <r>
    <x v="305"/>
    <x v="0"/>
    <n v="306"/>
    <x v="25"/>
    <n v="2"/>
    <x v="0"/>
    <x v="1"/>
    <x v="1"/>
    <x v="226"/>
    <x v="139"/>
    <x v="0"/>
    <x v="0"/>
  </r>
  <r>
    <x v="306"/>
    <x v="1"/>
    <n v="307"/>
    <x v="30"/>
    <n v="0"/>
    <x v="1"/>
    <x v="1"/>
    <x v="1"/>
    <x v="227"/>
    <x v="143"/>
    <x v="0"/>
    <x v="0"/>
  </r>
  <r>
    <x v="307"/>
    <x v="1"/>
    <n v="308"/>
    <x v="53"/>
    <n v="0"/>
    <x v="0"/>
    <x v="1"/>
    <x v="1"/>
    <x v="227"/>
    <x v="144"/>
    <x v="0"/>
    <x v="0"/>
  </r>
  <r>
    <x v="308"/>
    <x v="0"/>
    <n v="309"/>
    <x v="13"/>
    <n v="0"/>
    <x v="0"/>
    <x v="2"/>
    <x v="0"/>
    <x v="228"/>
    <x v="145"/>
    <x v="0"/>
    <x v="0"/>
  </r>
  <r>
    <x v="309"/>
    <x v="1"/>
    <n v="310"/>
    <x v="16"/>
    <n v="0"/>
    <x v="1"/>
    <x v="1"/>
    <x v="1"/>
    <x v="229"/>
    <x v="146"/>
    <x v="50"/>
    <x v="2"/>
  </r>
  <r>
    <x v="310"/>
    <x v="1"/>
    <n v="311"/>
    <x v="26"/>
    <n v="0"/>
    <x v="1"/>
    <x v="1"/>
    <x v="1"/>
    <x v="230"/>
    <x v="147"/>
    <x v="0"/>
    <x v="0"/>
  </r>
  <r>
    <x v="311"/>
    <x v="1"/>
    <n v="312"/>
    <x v="22"/>
    <n v="2"/>
    <x v="4"/>
    <x v="1"/>
    <x v="1"/>
    <x v="231"/>
    <x v="148"/>
    <x v="0"/>
    <x v="0"/>
  </r>
  <r>
    <x v="312"/>
    <x v="1"/>
    <n v="313"/>
    <x v="26"/>
    <n v="1"/>
    <x v="0"/>
    <x v="2"/>
    <x v="0"/>
    <x v="232"/>
    <x v="19"/>
    <x v="0"/>
    <x v="0"/>
  </r>
  <r>
    <x v="313"/>
    <x v="0"/>
    <n v="314"/>
    <x v="47"/>
    <n v="0"/>
    <x v="1"/>
    <x v="0"/>
    <x v="0"/>
    <x v="233"/>
    <x v="25"/>
    <x v="101"/>
    <x v="0"/>
  </r>
  <r>
    <x v="314"/>
    <x v="0"/>
    <n v="315"/>
    <x v="67"/>
    <n v="1"/>
    <x v="0"/>
    <x v="2"/>
    <x v="0"/>
    <x v="233"/>
    <x v="121"/>
    <x v="101"/>
    <x v="0"/>
  </r>
  <r>
    <x v="315"/>
    <x v="1"/>
    <n v="316"/>
    <x v="66"/>
    <n v="0"/>
    <x v="1"/>
    <x v="0"/>
    <x v="1"/>
    <x v="233"/>
    <x v="13"/>
    <x v="101"/>
    <x v="0"/>
  </r>
  <r>
    <x v="316"/>
    <x v="1"/>
    <n v="317"/>
    <x v="12"/>
    <n v="0"/>
    <x v="0"/>
    <x v="2"/>
    <x v="1"/>
    <x v="234"/>
    <x v="19"/>
    <x v="102"/>
    <x v="0"/>
  </r>
  <r>
    <x v="317"/>
    <x v="0"/>
    <n v="318"/>
    <x v="19"/>
    <n v="0"/>
    <x v="1"/>
    <x v="2"/>
    <x v="0"/>
    <x v="234"/>
    <x v="149"/>
    <x v="102"/>
    <x v="0"/>
  </r>
  <r>
    <x v="318"/>
    <x v="1"/>
    <n v="319"/>
    <x v="58"/>
    <n v="2"/>
    <x v="1"/>
    <x v="1"/>
    <x v="1"/>
    <x v="235"/>
    <x v="150"/>
    <x v="0"/>
    <x v="0"/>
  </r>
  <r>
    <x v="319"/>
    <x v="1"/>
    <n v="320"/>
    <x v="33"/>
    <n v="1"/>
    <x v="0"/>
    <x v="1"/>
    <x v="1"/>
    <x v="235"/>
    <x v="151"/>
    <x v="0"/>
    <x v="0"/>
  </r>
  <r>
    <x v="320"/>
    <x v="0"/>
    <n v="321"/>
    <x v="3"/>
    <n v="0"/>
    <x v="1"/>
    <x v="0"/>
    <x v="0"/>
    <x v="236"/>
    <x v="0"/>
    <x v="0"/>
    <x v="0"/>
  </r>
  <r>
    <x v="321"/>
    <x v="0"/>
    <n v="322"/>
    <x v="56"/>
    <n v="0"/>
    <x v="1"/>
    <x v="0"/>
    <x v="0"/>
    <x v="237"/>
    <x v="25"/>
    <x v="0"/>
    <x v="0"/>
  </r>
  <r>
    <x v="322"/>
    <x v="1"/>
    <n v="323"/>
    <x v="8"/>
    <n v="0"/>
    <x v="1"/>
    <x v="2"/>
    <x v="1"/>
    <x v="237"/>
    <x v="142"/>
    <x v="0"/>
    <x v="0"/>
  </r>
  <r>
    <x v="323"/>
    <x v="1"/>
    <n v="324"/>
    <x v="8"/>
    <n v="1"/>
    <x v="0"/>
    <x v="2"/>
    <x v="1"/>
    <x v="238"/>
    <x v="56"/>
    <x v="0"/>
    <x v="0"/>
  </r>
  <r>
    <x v="324"/>
    <x v="0"/>
    <n v="325"/>
    <x v="50"/>
    <n v="2"/>
    <x v="6"/>
    <x v="0"/>
    <x v="0"/>
    <x v="239"/>
    <x v="94"/>
    <x v="0"/>
    <x v="0"/>
  </r>
  <r>
    <x v="325"/>
    <x v="1"/>
    <n v="326"/>
    <x v="30"/>
    <n v="0"/>
    <x v="1"/>
    <x v="1"/>
    <x v="1"/>
    <x v="240"/>
    <x v="130"/>
    <x v="0"/>
    <x v="0"/>
  </r>
  <r>
    <x v="326"/>
    <x v="0"/>
    <n v="327"/>
    <x v="53"/>
    <n v="0"/>
    <x v="1"/>
    <x v="0"/>
    <x v="0"/>
    <x v="241"/>
    <x v="152"/>
    <x v="0"/>
    <x v="0"/>
  </r>
  <r>
    <x v="327"/>
    <x v="1"/>
    <n v="328"/>
    <x v="2"/>
    <n v="0"/>
    <x v="1"/>
    <x v="2"/>
    <x v="1"/>
    <x v="242"/>
    <x v="16"/>
    <x v="0"/>
    <x v="0"/>
  </r>
  <r>
    <x v="328"/>
    <x v="1"/>
    <n v="329"/>
    <x v="33"/>
    <n v="1"/>
    <x v="0"/>
    <x v="0"/>
    <x v="1"/>
    <x v="243"/>
    <x v="97"/>
    <x v="0"/>
    <x v="0"/>
  </r>
  <r>
    <x v="329"/>
    <x v="1"/>
    <n v="330"/>
    <x v="39"/>
    <n v="1"/>
    <x v="1"/>
    <x v="1"/>
    <x v="1"/>
    <x v="244"/>
    <x v="153"/>
    <x v="0"/>
    <x v="2"/>
  </r>
  <r>
    <x v="330"/>
    <x v="1"/>
    <n v="331"/>
    <x v="8"/>
    <n v="0"/>
    <x v="4"/>
    <x v="0"/>
    <x v="1"/>
    <x v="245"/>
    <x v="141"/>
    <x v="0"/>
    <x v="0"/>
  </r>
  <r>
    <x v="331"/>
    <x v="0"/>
    <n v="332"/>
    <x v="5"/>
    <n v="0"/>
    <x v="1"/>
    <x v="1"/>
    <x v="0"/>
    <x v="246"/>
    <x v="154"/>
    <x v="0"/>
    <x v="0"/>
  </r>
  <r>
    <x v="332"/>
    <x v="0"/>
    <n v="333"/>
    <x v="33"/>
    <n v="1"/>
    <x v="1"/>
    <x v="1"/>
    <x v="0"/>
    <x v="247"/>
    <x v="129"/>
    <x v="0"/>
    <x v="0"/>
  </r>
  <r>
    <x v="333"/>
    <x v="0"/>
    <n v="334"/>
    <x v="11"/>
    <n v="0"/>
    <x v="4"/>
    <x v="0"/>
    <x v="0"/>
    <x v="248"/>
    <x v="17"/>
    <x v="0"/>
    <x v="0"/>
  </r>
  <r>
    <x v="334"/>
    <x v="1"/>
    <n v="335"/>
    <x v="49"/>
    <n v="0"/>
    <x v="0"/>
    <x v="1"/>
    <x v="1"/>
    <x v="249"/>
    <x v="155"/>
    <x v="0"/>
    <x v="0"/>
  </r>
  <r>
    <x v="335"/>
    <x v="0"/>
    <n v="336"/>
    <x v="3"/>
    <n v="0"/>
    <x v="1"/>
    <x v="0"/>
    <x v="0"/>
    <x v="250"/>
    <x v="25"/>
    <x v="0"/>
    <x v="0"/>
  </r>
  <r>
    <x v="336"/>
    <x v="0"/>
    <n v="337"/>
    <x v="21"/>
    <n v="0"/>
    <x v="0"/>
    <x v="1"/>
    <x v="0"/>
    <x v="251"/>
    <x v="90"/>
    <x v="0"/>
    <x v="0"/>
  </r>
  <r>
    <x v="337"/>
    <x v="1"/>
    <n v="338"/>
    <x v="23"/>
    <n v="0"/>
    <x v="1"/>
    <x v="1"/>
    <x v="1"/>
    <x v="252"/>
    <x v="151"/>
    <x v="0"/>
    <x v="1"/>
  </r>
  <r>
    <x v="338"/>
    <x v="0"/>
    <n v="339"/>
    <x v="1"/>
    <n v="0"/>
    <x v="1"/>
    <x v="0"/>
    <x v="1"/>
    <x v="252"/>
    <x v="4"/>
    <x v="0"/>
    <x v="1"/>
  </r>
  <r>
    <x v="339"/>
    <x v="0"/>
    <n v="340"/>
    <x v="33"/>
    <n v="0"/>
    <x v="1"/>
    <x v="1"/>
    <x v="0"/>
    <x v="253"/>
    <x v="21"/>
    <x v="0"/>
    <x v="0"/>
  </r>
  <r>
    <x v="340"/>
    <x v="0"/>
    <n v="341"/>
    <x v="5"/>
    <n v="1"/>
    <x v="0"/>
    <x v="2"/>
    <x v="1"/>
    <x v="254"/>
    <x v="19"/>
    <x v="0"/>
    <x v="0"/>
  </r>
  <r>
    <x v="341"/>
    <x v="1"/>
    <n v="342"/>
    <x v="1"/>
    <n v="2"/>
    <x v="2"/>
    <x v="1"/>
    <x v="1"/>
    <x v="255"/>
    <x v="23"/>
    <x v="0"/>
    <x v="0"/>
  </r>
  <r>
    <x v="342"/>
    <x v="0"/>
    <n v="343"/>
    <x v="29"/>
    <n v="0"/>
    <x v="1"/>
    <x v="2"/>
    <x v="0"/>
    <x v="255"/>
    <x v="16"/>
    <x v="0"/>
    <x v="0"/>
  </r>
  <r>
    <x v="343"/>
    <x v="0"/>
    <n v="344"/>
    <x v="22"/>
    <n v="0"/>
    <x v="1"/>
    <x v="2"/>
    <x v="0"/>
    <x v="255"/>
    <x v="16"/>
    <x v="0"/>
    <x v="0"/>
  </r>
  <r>
    <x v="344"/>
    <x v="0"/>
    <n v="345"/>
    <x v="70"/>
    <n v="0"/>
    <x v="1"/>
    <x v="2"/>
    <x v="0"/>
    <x v="256"/>
    <x v="16"/>
    <x v="0"/>
    <x v="0"/>
  </r>
  <r>
    <x v="345"/>
    <x v="1"/>
    <n v="346"/>
    <x v="28"/>
    <n v="0"/>
    <x v="1"/>
    <x v="2"/>
    <x v="1"/>
    <x v="257"/>
    <x v="16"/>
    <x v="0"/>
    <x v="0"/>
  </r>
  <r>
    <x v="346"/>
    <x v="1"/>
    <n v="347"/>
    <x v="54"/>
    <n v="0"/>
    <x v="1"/>
    <x v="2"/>
    <x v="1"/>
    <x v="258"/>
    <x v="16"/>
    <x v="0"/>
    <x v="0"/>
  </r>
  <r>
    <x v="347"/>
    <x v="1"/>
    <n v="348"/>
    <x v="38"/>
    <n v="0"/>
    <x v="0"/>
    <x v="0"/>
    <x v="1"/>
    <x v="259"/>
    <x v="95"/>
    <x v="0"/>
    <x v="0"/>
  </r>
  <r>
    <x v="348"/>
    <x v="0"/>
    <n v="349"/>
    <x v="51"/>
    <n v="1"/>
    <x v="0"/>
    <x v="0"/>
    <x v="1"/>
    <x v="259"/>
    <x v="156"/>
    <x v="0"/>
    <x v="0"/>
  </r>
  <r>
    <x v="349"/>
    <x v="0"/>
    <n v="350"/>
    <x v="3"/>
    <n v="0"/>
    <x v="1"/>
    <x v="0"/>
    <x v="0"/>
    <x v="260"/>
    <x v="51"/>
    <x v="0"/>
    <x v="0"/>
  </r>
  <r>
    <x v="350"/>
    <x v="0"/>
    <n v="351"/>
    <x v="5"/>
    <n v="0"/>
    <x v="1"/>
    <x v="0"/>
    <x v="0"/>
    <x v="261"/>
    <x v="157"/>
    <x v="0"/>
    <x v="0"/>
  </r>
  <r>
    <x v="351"/>
    <x v="0"/>
    <n v="352"/>
    <x v="30"/>
    <n v="0"/>
    <x v="1"/>
    <x v="1"/>
    <x v="0"/>
    <x v="261"/>
    <x v="158"/>
    <x v="0"/>
    <x v="0"/>
  </r>
  <r>
    <x v="352"/>
    <x v="0"/>
    <n v="353"/>
    <x v="56"/>
    <n v="1"/>
    <x v="0"/>
    <x v="0"/>
    <x v="0"/>
    <x v="262"/>
    <x v="32"/>
    <x v="0"/>
    <x v="0"/>
  </r>
  <r>
    <x v="353"/>
    <x v="0"/>
    <n v="354"/>
    <x v="62"/>
    <n v="0"/>
    <x v="0"/>
    <x v="0"/>
    <x v="0"/>
    <x v="263"/>
    <x v="39"/>
    <x v="0"/>
    <x v="0"/>
  </r>
  <r>
    <x v="354"/>
    <x v="0"/>
    <n v="355"/>
    <x v="64"/>
    <n v="0"/>
    <x v="1"/>
    <x v="0"/>
    <x v="0"/>
    <x v="263"/>
    <x v="18"/>
    <x v="0"/>
    <x v="0"/>
  </r>
  <r>
    <x v="355"/>
    <x v="0"/>
    <n v="356"/>
    <x v="63"/>
    <n v="0"/>
    <x v="1"/>
    <x v="0"/>
    <x v="0"/>
    <x v="264"/>
    <x v="59"/>
    <x v="0"/>
    <x v="0"/>
  </r>
  <r>
    <x v="356"/>
    <x v="1"/>
    <n v="357"/>
    <x v="50"/>
    <n v="1"/>
    <x v="1"/>
    <x v="1"/>
    <x v="1"/>
    <x v="265"/>
    <x v="98"/>
    <x v="0"/>
    <x v="0"/>
  </r>
  <r>
    <x v="357"/>
    <x v="1"/>
    <n v="358"/>
    <x v="5"/>
    <n v="0"/>
    <x v="1"/>
    <x v="2"/>
    <x v="0"/>
    <x v="266"/>
    <x v="16"/>
    <x v="0"/>
    <x v="0"/>
  </r>
  <r>
    <x v="358"/>
    <x v="1"/>
    <n v="359"/>
    <x v="25"/>
    <n v="0"/>
    <x v="1"/>
    <x v="0"/>
    <x v="1"/>
    <x v="267"/>
    <x v="24"/>
    <x v="0"/>
    <x v="0"/>
  </r>
  <r>
    <x v="359"/>
    <x v="1"/>
    <n v="360"/>
    <x v="33"/>
    <n v="0"/>
    <x v="1"/>
    <x v="0"/>
    <x v="1"/>
    <x v="268"/>
    <x v="24"/>
    <x v="0"/>
    <x v="0"/>
  </r>
  <r>
    <x v="360"/>
    <x v="0"/>
    <n v="361"/>
    <x v="56"/>
    <n v="4"/>
    <x v="0"/>
    <x v="0"/>
    <x v="0"/>
    <x v="269"/>
    <x v="48"/>
    <x v="0"/>
    <x v="0"/>
  </r>
  <r>
    <x v="361"/>
    <x v="0"/>
    <n v="362"/>
    <x v="30"/>
    <n v="0"/>
    <x v="0"/>
    <x v="2"/>
    <x v="0"/>
    <x v="269"/>
    <x v="26"/>
    <x v="0"/>
    <x v="0"/>
  </r>
  <r>
    <x v="362"/>
    <x v="1"/>
    <n v="363"/>
    <x v="57"/>
    <n v="1"/>
    <x v="1"/>
    <x v="0"/>
    <x v="0"/>
    <x v="270"/>
    <x v="53"/>
    <x v="0"/>
    <x v="0"/>
  </r>
  <r>
    <x v="363"/>
    <x v="0"/>
    <n v="364"/>
    <x v="56"/>
    <n v="0"/>
    <x v="1"/>
    <x v="0"/>
    <x v="0"/>
    <x v="271"/>
    <x v="79"/>
    <x v="103"/>
    <x v="0"/>
  </r>
  <r>
    <x v="364"/>
    <x v="0"/>
    <n v="365"/>
    <x v="61"/>
    <n v="0"/>
    <x v="0"/>
    <x v="0"/>
    <x v="0"/>
    <x v="272"/>
    <x v="37"/>
    <x v="0"/>
    <x v="0"/>
  </r>
  <r>
    <x v="365"/>
    <x v="0"/>
    <n v="366"/>
    <x v="59"/>
    <n v="0"/>
    <x v="1"/>
    <x v="0"/>
    <x v="0"/>
    <x v="273"/>
    <x v="0"/>
    <x v="0"/>
    <x v="0"/>
  </r>
  <r>
    <x v="366"/>
    <x v="1"/>
    <n v="367"/>
    <x v="48"/>
    <n v="0"/>
    <x v="0"/>
    <x v="1"/>
    <x v="1"/>
    <x v="274"/>
    <x v="159"/>
    <x v="0"/>
    <x v="0"/>
  </r>
  <r>
    <x v="367"/>
    <x v="1"/>
    <n v="368"/>
    <x v="72"/>
    <n v="0"/>
    <x v="1"/>
    <x v="0"/>
    <x v="1"/>
    <x v="274"/>
    <x v="32"/>
    <x v="0"/>
    <x v="0"/>
  </r>
  <r>
    <x v="368"/>
    <x v="1"/>
    <n v="369"/>
    <x v="3"/>
    <n v="0"/>
    <x v="1"/>
    <x v="0"/>
    <x v="1"/>
    <x v="274"/>
    <x v="28"/>
    <x v="0"/>
    <x v="0"/>
  </r>
  <r>
    <x v="369"/>
    <x v="1"/>
    <n v="370"/>
    <x v="18"/>
    <n v="0"/>
    <x v="1"/>
    <x v="1"/>
    <x v="1"/>
    <x v="275"/>
    <x v="160"/>
    <x v="0"/>
    <x v="0"/>
  </r>
  <r>
    <x v="370"/>
    <x v="0"/>
    <n v="371"/>
    <x v="30"/>
    <n v="0"/>
    <x v="0"/>
    <x v="1"/>
    <x v="1"/>
    <x v="276"/>
    <x v="161"/>
    <x v="104"/>
    <x v="0"/>
  </r>
  <r>
    <x v="371"/>
    <x v="0"/>
    <n v="372"/>
    <x v="12"/>
    <n v="0"/>
    <x v="0"/>
    <x v="0"/>
    <x v="0"/>
    <x v="277"/>
    <x v="110"/>
    <x v="0"/>
    <x v="0"/>
  </r>
  <r>
    <x v="372"/>
    <x v="0"/>
    <n v="373"/>
    <x v="9"/>
    <n v="0"/>
    <x v="1"/>
    <x v="0"/>
    <x v="0"/>
    <x v="277"/>
    <x v="4"/>
    <x v="0"/>
    <x v="0"/>
  </r>
  <r>
    <x v="373"/>
    <x v="0"/>
    <n v="374"/>
    <x v="3"/>
    <n v="0"/>
    <x v="1"/>
    <x v="1"/>
    <x v="0"/>
    <x v="278"/>
    <x v="130"/>
    <x v="0"/>
    <x v="0"/>
  </r>
  <r>
    <x v="374"/>
    <x v="1"/>
    <n v="375"/>
    <x v="30"/>
    <n v="1"/>
    <x v="2"/>
    <x v="0"/>
    <x v="0"/>
    <x v="279"/>
    <x v="7"/>
    <x v="0"/>
    <x v="0"/>
  </r>
  <r>
    <x v="375"/>
    <x v="1"/>
    <n v="376"/>
    <x v="58"/>
    <n v="0"/>
    <x v="0"/>
    <x v="1"/>
    <x v="1"/>
    <x v="280"/>
    <x v="30"/>
    <x v="0"/>
    <x v="0"/>
  </r>
  <r>
    <x v="376"/>
    <x v="1"/>
    <n v="377"/>
    <x v="42"/>
    <n v="0"/>
    <x v="1"/>
    <x v="0"/>
    <x v="1"/>
    <x v="281"/>
    <x v="0"/>
    <x v="0"/>
    <x v="0"/>
  </r>
  <r>
    <x v="377"/>
    <x v="0"/>
    <n v="378"/>
    <x v="41"/>
    <n v="2"/>
    <x v="1"/>
    <x v="1"/>
    <x v="0"/>
    <x v="281"/>
    <x v="162"/>
    <x v="0"/>
    <x v="0"/>
  </r>
  <r>
    <x v="378"/>
    <x v="0"/>
    <n v="379"/>
    <x v="39"/>
    <n v="0"/>
    <x v="1"/>
    <x v="0"/>
    <x v="0"/>
    <x v="282"/>
    <x v="163"/>
    <x v="0"/>
    <x v="0"/>
  </r>
  <r>
    <x v="379"/>
    <x v="0"/>
    <n v="380"/>
    <x v="18"/>
    <n v="0"/>
    <x v="1"/>
    <x v="0"/>
    <x v="0"/>
    <x v="283"/>
    <x v="71"/>
    <x v="0"/>
    <x v="0"/>
  </r>
  <r>
    <x v="380"/>
    <x v="1"/>
    <n v="381"/>
    <x v="56"/>
    <n v="0"/>
    <x v="1"/>
    <x v="1"/>
    <x v="1"/>
    <x v="283"/>
    <x v="164"/>
    <x v="0"/>
    <x v="0"/>
  </r>
  <r>
    <x v="381"/>
    <x v="1"/>
    <n v="382"/>
    <x v="39"/>
    <n v="2"/>
    <x v="1"/>
    <x v="0"/>
    <x v="1"/>
    <x v="284"/>
    <x v="165"/>
    <x v="0"/>
    <x v="0"/>
  </r>
  <r>
    <x v="382"/>
    <x v="0"/>
    <n v="383"/>
    <x v="30"/>
    <n v="0"/>
    <x v="1"/>
    <x v="0"/>
    <x v="0"/>
    <x v="285"/>
    <x v="2"/>
    <x v="0"/>
    <x v="0"/>
  </r>
  <r>
    <x v="383"/>
    <x v="1"/>
    <n v="384"/>
    <x v="12"/>
    <n v="0"/>
    <x v="0"/>
    <x v="1"/>
    <x v="1"/>
    <x v="285"/>
    <x v="31"/>
    <x v="0"/>
    <x v="0"/>
  </r>
  <r>
    <x v="384"/>
    <x v="0"/>
    <n v="385"/>
    <x v="4"/>
    <n v="0"/>
    <x v="1"/>
    <x v="0"/>
    <x v="0"/>
    <x v="286"/>
    <x v="25"/>
    <x v="0"/>
    <x v="0"/>
  </r>
  <r>
    <x v="385"/>
    <x v="0"/>
    <n v="386"/>
    <x v="8"/>
    <n v="0"/>
    <x v="1"/>
    <x v="2"/>
    <x v="0"/>
    <x v="287"/>
    <x v="52"/>
    <x v="0"/>
    <x v="0"/>
  </r>
  <r>
    <x v="386"/>
    <x v="0"/>
    <n v="387"/>
    <x v="39"/>
    <n v="2"/>
    <x v="5"/>
    <x v="0"/>
    <x v="0"/>
    <x v="288"/>
    <x v="45"/>
    <x v="0"/>
    <x v="0"/>
  </r>
  <r>
    <x v="387"/>
    <x v="1"/>
    <n v="388"/>
    <x v="43"/>
    <n v="0"/>
    <x v="1"/>
    <x v="2"/>
    <x v="1"/>
    <x v="289"/>
    <x v="16"/>
    <x v="0"/>
    <x v="0"/>
  </r>
  <r>
    <x v="388"/>
    <x v="0"/>
    <n v="389"/>
    <x v="59"/>
    <n v="0"/>
    <x v="1"/>
    <x v="0"/>
    <x v="0"/>
    <x v="289"/>
    <x v="166"/>
    <x v="0"/>
    <x v="0"/>
  </r>
  <r>
    <x v="389"/>
    <x v="1"/>
    <n v="390"/>
    <x v="6"/>
    <n v="0"/>
    <x v="1"/>
    <x v="2"/>
    <x v="1"/>
    <x v="290"/>
    <x v="167"/>
    <x v="0"/>
    <x v="0"/>
  </r>
  <r>
    <x v="390"/>
    <x v="0"/>
    <n v="391"/>
    <x v="48"/>
    <n v="2"/>
    <x v="0"/>
    <x v="1"/>
    <x v="1"/>
    <x v="291"/>
    <x v="168"/>
    <x v="0"/>
    <x v="0"/>
  </r>
  <r>
    <x v="391"/>
    <x v="0"/>
    <n v="392"/>
    <x v="58"/>
    <n v="0"/>
    <x v="1"/>
    <x v="0"/>
    <x v="1"/>
    <x v="292"/>
    <x v="88"/>
    <x v="0"/>
    <x v="0"/>
  </r>
  <r>
    <x v="392"/>
    <x v="0"/>
    <n v="393"/>
    <x v="5"/>
    <n v="0"/>
    <x v="4"/>
    <x v="0"/>
    <x v="0"/>
    <x v="293"/>
    <x v="2"/>
    <x v="0"/>
    <x v="0"/>
  </r>
  <r>
    <x v="393"/>
    <x v="1"/>
    <n v="394"/>
    <x v="22"/>
    <n v="0"/>
    <x v="0"/>
    <x v="1"/>
    <x v="1"/>
    <x v="294"/>
    <x v="114"/>
    <x v="0"/>
    <x v="0"/>
  </r>
  <r>
    <x v="394"/>
    <x v="1"/>
    <n v="395"/>
    <x v="39"/>
    <n v="2"/>
    <x v="1"/>
    <x v="0"/>
    <x v="1"/>
    <x v="295"/>
    <x v="10"/>
    <x v="0"/>
    <x v="0"/>
  </r>
  <r>
    <x v="395"/>
    <x v="0"/>
    <n v="396"/>
    <x v="14"/>
    <n v="0"/>
    <x v="1"/>
    <x v="0"/>
    <x v="0"/>
    <x v="296"/>
    <x v="88"/>
    <x v="0"/>
    <x v="0"/>
  </r>
  <r>
    <x v="396"/>
    <x v="1"/>
    <n v="397"/>
    <x v="5"/>
    <n v="0"/>
    <x v="1"/>
    <x v="0"/>
    <x v="0"/>
    <x v="297"/>
    <x v="13"/>
    <x v="0"/>
    <x v="0"/>
  </r>
  <r>
    <x v="397"/>
    <x v="0"/>
    <n v="398"/>
    <x v="21"/>
    <n v="0"/>
    <x v="1"/>
    <x v="2"/>
    <x v="0"/>
    <x v="298"/>
    <x v="19"/>
    <x v="0"/>
    <x v="0"/>
  </r>
  <r>
    <x v="398"/>
    <x v="0"/>
    <n v="399"/>
    <x v="14"/>
    <n v="0"/>
    <x v="1"/>
    <x v="2"/>
    <x v="0"/>
    <x v="299"/>
    <x v="29"/>
    <x v="0"/>
    <x v="0"/>
  </r>
  <r>
    <x v="399"/>
    <x v="1"/>
    <n v="400"/>
    <x v="14"/>
    <n v="0"/>
    <x v="1"/>
    <x v="2"/>
    <x v="1"/>
    <x v="300"/>
    <x v="169"/>
    <x v="0"/>
    <x v="0"/>
  </r>
  <r>
    <x v="400"/>
    <x v="0"/>
    <n v="401"/>
    <x v="20"/>
    <n v="0"/>
    <x v="1"/>
    <x v="0"/>
    <x v="1"/>
    <x v="301"/>
    <x v="2"/>
    <x v="0"/>
    <x v="0"/>
  </r>
  <r>
    <x v="401"/>
    <x v="0"/>
    <n v="402"/>
    <x v="20"/>
    <n v="0"/>
    <x v="1"/>
    <x v="0"/>
    <x v="0"/>
    <x v="302"/>
    <x v="4"/>
    <x v="0"/>
    <x v="0"/>
  </r>
  <r>
    <x v="402"/>
    <x v="1"/>
    <n v="403"/>
    <x v="48"/>
    <n v="0"/>
    <x v="0"/>
    <x v="0"/>
    <x v="0"/>
    <x v="303"/>
    <x v="73"/>
    <x v="0"/>
    <x v="0"/>
  </r>
  <r>
    <x v="403"/>
    <x v="0"/>
    <n v="404"/>
    <x v="25"/>
    <n v="0"/>
    <x v="0"/>
    <x v="0"/>
    <x v="0"/>
    <x v="304"/>
    <x v="62"/>
    <x v="0"/>
    <x v="0"/>
  </r>
  <r>
    <x v="404"/>
    <x v="1"/>
    <n v="405"/>
    <x v="4"/>
    <n v="0"/>
    <x v="1"/>
    <x v="0"/>
    <x v="0"/>
    <x v="305"/>
    <x v="51"/>
    <x v="0"/>
    <x v="0"/>
  </r>
  <r>
    <x v="405"/>
    <x v="0"/>
    <n v="406"/>
    <x v="19"/>
    <n v="0"/>
    <x v="0"/>
    <x v="2"/>
    <x v="0"/>
    <x v="306"/>
    <x v="35"/>
    <x v="0"/>
    <x v="0"/>
  </r>
  <r>
    <x v="406"/>
    <x v="0"/>
    <n v="407"/>
    <x v="6"/>
    <n v="0"/>
    <x v="1"/>
    <x v="0"/>
    <x v="0"/>
    <x v="307"/>
    <x v="28"/>
    <x v="0"/>
    <x v="0"/>
  </r>
  <r>
    <x v="407"/>
    <x v="0"/>
    <n v="408"/>
    <x v="43"/>
    <n v="1"/>
    <x v="0"/>
    <x v="2"/>
    <x v="1"/>
    <x v="308"/>
    <x v="170"/>
    <x v="0"/>
    <x v="0"/>
  </r>
  <r>
    <x v="408"/>
    <x v="0"/>
    <n v="409"/>
    <x v="9"/>
    <n v="0"/>
    <x v="1"/>
    <x v="0"/>
    <x v="0"/>
    <x v="309"/>
    <x v="71"/>
    <x v="0"/>
    <x v="0"/>
  </r>
  <r>
    <x v="409"/>
    <x v="1"/>
    <n v="410"/>
    <x v="36"/>
    <n v="1"/>
    <x v="2"/>
    <x v="0"/>
    <x v="0"/>
    <x v="310"/>
    <x v="102"/>
    <x v="0"/>
    <x v="2"/>
  </r>
  <r>
    <x v="410"/>
    <x v="0"/>
    <n v="411"/>
    <x v="49"/>
    <n v="0"/>
    <x v="1"/>
    <x v="0"/>
    <x v="0"/>
    <x v="311"/>
    <x v="25"/>
    <x v="0"/>
    <x v="2"/>
  </r>
  <r>
    <x v="411"/>
    <x v="0"/>
    <n v="412"/>
    <x v="17"/>
    <n v="0"/>
    <x v="1"/>
    <x v="0"/>
    <x v="0"/>
    <x v="312"/>
    <x v="171"/>
    <x v="0"/>
    <x v="2"/>
  </r>
  <r>
    <x v="412"/>
    <x v="1"/>
    <n v="413"/>
    <x v="29"/>
    <n v="0"/>
    <x v="0"/>
    <x v="1"/>
    <x v="1"/>
    <x v="313"/>
    <x v="117"/>
    <x v="0"/>
    <x v="2"/>
  </r>
  <r>
    <x v="413"/>
    <x v="0"/>
    <n v="414"/>
    <x v="57"/>
    <n v="0"/>
    <x v="1"/>
    <x v="2"/>
    <x v="0"/>
    <x v="314"/>
    <x v="104"/>
    <x v="0"/>
    <x v="2"/>
  </r>
  <r>
    <x v="414"/>
    <x v="0"/>
    <n v="415"/>
    <x v="20"/>
    <n v="0"/>
    <x v="1"/>
    <x v="0"/>
    <x v="1"/>
    <x v="315"/>
    <x v="2"/>
    <x v="0"/>
    <x v="2"/>
  </r>
  <r>
    <x v="415"/>
    <x v="1"/>
    <n v="416"/>
    <x v="57"/>
    <n v="0"/>
    <x v="1"/>
    <x v="0"/>
    <x v="0"/>
    <x v="316"/>
    <x v="4"/>
    <x v="0"/>
    <x v="2"/>
  </r>
  <r>
    <x v="416"/>
    <x v="1"/>
    <n v="417"/>
    <x v="43"/>
    <n v="1"/>
    <x v="0"/>
    <x v="2"/>
    <x v="1"/>
    <x v="317"/>
    <x v="172"/>
    <x v="0"/>
    <x v="2"/>
  </r>
  <r>
    <x v="417"/>
    <x v="1"/>
    <n v="418"/>
    <x v="42"/>
    <n v="2"/>
    <x v="1"/>
    <x v="2"/>
    <x v="1"/>
    <x v="318"/>
    <x v="16"/>
    <x v="0"/>
    <x v="2"/>
  </r>
  <r>
    <x v="418"/>
    <x v="0"/>
    <n v="419"/>
    <x v="9"/>
    <n v="0"/>
    <x v="1"/>
    <x v="2"/>
    <x v="0"/>
    <x v="319"/>
    <x v="16"/>
    <x v="0"/>
    <x v="2"/>
  </r>
  <r>
    <x v="419"/>
    <x v="1"/>
    <n v="420"/>
    <x v="57"/>
    <n v="2"/>
    <x v="1"/>
    <x v="0"/>
    <x v="0"/>
    <x v="320"/>
    <x v="72"/>
    <x v="0"/>
    <x v="2"/>
  </r>
  <r>
    <x v="420"/>
    <x v="0"/>
    <n v="421"/>
    <x v="46"/>
    <n v="0"/>
    <x v="1"/>
    <x v="0"/>
    <x v="0"/>
    <x v="321"/>
    <x v="25"/>
    <x v="0"/>
    <x v="2"/>
  </r>
  <r>
    <x v="421"/>
    <x v="0"/>
    <n v="422"/>
    <x v="63"/>
    <n v="0"/>
    <x v="1"/>
    <x v="0"/>
    <x v="0"/>
    <x v="322"/>
    <x v="93"/>
    <x v="0"/>
    <x v="2"/>
  </r>
  <r>
    <x v="422"/>
    <x v="0"/>
    <n v="423"/>
    <x v="20"/>
    <n v="0"/>
    <x v="1"/>
    <x v="0"/>
    <x v="0"/>
    <x v="323"/>
    <x v="173"/>
    <x v="0"/>
    <x v="2"/>
  </r>
  <r>
    <x v="423"/>
    <x v="1"/>
    <n v="424"/>
    <x v="44"/>
    <n v="1"/>
    <x v="0"/>
    <x v="0"/>
    <x v="0"/>
    <x v="324"/>
    <x v="174"/>
    <x v="0"/>
    <x v="2"/>
  </r>
  <r>
    <x v="424"/>
    <x v="0"/>
    <n v="425"/>
    <x v="4"/>
    <n v="1"/>
    <x v="0"/>
    <x v="0"/>
    <x v="0"/>
    <x v="325"/>
    <x v="125"/>
    <x v="0"/>
    <x v="0"/>
  </r>
  <r>
    <x v="425"/>
    <x v="0"/>
    <n v="426"/>
    <x v="33"/>
    <n v="0"/>
    <x v="1"/>
    <x v="0"/>
    <x v="0"/>
    <x v="326"/>
    <x v="0"/>
    <x v="0"/>
    <x v="0"/>
  </r>
  <r>
    <x v="426"/>
    <x v="1"/>
    <n v="427"/>
    <x v="68"/>
    <n v="0"/>
    <x v="0"/>
    <x v="2"/>
    <x v="1"/>
    <x v="327"/>
    <x v="19"/>
    <x v="0"/>
    <x v="0"/>
  </r>
  <r>
    <x v="427"/>
    <x v="1"/>
    <n v="428"/>
    <x v="48"/>
    <n v="0"/>
    <x v="1"/>
    <x v="2"/>
    <x v="1"/>
    <x v="328"/>
    <x v="19"/>
    <x v="0"/>
    <x v="0"/>
  </r>
  <r>
    <x v="428"/>
    <x v="0"/>
    <n v="429"/>
    <x v="30"/>
    <n v="0"/>
    <x v="1"/>
    <x v="0"/>
    <x v="0"/>
    <x v="329"/>
    <x v="28"/>
    <x v="0"/>
    <x v="0"/>
  </r>
  <r>
    <x v="429"/>
    <x v="0"/>
    <n v="430"/>
    <x v="22"/>
    <n v="0"/>
    <x v="1"/>
    <x v="0"/>
    <x v="1"/>
    <x v="330"/>
    <x v="4"/>
    <x v="0"/>
    <x v="0"/>
  </r>
  <r>
    <x v="430"/>
    <x v="0"/>
    <n v="431"/>
    <x v="68"/>
    <n v="0"/>
    <x v="1"/>
    <x v="1"/>
    <x v="1"/>
    <x v="331"/>
    <x v="11"/>
    <x v="0"/>
    <x v="0"/>
  </r>
  <r>
    <x v="431"/>
    <x v="1"/>
    <n v="432"/>
    <x v="26"/>
    <n v="0"/>
    <x v="0"/>
    <x v="0"/>
    <x v="1"/>
    <x v="332"/>
    <x v="95"/>
    <x v="0"/>
    <x v="0"/>
  </r>
  <r>
    <x v="432"/>
    <x v="1"/>
    <n v="433"/>
    <x v="63"/>
    <n v="0"/>
    <x v="0"/>
    <x v="2"/>
    <x v="1"/>
    <x v="333"/>
    <x v="19"/>
    <x v="0"/>
    <x v="0"/>
  </r>
  <r>
    <x v="433"/>
    <x v="0"/>
    <n v="434"/>
    <x v="8"/>
    <n v="0"/>
    <x v="1"/>
    <x v="0"/>
    <x v="0"/>
    <x v="334"/>
    <x v="123"/>
    <x v="0"/>
    <x v="0"/>
  </r>
  <r>
    <x v="434"/>
    <x v="0"/>
    <n v="435"/>
    <x v="51"/>
    <n v="0"/>
    <x v="0"/>
    <x v="1"/>
    <x v="0"/>
    <x v="334"/>
    <x v="175"/>
    <x v="0"/>
    <x v="0"/>
  </r>
  <r>
    <x v="435"/>
    <x v="1"/>
    <n v="436"/>
    <x v="49"/>
    <n v="2"/>
    <x v="0"/>
    <x v="1"/>
    <x v="1"/>
    <x v="335"/>
    <x v="168"/>
    <x v="0"/>
    <x v="0"/>
  </r>
  <r>
    <x v="436"/>
    <x v="1"/>
    <n v="437"/>
    <x v="9"/>
    <n v="2"/>
    <x v="4"/>
    <x v="0"/>
    <x v="0"/>
    <x v="336"/>
    <x v="63"/>
    <x v="0"/>
    <x v="0"/>
  </r>
  <r>
    <x v="437"/>
    <x v="1"/>
    <n v="438"/>
    <x v="20"/>
    <n v="3"/>
    <x v="4"/>
    <x v="2"/>
    <x v="1"/>
    <x v="337"/>
    <x v="170"/>
    <x v="0"/>
    <x v="0"/>
  </r>
  <r>
    <x v="438"/>
    <x v="0"/>
    <n v="439"/>
    <x v="3"/>
    <n v="4"/>
    <x v="0"/>
    <x v="1"/>
    <x v="0"/>
    <x v="338"/>
    <x v="23"/>
    <x v="0"/>
    <x v="0"/>
  </r>
  <r>
    <x v="439"/>
    <x v="0"/>
    <n v="440"/>
    <x v="73"/>
    <n v="0"/>
    <x v="1"/>
    <x v="2"/>
    <x v="0"/>
    <x v="339"/>
    <x v="29"/>
    <x v="0"/>
    <x v="0"/>
  </r>
  <r>
    <x v="440"/>
    <x v="1"/>
    <n v="441"/>
    <x v="26"/>
    <n v="1"/>
    <x v="0"/>
    <x v="2"/>
    <x v="1"/>
    <x v="339"/>
    <x v="121"/>
    <x v="0"/>
    <x v="0"/>
  </r>
  <r>
    <x v="441"/>
    <x v="0"/>
    <n v="442"/>
    <x v="39"/>
    <n v="0"/>
    <x v="1"/>
    <x v="0"/>
    <x v="0"/>
    <x v="339"/>
    <x v="59"/>
    <x v="0"/>
    <x v="0"/>
  </r>
  <r>
    <x v="442"/>
    <x v="0"/>
    <n v="443"/>
    <x v="39"/>
    <n v="0"/>
    <x v="0"/>
    <x v="0"/>
    <x v="0"/>
    <x v="340"/>
    <x v="71"/>
    <x v="0"/>
    <x v="0"/>
  </r>
  <r>
    <x v="443"/>
    <x v="1"/>
    <n v="444"/>
    <x v="53"/>
    <n v="0"/>
    <x v="1"/>
    <x v="2"/>
    <x v="1"/>
    <x v="341"/>
    <x v="16"/>
    <x v="0"/>
    <x v="0"/>
  </r>
  <r>
    <x v="444"/>
    <x v="0"/>
    <n v="445"/>
    <x v="51"/>
    <n v="0"/>
    <x v="1"/>
    <x v="0"/>
    <x v="1"/>
    <x v="342"/>
    <x v="176"/>
    <x v="0"/>
    <x v="0"/>
  </r>
  <r>
    <x v="445"/>
    <x v="0"/>
    <n v="446"/>
    <x v="22"/>
    <n v="2"/>
    <x v="1"/>
    <x v="1"/>
    <x v="1"/>
    <x v="343"/>
    <x v="177"/>
    <x v="0"/>
    <x v="0"/>
  </r>
  <r>
    <x v="446"/>
    <x v="1"/>
    <n v="447"/>
    <x v="1"/>
    <n v="1"/>
    <x v="1"/>
    <x v="2"/>
    <x v="1"/>
    <x v="344"/>
    <x v="131"/>
    <x v="0"/>
    <x v="0"/>
  </r>
  <r>
    <x v="447"/>
    <x v="0"/>
    <n v="448"/>
    <x v="30"/>
    <n v="0"/>
    <x v="1"/>
    <x v="1"/>
    <x v="1"/>
    <x v="345"/>
    <x v="11"/>
    <x v="0"/>
    <x v="0"/>
  </r>
  <r>
    <x v="448"/>
    <x v="1"/>
    <n v="449"/>
    <x v="3"/>
    <n v="1"/>
    <x v="4"/>
    <x v="0"/>
    <x v="1"/>
    <x v="346"/>
    <x v="178"/>
    <x v="0"/>
    <x v="0"/>
  </r>
  <r>
    <x v="449"/>
    <x v="0"/>
    <n v="450"/>
    <x v="66"/>
    <n v="0"/>
    <x v="1"/>
    <x v="1"/>
    <x v="1"/>
    <x v="347"/>
    <x v="140"/>
    <x v="105"/>
    <x v="0"/>
  </r>
  <r>
    <x v="450"/>
    <x v="0"/>
    <n v="451"/>
    <x v="22"/>
    <n v="2"/>
    <x v="0"/>
    <x v="2"/>
    <x v="0"/>
    <x v="347"/>
    <x v="44"/>
    <x v="105"/>
    <x v="0"/>
  </r>
  <r>
    <x v="451"/>
    <x v="0"/>
    <n v="452"/>
    <x v="36"/>
    <n v="0"/>
    <x v="0"/>
    <x v="0"/>
    <x v="0"/>
    <x v="348"/>
    <x v="179"/>
    <x v="0"/>
    <x v="0"/>
  </r>
  <r>
    <x v="452"/>
    <x v="0"/>
    <n v="453"/>
    <x v="13"/>
    <n v="0"/>
    <x v="1"/>
    <x v="1"/>
    <x v="0"/>
    <x v="349"/>
    <x v="44"/>
    <x v="0"/>
    <x v="0"/>
  </r>
  <r>
    <x v="453"/>
    <x v="0"/>
    <n v="454"/>
    <x v="1"/>
    <n v="0"/>
    <x v="0"/>
    <x v="1"/>
    <x v="1"/>
    <x v="350"/>
    <x v="180"/>
    <x v="0"/>
    <x v="0"/>
  </r>
  <r>
    <x v="454"/>
    <x v="0"/>
    <n v="455"/>
    <x v="63"/>
    <n v="0"/>
    <x v="1"/>
    <x v="0"/>
    <x v="0"/>
    <x v="351"/>
    <x v="4"/>
    <x v="0"/>
    <x v="0"/>
  </r>
  <r>
    <x v="455"/>
    <x v="0"/>
    <n v="456"/>
    <x v="34"/>
    <n v="0"/>
    <x v="1"/>
    <x v="0"/>
    <x v="1"/>
    <x v="352"/>
    <x v="25"/>
    <x v="0"/>
    <x v="0"/>
  </r>
  <r>
    <x v="456"/>
    <x v="0"/>
    <n v="457"/>
    <x v="22"/>
    <n v="0"/>
    <x v="1"/>
    <x v="1"/>
    <x v="0"/>
    <x v="353"/>
    <x v="11"/>
    <x v="0"/>
    <x v="0"/>
  </r>
  <r>
    <x v="457"/>
    <x v="1"/>
    <n v="458"/>
    <x v="4"/>
    <n v="0"/>
    <x v="0"/>
    <x v="1"/>
    <x v="1"/>
    <x v="354"/>
    <x v="6"/>
    <x v="0"/>
    <x v="0"/>
  </r>
  <r>
    <x v="458"/>
    <x v="1"/>
    <n v="459"/>
    <x v="43"/>
    <n v="0"/>
    <x v="1"/>
    <x v="2"/>
    <x v="1"/>
    <x v="355"/>
    <x v="29"/>
    <x v="0"/>
    <x v="0"/>
  </r>
  <r>
    <x v="459"/>
    <x v="0"/>
    <n v="460"/>
    <x v="33"/>
    <n v="0"/>
    <x v="1"/>
    <x v="0"/>
    <x v="0"/>
    <x v="356"/>
    <x v="28"/>
    <x v="0"/>
    <x v="0"/>
  </r>
  <r>
    <x v="460"/>
    <x v="0"/>
    <n v="461"/>
    <x v="13"/>
    <n v="0"/>
    <x v="1"/>
    <x v="1"/>
    <x v="1"/>
    <x v="357"/>
    <x v="11"/>
    <x v="0"/>
    <x v="0"/>
  </r>
  <r>
    <x v="461"/>
    <x v="0"/>
    <n v="462"/>
    <x v="51"/>
    <n v="0"/>
    <x v="1"/>
    <x v="0"/>
    <x v="0"/>
    <x v="358"/>
    <x v="4"/>
    <x v="0"/>
    <x v="0"/>
  </r>
  <r>
    <x v="462"/>
    <x v="0"/>
    <n v="463"/>
    <x v="33"/>
    <n v="0"/>
    <x v="1"/>
    <x v="1"/>
    <x v="0"/>
    <x v="359"/>
    <x v="181"/>
    <x v="0"/>
    <x v="0"/>
  </r>
  <r>
    <x v="463"/>
    <x v="0"/>
    <n v="464"/>
    <x v="21"/>
    <n v="0"/>
    <x v="1"/>
    <x v="2"/>
    <x v="0"/>
    <x v="360"/>
    <x v="16"/>
    <x v="0"/>
    <x v="0"/>
  </r>
  <r>
    <x v="464"/>
    <x v="0"/>
    <n v="465"/>
    <x v="37"/>
    <n v="0"/>
    <x v="1"/>
    <x v="0"/>
    <x v="0"/>
    <x v="360"/>
    <x v="4"/>
    <x v="0"/>
    <x v="0"/>
  </r>
  <r>
    <x v="465"/>
    <x v="0"/>
    <n v="466"/>
    <x v="28"/>
    <n v="0"/>
    <x v="1"/>
    <x v="0"/>
    <x v="0"/>
    <x v="360"/>
    <x v="79"/>
    <x v="0"/>
    <x v="0"/>
  </r>
  <r>
    <x v="466"/>
    <x v="0"/>
    <n v="467"/>
    <x v="67"/>
    <n v="0"/>
    <x v="1"/>
    <x v="2"/>
    <x v="0"/>
    <x v="360"/>
    <x v="104"/>
    <x v="0"/>
    <x v="0"/>
  </r>
  <r>
    <x v="467"/>
    <x v="0"/>
    <n v="468"/>
    <x v="8"/>
    <n v="0"/>
    <x v="1"/>
    <x v="1"/>
    <x v="0"/>
    <x v="361"/>
    <x v="11"/>
    <x v="0"/>
    <x v="0"/>
  </r>
  <r>
    <x v="468"/>
    <x v="0"/>
    <n v="469"/>
    <x v="3"/>
    <n v="0"/>
    <x v="1"/>
    <x v="0"/>
    <x v="0"/>
    <x v="362"/>
    <x v="182"/>
    <x v="0"/>
    <x v="0"/>
  </r>
  <r>
    <x v="469"/>
    <x v="1"/>
    <n v="470"/>
    <x v="56"/>
    <n v="1"/>
    <x v="4"/>
    <x v="0"/>
    <x v="1"/>
    <x v="362"/>
    <x v="178"/>
    <x v="0"/>
    <x v="0"/>
  </r>
  <r>
    <x v="470"/>
    <x v="0"/>
    <n v="471"/>
    <x v="9"/>
    <n v="0"/>
    <x v="1"/>
    <x v="0"/>
    <x v="0"/>
    <x v="363"/>
    <x v="0"/>
    <x v="0"/>
    <x v="0"/>
  </r>
  <r>
    <x v="471"/>
    <x v="0"/>
    <n v="472"/>
    <x v="59"/>
    <n v="0"/>
    <x v="1"/>
    <x v="0"/>
    <x v="0"/>
    <x v="364"/>
    <x v="51"/>
    <x v="0"/>
    <x v="0"/>
  </r>
  <r>
    <x v="472"/>
    <x v="1"/>
    <n v="473"/>
    <x v="66"/>
    <n v="2"/>
    <x v="0"/>
    <x v="2"/>
    <x v="1"/>
    <x v="364"/>
    <x v="44"/>
    <x v="0"/>
    <x v="0"/>
  </r>
  <r>
    <x v="473"/>
    <x v="1"/>
    <n v="474"/>
    <x v="37"/>
    <n v="0"/>
    <x v="1"/>
    <x v="2"/>
    <x v="1"/>
    <x v="364"/>
    <x v="183"/>
    <x v="0"/>
    <x v="0"/>
  </r>
  <r>
    <x v="474"/>
    <x v="1"/>
    <n v="475"/>
    <x v="40"/>
    <n v="0"/>
    <x v="1"/>
    <x v="0"/>
    <x v="0"/>
    <x v="364"/>
    <x v="184"/>
    <x v="0"/>
    <x v="0"/>
  </r>
  <r>
    <x v="475"/>
    <x v="0"/>
    <n v="476"/>
    <x v="59"/>
    <n v="0"/>
    <x v="1"/>
    <x v="1"/>
    <x v="0"/>
    <x v="364"/>
    <x v="31"/>
    <x v="0"/>
    <x v="0"/>
  </r>
  <r>
    <x v="476"/>
    <x v="0"/>
    <n v="477"/>
    <x v="72"/>
    <n v="0"/>
    <x v="0"/>
    <x v="2"/>
    <x v="0"/>
    <x v="364"/>
    <x v="35"/>
    <x v="0"/>
    <x v="0"/>
  </r>
  <r>
    <x v="477"/>
    <x v="0"/>
    <n v="478"/>
    <x v="19"/>
    <n v="0"/>
    <x v="0"/>
    <x v="0"/>
    <x v="0"/>
    <x v="364"/>
    <x v="185"/>
    <x v="0"/>
    <x v="0"/>
  </r>
  <r>
    <x v="478"/>
    <x v="0"/>
    <n v="479"/>
    <x v="33"/>
    <n v="0"/>
    <x v="1"/>
    <x v="0"/>
    <x v="0"/>
    <x v="365"/>
    <x v="186"/>
    <x v="0"/>
    <x v="0"/>
  </r>
  <r>
    <x v="479"/>
    <x v="1"/>
    <n v="480"/>
    <x v="9"/>
    <n v="1"/>
    <x v="1"/>
    <x v="0"/>
    <x v="1"/>
    <x v="366"/>
    <x v="187"/>
    <x v="0"/>
    <x v="0"/>
  </r>
  <r>
    <x v="480"/>
    <x v="0"/>
    <n v="481"/>
    <x v="8"/>
    <n v="2"/>
    <x v="5"/>
    <x v="0"/>
    <x v="0"/>
    <x v="367"/>
    <x v="45"/>
    <x v="0"/>
    <x v="0"/>
  </r>
  <r>
    <x v="481"/>
    <x v="0"/>
    <n v="482"/>
    <x v="19"/>
    <n v="0"/>
    <x v="1"/>
    <x v="2"/>
    <x v="0"/>
    <x v="368"/>
    <x v="104"/>
    <x v="0"/>
    <x v="0"/>
  </r>
  <r>
    <x v="482"/>
    <x v="0"/>
    <n v="483"/>
    <x v="13"/>
    <n v="0"/>
    <x v="1"/>
    <x v="0"/>
    <x v="0"/>
    <x v="368"/>
    <x v="4"/>
    <x v="0"/>
    <x v="0"/>
  </r>
  <r>
    <x v="483"/>
    <x v="1"/>
    <n v="484"/>
    <x v="10"/>
    <n v="0"/>
    <x v="1"/>
    <x v="0"/>
    <x v="1"/>
    <x v="368"/>
    <x v="188"/>
    <x v="0"/>
    <x v="0"/>
  </r>
  <r>
    <x v="484"/>
    <x v="0"/>
    <n v="485"/>
    <x v="37"/>
    <n v="0"/>
    <x v="0"/>
    <x v="1"/>
    <x v="1"/>
    <x v="368"/>
    <x v="136"/>
    <x v="0"/>
    <x v="0"/>
  </r>
  <r>
    <x v="485"/>
    <x v="1"/>
    <n v="486"/>
    <x v="66"/>
    <n v="1"/>
    <x v="2"/>
    <x v="0"/>
    <x v="0"/>
    <x v="368"/>
    <x v="102"/>
    <x v="0"/>
    <x v="0"/>
  </r>
  <r>
    <x v="486"/>
    <x v="1"/>
    <n v="487"/>
    <x v="73"/>
    <n v="0"/>
    <x v="0"/>
    <x v="1"/>
    <x v="1"/>
    <x v="368"/>
    <x v="117"/>
    <x v="0"/>
    <x v="0"/>
  </r>
  <r>
    <x v="487"/>
    <x v="0"/>
    <n v="488"/>
    <x v="25"/>
    <n v="0"/>
    <x v="1"/>
    <x v="1"/>
    <x v="0"/>
    <x v="369"/>
    <x v="132"/>
    <x v="0"/>
    <x v="0"/>
  </r>
  <r>
    <x v="488"/>
    <x v="0"/>
    <n v="489"/>
    <x v="3"/>
    <n v="0"/>
    <x v="1"/>
    <x v="0"/>
    <x v="0"/>
    <x v="370"/>
    <x v="4"/>
    <x v="0"/>
    <x v="0"/>
  </r>
  <r>
    <x v="489"/>
    <x v="0"/>
    <n v="490"/>
    <x v="20"/>
    <n v="1"/>
    <x v="0"/>
    <x v="0"/>
    <x v="1"/>
    <x v="371"/>
    <x v="156"/>
    <x v="0"/>
    <x v="0"/>
  </r>
  <r>
    <x v="490"/>
    <x v="0"/>
    <n v="491"/>
    <x v="50"/>
    <n v="0"/>
    <x v="0"/>
    <x v="0"/>
    <x v="0"/>
    <x v="372"/>
    <x v="179"/>
    <x v="0"/>
    <x v="0"/>
  </r>
  <r>
    <x v="491"/>
    <x v="0"/>
    <n v="492"/>
    <x v="4"/>
    <n v="0"/>
    <x v="1"/>
    <x v="0"/>
    <x v="0"/>
    <x v="373"/>
    <x v="0"/>
    <x v="0"/>
    <x v="0"/>
  </r>
  <r>
    <x v="492"/>
    <x v="0"/>
    <n v="493"/>
    <x v="25"/>
    <n v="0"/>
    <x v="1"/>
    <x v="1"/>
    <x v="0"/>
    <x v="374"/>
    <x v="140"/>
    <x v="0"/>
    <x v="0"/>
  </r>
  <r>
    <x v="493"/>
    <x v="0"/>
    <n v="494"/>
    <x v="12"/>
    <n v="0"/>
    <x v="1"/>
    <x v="1"/>
    <x v="0"/>
    <x v="374"/>
    <x v="189"/>
    <x v="0"/>
    <x v="0"/>
  </r>
  <r>
    <x v="494"/>
    <x v="0"/>
    <n v="495"/>
    <x v="19"/>
    <n v="0"/>
    <x v="1"/>
    <x v="0"/>
    <x v="0"/>
    <x v="374"/>
    <x v="4"/>
    <x v="0"/>
    <x v="0"/>
  </r>
  <r>
    <x v="495"/>
    <x v="0"/>
    <n v="496"/>
    <x v="34"/>
    <n v="0"/>
    <x v="1"/>
    <x v="0"/>
    <x v="0"/>
    <x v="375"/>
    <x v="74"/>
    <x v="0"/>
    <x v="0"/>
  </r>
  <r>
    <x v="496"/>
    <x v="1"/>
    <n v="497"/>
    <x v="5"/>
    <n v="0"/>
    <x v="0"/>
    <x v="1"/>
    <x v="1"/>
    <x v="376"/>
    <x v="190"/>
    <x v="106"/>
    <x v="0"/>
  </r>
  <r>
    <x v="497"/>
    <x v="0"/>
    <n v="498"/>
    <x v="33"/>
    <n v="0"/>
    <x v="1"/>
    <x v="0"/>
    <x v="0"/>
    <x v="377"/>
    <x v="191"/>
    <x v="107"/>
    <x v="0"/>
  </r>
  <r>
    <x v="498"/>
    <x v="1"/>
    <n v="499"/>
    <x v="43"/>
    <n v="2"/>
    <x v="0"/>
    <x v="1"/>
    <x v="0"/>
    <x v="378"/>
    <x v="139"/>
    <x v="107"/>
    <x v="0"/>
  </r>
  <r>
    <x v="499"/>
    <x v="0"/>
    <n v="500"/>
    <x v="73"/>
    <n v="0"/>
    <x v="1"/>
    <x v="0"/>
    <x v="0"/>
    <x v="379"/>
    <x v="88"/>
    <x v="0"/>
    <x v="0"/>
  </r>
  <r>
    <x v="500"/>
    <x v="0"/>
    <n v="501"/>
    <x v="33"/>
    <n v="0"/>
    <x v="1"/>
    <x v="0"/>
    <x v="0"/>
    <x v="380"/>
    <x v="51"/>
    <x v="0"/>
    <x v="0"/>
  </r>
  <r>
    <x v="501"/>
    <x v="1"/>
    <n v="502"/>
    <x v="50"/>
    <n v="0"/>
    <x v="1"/>
    <x v="0"/>
    <x v="0"/>
    <x v="381"/>
    <x v="28"/>
    <x v="0"/>
    <x v="0"/>
  </r>
  <r>
    <x v="502"/>
    <x v="1"/>
    <n v="503"/>
    <x v="43"/>
    <n v="0"/>
    <x v="1"/>
    <x v="0"/>
    <x v="0"/>
    <x v="382"/>
    <x v="192"/>
    <x v="0"/>
    <x v="0"/>
  </r>
  <r>
    <x v="503"/>
    <x v="1"/>
    <n v="504"/>
    <x v="9"/>
    <n v="0"/>
    <x v="1"/>
    <x v="0"/>
    <x v="0"/>
    <x v="383"/>
    <x v="188"/>
    <x v="0"/>
    <x v="0"/>
  </r>
  <r>
    <x v="504"/>
    <x v="1"/>
    <n v="505"/>
    <x v="3"/>
    <n v="0"/>
    <x v="1"/>
    <x v="1"/>
    <x v="1"/>
    <x v="384"/>
    <x v="126"/>
    <x v="0"/>
    <x v="0"/>
  </r>
  <r>
    <x v="505"/>
    <x v="0"/>
    <n v="506"/>
    <x v="72"/>
    <n v="0"/>
    <x v="0"/>
    <x v="1"/>
    <x v="0"/>
    <x v="385"/>
    <x v="144"/>
    <x v="0"/>
    <x v="0"/>
  </r>
  <r>
    <x v="506"/>
    <x v="1"/>
    <n v="507"/>
    <x v="30"/>
    <n v="2"/>
    <x v="1"/>
    <x v="2"/>
    <x v="1"/>
    <x v="386"/>
    <x v="19"/>
    <x v="0"/>
    <x v="0"/>
  </r>
  <r>
    <x v="507"/>
    <x v="0"/>
    <n v="508"/>
    <x v="26"/>
    <n v="0"/>
    <x v="1"/>
    <x v="1"/>
    <x v="1"/>
    <x v="387"/>
    <x v="11"/>
    <x v="0"/>
    <x v="0"/>
  </r>
  <r>
    <x v="508"/>
    <x v="0"/>
    <n v="509"/>
    <x v="43"/>
    <n v="0"/>
    <x v="1"/>
    <x v="0"/>
    <x v="0"/>
    <x v="388"/>
    <x v="193"/>
    <x v="0"/>
    <x v="0"/>
  </r>
  <r>
    <x v="509"/>
    <x v="0"/>
    <n v="510"/>
    <x v="38"/>
    <n v="0"/>
    <x v="1"/>
    <x v="0"/>
    <x v="1"/>
    <x v="389"/>
    <x v="54"/>
    <x v="0"/>
    <x v="1"/>
  </r>
  <r>
    <x v="510"/>
    <x v="0"/>
    <n v="511"/>
    <x v="67"/>
    <n v="0"/>
    <x v="1"/>
    <x v="0"/>
    <x v="1"/>
    <x v="390"/>
    <x v="28"/>
    <x v="0"/>
    <x v="0"/>
  </r>
  <r>
    <x v="511"/>
    <x v="0"/>
    <n v="512"/>
    <x v="74"/>
    <n v="0"/>
    <x v="1"/>
    <x v="0"/>
    <x v="0"/>
    <x v="391"/>
    <x v="4"/>
    <x v="0"/>
    <x v="0"/>
  </r>
  <r>
    <x v="512"/>
    <x v="0"/>
    <n v="513"/>
    <x v="15"/>
    <n v="0"/>
    <x v="1"/>
    <x v="1"/>
    <x v="1"/>
    <x v="392"/>
    <x v="194"/>
    <x v="0"/>
    <x v="0"/>
  </r>
  <r>
    <x v="513"/>
    <x v="1"/>
    <n v="514"/>
    <x v="58"/>
    <n v="0"/>
    <x v="0"/>
    <x v="1"/>
    <x v="1"/>
    <x v="393"/>
    <x v="195"/>
    <x v="0"/>
    <x v="0"/>
  </r>
  <r>
    <x v="514"/>
    <x v="0"/>
    <n v="515"/>
    <x v="53"/>
    <n v="0"/>
    <x v="1"/>
    <x v="0"/>
    <x v="0"/>
    <x v="394"/>
    <x v="196"/>
    <x v="0"/>
    <x v="0"/>
  </r>
  <r>
    <x v="515"/>
    <x v="0"/>
    <n v="516"/>
    <x v="25"/>
    <n v="0"/>
    <x v="1"/>
    <x v="1"/>
    <x v="0"/>
    <x v="395"/>
    <x v="197"/>
    <x v="0"/>
    <x v="0"/>
  </r>
  <r>
    <x v="516"/>
    <x v="1"/>
    <n v="517"/>
    <x v="20"/>
    <n v="0"/>
    <x v="1"/>
    <x v="2"/>
    <x v="1"/>
    <x v="396"/>
    <x v="29"/>
    <x v="0"/>
    <x v="0"/>
  </r>
  <r>
    <x v="517"/>
    <x v="0"/>
    <n v="518"/>
    <x v="63"/>
    <n v="0"/>
    <x v="1"/>
    <x v="0"/>
    <x v="0"/>
    <x v="397"/>
    <x v="72"/>
    <x v="0"/>
    <x v="0"/>
  </r>
  <r>
    <x v="518"/>
    <x v="1"/>
    <n v="519"/>
    <x v="73"/>
    <n v="0"/>
    <x v="0"/>
    <x v="2"/>
    <x v="1"/>
    <x v="398"/>
    <x v="19"/>
    <x v="0"/>
    <x v="0"/>
  </r>
  <r>
    <x v="519"/>
    <x v="0"/>
    <n v="520"/>
    <x v="4"/>
    <n v="0"/>
    <x v="1"/>
    <x v="0"/>
    <x v="0"/>
    <x v="399"/>
    <x v="25"/>
    <x v="0"/>
    <x v="0"/>
  </r>
  <r>
    <x v="520"/>
    <x v="1"/>
    <n v="521"/>
    <x v="66"/>
    <n v="0"/>
    <x v="1"/>
    <x v="1"/>
    <x v="1"/>
    <x v="400"/>
    <x v="198"/>
    <x v="0"/>
    <x v="0"/>
  </r>
  <r>
    <x v="521"/>
    <x v="0"/>
    <n v="522"/>
    <x v="35"/>
    <n v="0"/>
    <x v="1"/>
    <x v="0"/>
    <x v="0"/>
    <x v="401"/>
    <x v="25"/>
    <x v="0"/>
    <x v="0"/>
  </r>
  <r>
    <x v="522"/>
    <x v="0"/>
    <n v="523"/>
    <x v="43"/>
    <n v="0"/>
    <x v="1"/>
    <x v="0"/>
    <x v="0"/>
    <x v="402"/>
    <x v="18"/>
    <x v="0"/>
    <x v="0"/>
  </r>
  <r>
    <x v="523"/>
    <x v="1"/>
    <n v="524"/>
    <x v="43"/>
    <n v="1"/>
    <x v="1"/>
    <x v="1"/>
    <x v="1"/>
    <x v="403"/>
    <x v="153"/>
    <x v="0"/>
    <x v="0"/>
  </r>
  <r>
    <x v="524"/>
    <x v="0"/>
    <n v="525"/>
    <x v="30"/>
    <n v="0"/>
    <x v="1"/>
    <x v="0"/>
    <x v="0"/>
    <x v="404"/>
    <x v="32"/>
    <x v="0"/>
    <x v="0"/>
  </r>
  <r>
    <x v="525"/>
    <x v="0"/>
    <n v="526"/>
    <x v="43"/>
    <n v="0"/>
    <x v="1"/>
    <x v="0"/>
    <x v="0"/>
    <x v="405"/>
    <x v="28"/>
    <x v="0"/>
    <x v="0"/>
  </r>
  <r>
    <x v="526"/>
    <x v="1"/>
    <n v="527"/>
    <x v="30"/>
    <n v="0"/>
    <x v="1"/>
    <x v="2"/>
    <x v="1"/>
    <x v="406"/>
    <x v="29"/>
    <x v="0"/>
    <x v="0"/>
  </r>
  <r>
    <x v="527"/>
    <x v="0"/>
    <n v="528"/>
    <x v="8"/>
    <n v="0"/>
    <x v="1"/>
    <x v="1"/>
    <x v="0"/>
    <x v="407"/>
    <x v="199"/>
    <x v="0"/>
    <x v="0"/>
  </r>
  <r>
    <x v="528"/>
    <x v="0"/>
    <n v="529"/>
    <x v="33"/>
    <n v="0"/>
    <x v="1"/>
    <x v="0"/>
    <x v="0"/>
    <x v="407"/>
    <x v="2"/>
    <x v="0"/>
    <x v="0"/>
  </r>
  <r>
    <x v="529"/>
    <x v="0"/>
    <n v="530"/>
    <x v="1"/>
    <n v="1"/>
    <x v="4"/>
    <x v="2"/>
    <x v="0"/>
    <x v="408"/>
    <x v="86"/>
    <x v="0"/>
    <x v="1"/>
  </r>
  <r>
    <x v="530"/>
    <x v="1"/>
    <n v="531"/>
    <x v="22"/>
    <n v="1"/>
    <x v="0"/>
    <x v="2"/>
    <x v="1"/>
    <x v="409"/>
    <x v="19"/>
    <x v="0"/>
    <x v="1"/>
  </r>
  <r>
    <x v="531"/>
    <x v="0"/>
    <n v="532"/>
    <x v="1"/>
    <n v="0"/>
    <x v="1"/>
    <x v="0"/>
    <x v="0"/>
    <x v="410"/>
    <x v="32"/>
    <x v="0"/>
    <x v="1"/>
  </r>
  <r>
    <x v="532"/>
    <x v="0"/>
    <n v="533"/>
    <x v="2"/>
    <n v="1"/>
    <x v="0"/>
    <x v="0"/>
    <x v="0"/>
    <x v="411"/>
    <x v="32"/>
    <x v="0"/>
    <x v="0"/>
  </r>
  <r>
    <x v="533"/>
    <x v="1"/>
    <n v="534"/>
    <x v="3"/>
    <n v="2"/>
    <x v="1"/>
    <x v="0"/>
    <x v="1"/>
    <x v="412"/>
    <x v="77"/>
    <x v="0"/>
    <x v="0"/>
  </r>
  <r>
    <x v="534"/>
    <x v="1"/>
    <n v="535"/>
    <x v="63"/>
    <n v="0"/>
    <x v="1"/>
    <x v="0"/>
    <x v="0"/>
    <x v="413"/>
    <x v="51"/>
    <x v="0"/>
    <x v="0"/>
  </r>
  <r>
    <x v="535"/>
    <x v="1"/>
    <n v="536"/>
    <x v="3"/>
    <n v="2"/>
    <x v="1"/>
    <x v="2"/>
    <x v="1"/>
    <x v="414"/>
    <x v="121"/>
    <x v="0"/>
    <x v="0"/>
  </r>
  <r>
    <x v="536"/>
    <x v="0"/>
    <n v="537"/>
    <x v="39"/>
    <n v="0"/>
    <x v="1"/>
    <x v="1"/>
    <x v="0"/>
    <x v="415"/>
    <x v="11"/>
    <x v="0"/>
    <x v="0"/>
  </r>
  <r>
    <x v="537"/>
    <x v="1"/>
    <n v="538"/>
    <x v="26"/>
    <n v="0"/>
    <x v="1"/>
    <x v="1"/>
    <x v="1"/>
    <x v="416"/>
    <x v="200"/>
    <x v="0"/>
    <x v="0"/>
  </r>
  <r>
    <x v="538"/>
    <x v="0"/>
    <n v="539"/>
    <x v="4"/>
    <n v="0"/>
    <x v="1"/>
    <x v="0"/>
    <x v="0"/>
    <x v="417"/>
    <x v="80"/>
    <x v="0"/>
    <x v="0"/>
  </r>
  <r>
    <x v="539"/>
    <x v="1"/>
    <n v="540"/>
    <x v="21"/>
    <n v="2"/>
    <x v="1"/>
    <x v="1"/>
    <x v="1"/>
    <x v="418"/>
    <x v="201"/>
    <x v="0"/>
    <x v="0"/>
  </r>
  <r>
    <x v="540"/>
    <x v="1"/>
    <n v="541"/>
    <x v="10"/>
    <n v="2"/>
    <x v="1"/>
    <x v="1"/>
    <x v="1"/>
    <x v="419"/>
    <x v="202"/>
    <x v="0"/>
    <x v="0"/>
  </r>
  <r>
    <x v="541"/>
    <x v="1"/>
    <n v="542"/>
    <x v="9"/>
    <n v="2"/>
    <x v="3"/>
    <x v="0"/>
    <x v="0"/>
    <x v="420"/>
    <x v="12"/>
    <x v="0"/>
    <x v="0"/>
  </r>
  <r>
    <x v="542"/>
    <x v="1"/>
    <n v="543"/>
    <x v="31"/>
    <n v="2"/>
    <x v="3"/>
    <x v="0"/>
    <x v="0"/>
    <x v="421"/>
    <x v="12"/>
    <x v="0"/>
    <x v="1"/>
  </r>
  <r>
    <x v="543"/>
    <x v="0"/>
    <n v="544"/>
    <x v="3"/>
    <n v="0"/>
    <x v="0"/>
    <x v="2"/>
    <x v="1"/>
    <x v="422"/>
    <x v="19"/>
    <x v="0"/>
    <x v="1"/>
  </r>
  <r>
    <x v="544"/>
    <x v="0"/>
    <n v="545"/>
    <x v="19"/>
    <n v="0"/>
    <x v="0"/>
    <x v="1"/>
    <x v="0"/>
    <x v="423"/>
    <x v="200"/>
    <x v="0"/>
    <x v="1"/>
  </r>
  <r>
    <x v="545"/>
    <x v="0"/>
    <n v="546"/>
    <x v="1"/>
    <n v="0"/>
    <x v="1"/>
    <x v="1"/>
    <x v="0"/>
    <x v="424"/>
    <x v="19"/>
    <x v="0"/>
    <x v="0"/>
  </r>
  <r>
    <x v="546"/>
    <x v="1"/>
    <n v="547"/>
    <x v="66"/>
    <n v="0"/>
    <x v="0"/>
    <x v="2"/>
    <x v="1"/>
    <x v="425"/>
    <x v="19"/>
    <x v="0"/>
    <x v="0"/>
  </r>
  <r>
    <x v="547"/>
    <x v="0"/>
    <n v="548"/>
    <x v="31"/>
    <n v="0"/>
    <x v="1"/>
    <x v="2"/>
    <x v="1"/>
    <x v="425"/>
    <x v="203"/>
    <x v="0"/>
    <x v="0"/>
  </r>
  <r>
    <x v="548"/>
    <x v="0"/>
    <n v="549"/>
    <x v="67"/>
    <n v="1"/>
    <x v="0"/>
    <x v="0"/>
    <x v="0"/>
    <x v="425"/>
    <x v="97"/>
    <x v="0"/>
    <x v="0"/>
  </r>
  <r>
    <x v="549"/>
    <x v="0"/>
    <n v="550"/>
    <x v="22"/>
    <n v="1"/>
    <x v="0"/>
    <x v="2"/>
    <x v="1"/>
    <x v="425"/>
    <x v="87"/>
    <x v="0"/>
    <x v="0"/>
  </r>
  <r>
    <x v="550"/>
    <x v="0"/>
    <n v="551"/>
    <x v="26"/>
    <n v="2"/>
    <x v="1"/>
    <x v="1"/>
    <x v="1"/>
    <x v="426"/>
    <x v="143"/>
    <x v="0"/>
    <x v="0"/>
  </r>
  <r>
    <x v="551"/>
    <x v="0"/>
    <n v="552"/>
    <x v="8"/>
    <n v="0"/>
    <x v="1"/>
    <x v="2"/>
    <x v="0"/>
    <x v="427"/>
    <x v="19"/>
    <x v="0"/>
    <x v="0"/>
  </r>
  <r>
    <x v="552"/>
    <x v="0"/>
    <n v="553"/>
    <x v="4"/>
    <n v="0"/>
    <x v="1"/>
    <x v="0"/>
    <x v="0"/>
    <x v="428"/>
    <x v="204"/>
    <x v="0"/>
    <x v="0"/>
  </r>
  <r>
    <x v="553"/>
    <x v="0"/>
    <n v="554"/>
    <x v="42"/>
    <n v="0"/>
    <x v="1"/>
    <x v="0"/>
    <x v="1"/>
    <x v="429"/>
    <x v="18"/>
    <x v="0"/>
    <x v="0"/>
  </r>
  <r>
    <x v="554"/>
    <x v="1"/>
    <n v="555"/>
    <x v="48"/>
    <n v="0"/>
    <x v="1"/>
    <x v="0"/>
    <x v="1"/>
    <x v="430"/>
    <x v="71"/>
    <x v="0"/>
    <x v="0"/>
  </r>
  <r>
    <x v="555"/>
    <x v="0"/>
    <n v="556"/>
    <x v="48"/>
    <n v="0"/>
    <x v="1"/>
    <x v="1"/>
    <x v="0"/>
    <x v="431"/>
    <x v="11"/>
    <x v="0"/>
    <x v="0"/>
  </r>
  <r>
    <x v="556"/>
    <x v="1"/>
    <n v="557"/>
    <x v="30"/>
    <n v="0"/>
    <x v="0"/>
    <x v="1"/>
    <x v="1"/>
    <x v="432"/>
    <x v="205"/>
    <x v="0"/>
    <x v="0"/>
  </r>
  <r>
    <x v="557"/>
    <x v="0"/>
    <n v="558"/>
    <x v="8"/>
    <n v="0"/>
    <x v="1"/>
    <x v="1"/>
    <x v="0"/>
    <x v="433"/>
    <x v="164"/>
    <x v="0"/>
    <x v="0"/>
  </r>
  <r>
    <x v="558"/>
    <x v="1"/>
    <n v="559"/>
    <x v="3"/>
    <n v="1"/>
    <x v="0"/>
    <x v="1"/>
    <x v="1"/>
    <x v="434"/>
    <x v="128"/>
    <x v="0"/>
    <x v="0"/>
  </r>
  <r>
    <x v="559"/>
    <x v="1"/>
    <n v="560"/>
    <x v="25"/>
    <n v="0"/>
    <x v="0"/>
    <x v="0"/>
    <x v="1"/>
    <x v="435"/>
    <x v="206"/>
    <x v="0"/>
    <x v="0"/>
  </r>
  <r>
    <x v="560"/>
    <x v="0"/>
    <n v="561"/>
    <x v="43"/>
    <n v="0"/>
    <x v="1"/>
    <x v="0"/>
    <x v="0"/>
    <x v="436"/>
    <x v="28"/>
    <x v="0"/>
    <x v="0"/>
  </r>
  <r>
    <x v="561"/>
    <x v="0"/>
    <n v="562"/>
    <x v="53"/>
    <n v="0"/>
    <x v="1"/>
    <x v="0"/>
    <x v="0"/>
    <x v="437"/>
    <x v="25"/>
    <x v="0"/>
    <x v="0"/>
  </r>
  <r>
    <x v="562"/>
    <x v="0"/>
    <n v="563"/>
    <x v="14"/>
    <n v="0"/>
    <x v="1"/>
    <x v="2"/>
    <x v="0"/>
    <x v="438"/>
    <x v="119"/>
    <x v="0"/>
    <x v="0"/>
  </r>
  <r>
    <x v="563"/>
    <x v="0"/>
    <n v="564"/>
    <x v="20"/>
    <n v="0"/>
    <x v="1"/>
    <x v="0"/>
    <x v="0"/>
    <x v="439"/>
    <x v="4"/>
    <x v="0"/>
    <x v="0"/>
  </r>
  <r>
    <x v="564"/>
    <x v="1"/>
    <n v="565"/>
    <x v="9"/>
    <n v="0"/>
    <x v="1"/>
    <x v="0"/>
    <x v="0"/>
    <x v="440"/>
    <x v="4"/>
    <x v="0"/>
    <x v="0"/>
  </r>
  <r>
    <x v="565"/>
    <x v="0"/>
    <n v="566"/>
    <x v="9"/>
    <n v="0"/>
    <x v="4"/>
    <x v="0"/>
    <x v="0"/>
    <x v="441"/>
    <x v="72"/>
    <x v="0"/>
    <x v="0"/>
  </r>
  <r>
    <x v="566"/>
    <x v="0"/>
    <n v="567"/>
    <x v="8"/>
    <n v="0"/>
    <x v="1"/>
    <x v="0"/>
    <x v="0"/>
    <x v="442"/>
    <x v="25"/>
    <x v="0"/>
    <x v="0"/>
  </r>
  <r>
    <x v="567"/>
    <x v="1"/>
    <n v="568"/>
    <x v="23"/>
    <n v="4"/>
    <x v="1"/>
    <x v="0"/>
    <x v="0"/>
    <x v="443"/>
    <x v="7"/>
    <x v="0"/>
    <x v="0"/>
  </r>
  <r>
    <x v="568"/>
    <x v="0"/>
    <n v="569"/>
    <x v="63"/>
    <n v="0"/>
    <x v="1"/>
    <x v="0"/>
    <x v="0"/>
    <x v="444"/>
    <x v="32"/>
    <x v="0"/>
    <x v="0"/>
  </r>
  <r>
    <x v="569"/>
    <x v="0"/>
    <n v="570"/>
    <x v="2"/>
    <n v="0"/>
    <x v="1"/>
    <x v="0"/>
    <x v="1"/>
    <x v="445"/>
    <x v="13"/>
    <x v="0"/>
    <x v="0"/>
  </r>
  <r>
    <x v="570"/>
    <x v="0"/>
    <n v="571"/>
    <x v="43"/>
    <n v="0"/>
    <x v="1"/>
    <x v="2"/>
    <x v="1"/>
    <x v="446"/>
    <x v="29"/>
    <x v="0"/>
    <x v="0"/>
  </r>
  <r>
    <x v="571"/>
    <x v="1"/>
    <n v="572"/>
    <x v="7"/>
    <n v="0"/>
    <x v="4"/>
    <x v="1"/>
    <x v="1"/>
    <x v="446"/>
    <x v="207"/>
    <x v="0"/>
    <x v="0"/>
  </r>
  <r>
    <x v="572"/>
    <x v="0"/>
    <n v="573"/>
    <x v="32"/>
    <n v="0"/>
    <x v="1"/>
    <x v="1"/>
    <x v="1"/>
    <x v="447"/>
    <x v="208"/>
    <x v="0"/>
    <x v="0"/>
  </r>
  <r>
    <x v="573"/>
    <x v="1"/>
    <n v="574"/>
    <x v="37"/>
    <n v="0"/>
    <x v="1"/>
    <x v="0"/>
    <x v="1"/>
    <x v="448"/>
    <x v="28"/>
    <x v="0"/>
    <x v="0"/>
  </r>
  <r>
    <x v="574"/>
    <x v="0"/>
    <n v="575"/>
    <x v="63"/>
    <n v="0"/>
    <x v="1"/>
    <x v="0"/>
    <x v="0"/>
    <x v="448"/>
    <x v="4"/>
    <x v="0"/>
    <x v="0"/>
  </r>
  <r>
    <x v="575"/>
    <x v="0"/>
    <n v="576"/>
    <x v="1"/>
    <n v="0"/>
    <x v="1"/>
    <x v="0"/>
    <x v="0"/>
    <x v="448"/>
    <x v="80"/>
    <x v="0"/>
    <x v="0"/>
  </r>
  <r>
    <x v="576"/>
    <x v="1"/>
    <n v="577"/>
    <x v="56"/>
    <n v="0"/>
    <x v="1"/>
    <x v="2"/>
    <x v="1"/>
    <x v="449"/>
    <x v="16"/>
    <x v="0"/>
    <x v="0"/>
  </r>
  <r>
    <x v="577"/>
    <x v="1"/>
    <n v="578"/>
    <x v="64"/>
    <n v="0"/>
    <x v="0"/>
    <x v="1"/>
    <x v="1"/>
    <x v="450"/>
    <x v="175"/>
    <x v="0"/>
    <x v="0"/>
  </r>
  <r>
    <x v="578"/>
    <x v="1"/>
    <n v="579"/>
    <x v="38"/>
    <n v="0"/>
    <x v="0"/>
    <x v="0"/>
    <x v="0"/>
    <x v="451"/>
    <x v="74"/>
    <x v="0"/>
    <x v="0"/>
  </r>
  <r>
    <x v="579"/>
    <x v="0"/>
    <n v="580"/>
    <x v="63"/>
    <n v="0"/>
    <x v="1"/>
    <x v="0"/>
    <x v="1"/>
    <x v="452"/>
    <x v="2"/>
    <x v="0"/>
    <x v="0"/>
  </r>
  <r>
    <x v="580"/>
    <x v="1"/>
    <n v="581"/>
    <x v="11"/>
    <n v="1"/>
    <x v="0"/>
    <x v="2"/>
    <x v="1"/>
    <x v="453"/>
    <x v="209"/>
    <x v="0"/>
    <x v="0"/>
  </r>
  <r>
    <x v="581"/>
    <x v="1"/>
    <n v="582"/>
    <x v="56"/>
    <n v="1"/>
    <x v="0"/>
    <x v="1"/>
    <x v="1"/>
    <x v="454"/>
    <x v="143"/>
    <x v="0"/>
    <x v="0"/>
  </r>
  <r>
    <x v="582"/>
    <x v="0"/>
    <n v="583"/>
    <x v="64"/>
    <n v="0"/>
    <x v="1"/>
    <x v="2"/>
    <x v="0"/>
    <x v="455"/>
    <x v="19"/>
    <x v="0"/>
    <x v="0"/>
  </r>
  <r>
    <x v="583"/>
    <x v="0"/>
    <n v="584"/>
    <x v="38"/>
    <n v="0"/>
    <x v="1"/>
    <x v="1"/>
    <x v="0"/>
    <x v="456"/>
    <x v="163"/>
    <x v="0"/>
    <x v="0"/>
  </r>
  <r>
    <x v="584"/>
    <x v="0"/>
    <n v="585"/>
    <x v="39"/>
    <n v="0"/>
    <x v="1"/>
    <x v="0"/>
    <x v="0"/>
    <x v="457"/>
    <x v="210"/>
    <x v="0"/>
    <x v="0"/>
  </r>
  <r>
    <x v="585"/>
    <x v="1"/>
    <n v="586"/>
    <x v="28"/>
    <n v="2"/>
    <x v="1"/>
    <x v="1"/>
    <x v="1"/>
    <x v="457"/>
    <x v="128"/>
    <x v="0"/>
    <x v="0"/>
  </r>
  <r>
    <x v="586"/>
    <x v="0"/>
    <n v="587"/>
    <x v="48"/>
    <n v="0"/>
    <x v="1"/>
    <x v="2"/>
    <x v="0"/>
    <x v="458"/>
    <x v="211"/>
    <x v="0"/>
    <x v="2"/>
  </r>
  <r>
    <x v="587"/>
    <x v="0"/>
    <n v="588"/>
    <x v="42"/>
    <n v="1"/>
    <x v="0"/>
    <x v="1"/>
    <x v="1"/>
    <x v="459"/>
    <x v="84"/>
    <x v="0"/>
    <x v="2"/>
  </r>
  <r>
    <x v="588"/>
    <x v="0"/>
    <n v="589"/>
    <x v="10"/>
    <n v="0"/>
    <x v="1"/>
    <x v="0"/>
    <x v="0"/>
    <x v="460"/>
    <x v="4"/>
    <x v="0"/>
    <x v="2"/>
  </r>
  <r>
    <x v="589"/>
    <x v="0"/>
    <n v="590"/>
    <x v="2"/>
    <n v="0"/>
    <x v="1"/>
    <x v="0"/>
    <x v="0"/>
    <x v="460"/>
    <x v="4"/>
    <x v="0"/>
    <x v="2"/>
  </r>
  <r>
    <x v="590"/>
    <x v="0"/>
    <n v="591"/>
    <x v="63"/>
    <n v="0"/>
    <x v="1"/>
    <x v="0"/>
    <x v="0"/>
    <x v="461"/>
    <x v="123"/>
    <x v="0"/>
    <x v="2"/>
  </r>
  <r>
    <x v="591"/>
    <x v="1"/>
    <n v="592"/>
    <x v="1"/>
    <n v="0"/>
    <x v="0"/>
    <x v="1"/>
    <x v="1"/>
    <x v="462"/>
    <x v="190"/>
    <x v="0"/>
    <x v="2"/>
  </r>
  <r>
    <x v="592"/>
    <x v="0"/>
    <n v="593"/>
    <x v="43"/>
    <n v="0"/>
    <x v="1"/>
    <x v="0"/>
    <x v="0"/>
    <x v="463"/>
    <x v="0"/>
    <x v="0"/>
    <x v="2"/>
  </r>
  <r>
    <x v="593"/>
    <x v="1"/>
    <n v="594"/>
    <x v="8"/>
    <n v="2"/>
    <x v="1"/>
    <x v="0"/>
    <x v="0"/>
    <x v="464"/>
    <x v="28"/>
    <x v="0"/>
    <x v="2"/>
  </r>
  <r>
    <x v="594"/>
    <x v="0"/>
    <n v="595"/>
    <x v="45"/>
    <n v="0"/>
    <x v="0"/>
    <x v="2"/>
    <x v="0"/>
    <x v="465"/>
    <x v="19"/>
    <x v="0"/>
    <x v="2"/>
  </r>
  <r>
    <x v="595"/>
    <x v="0"/>
    <n v="596"/>
    <x v="67"/>
    <n v="1"/>
    <x v="0"/>
    <x v="0"/>
    <x v="0"/>
    <x v="465"/>
    <x v="72"/>
    <x v="0"/>
    <x v="2"/>
  </r>
  <r>
    <x v="596"/>
    <x v="1"/>
    <n v="597"/>
    <x v="27"/>
    <n v="0"/>
    <x v="1"/>
    <x v="2"/>
    <x v="1"/>
    <x v="466"/>
    <x v="212"/>
    <x v="0"/>
    <x v="2"/>
  </r>
  <r>
    <x v="597"/>
    <x v="0"/>
    <n v="598"/>
    <x v="7"/>
    <n v="0"/>
    <x v="1"/>
    <x v="0"/>
    <x v="0"/>
    <x v="467"/>
    <x v="104"/>
    <x v="0"/>
    <x v="2"/>
  </r>
  <r>
    <x v="598"/>
    <x v="0"/>
    <n v="599"/>
    <x v="11"/>
    <n v="0"/>
    <x v="1"/>
    <x v="0"/>
    <x v="0"/>
    <x v="468"/>
    <x v="18"/>
    <x v="0"/>
    <x v="2"/>
  </r>
  <r>
    <x v="599"/>
    <x v="0"/>
    <n v="600"/>
    <x v="30"/>
    <n v="0"/>
    <x v="0"/>
    <x v="1"/>
    <x v="1"/>
    <x v="468"/>
    <x v="146"/>
    <x v="0"/>
    <x v="2"/>
  </r>
  <r>
    <x v="600"/>
    <x v="1"/>
    <n v="601"/>
    <x v="51"/>
    <n v="1"/>
    <x v="4"/>
    <x v="2"/>
    <x v="1"/>
    <x v="469"/>
    <x v="115"/>
    <x v="0"/>
    <x v="2"/>
  </r>
  <r>
    <x v="601"/>
    <x v="0"/>
    <n v="602"/>
    <x v="42"/>
    <n v="0"/>
    <x v="1"/>
    <x v="0"/>
    <x v="0"/>
    <x v="470"/>
    <x v="25"/>
    <x v="0"/>
    <x v="2"/>
  </r>
  <r>
    <x v="602"/>
    <x v="0"/>
    <n v="603"/>
    <x v="67"/>
    <n v="0"/>
    <x v="1"/>
    <x v="1"/>
    <x v="0"/>
    <x v="471"/>
    <x v="213"/>
    <x v="0"/>
    <x v="2"/>
  </r>
  <r>
    <x v="603"/>
    <x v="0"/>
    <n v="604"/>
    <x v="75"/>
    <n v="0"/>
    <x v="1"/>
    <x v="0"/>
    <x v="0"/>
    <x v="472"/>
    <x v="4"/>
    <x v="0"/>
    <x v="2"/>
  </r>
  <r>
    <x v="604"/>
    <x v="0"/>
    <n v="605"/>
    <x v="66"/>
    <n v="0"/>
    <x v="1"/>
    <x v="1"/>
    <x v="1"/>
    <x v="473"/>
    <x v="11"/>
    <x v="0"/>
    <x v="2"/>
  </r>
  <r>
    <x v="605"/>
    <x v="0"/>
    <n v="606"/>
    <x v="42"/>
    <n v="0"/>
    <x v="0"/>
    <x v="0"/>
    <x v="0"/>
    <x v="474"/>
    <x v="214"/>
    <x v="0"/>
    <x v="0"/>
  </r>
  <r>
    <x v="606"/>
    <x v="0"/>
    <n v="607"/>
    <x v="8"/>
    <n v="0"/>
    <x v="1"/>
    <x v="0"/>
    <x v="0"/>
    <x v="474"/>
    <x v="25"/>
    <x v="0"/>
    <x v="0"/>
  </r>
  <r>
    <x v="607"/>
    <x v="0"/>
    <n v="608"/>
    <x v="76"/>
    <n v="0"/>
    <x v="1"/>
    <x v="1"/>
    <x v="1"/>
    <x v="475"/>
    <x v="140"/>
    <x v="0"/>
    <x v="2"/>
  </r>
  <r>
    <x v="608"/>
    <x v="1"/>
    <n v="609"/>
    <x v="4"/>
    <n v="2"/>
    <x v="0"/>
    <x v="2"/>
    <x v="1"/>
    <x v="475"/>
    <x v="36"/>
    <x v="0"/>
    <x v="2"/>
  </r>
  <r>
    <x v="609"/>
    <x v="1"/>
    <n v="610"/>
    <x v="70"/>
    <n v="0"/>
    <x v="1"/>
    <x v="1"/>
    <x v="1"/>
    <x v="476"/>
    <x v="129"/>
    <x v="0"/>
    <x v="2"/>
  </r>
  <r>
    <x v="610"/>
    <x v="1"/>
    <n v="611"/>
    <x v="20"/>
    <n v="5"/>
    <x v="0"/>
    <x v="0"/>
    <x v="0"/>
    <x v="477"/>
    <x v="12"/>
    <x v="0"/>
    <x v="2"/>
  </r>
  <r>
    <x v="611"/>
    <x v="0"/>
    <n v="612"/>
    <x v="25"/>
    <n v="0"/>
    <x v="1"/>
    <x v="0"/>
    <x v="0"/>
    <x v="478"/>
    <x v="79"/>
    <x v="0"/>
    <x v="2"/>
  </r>
  <r>
    <x v="612"/>
    <x v="1"/>
    <n v="613"/>
    <x v="60"/>
    <n v="0"/>
    <x v="0"/>
    <x v="0"/>
    <x v="1"/>
    <x v="479"/>
    <x v="37"/>
    <x v="0"/>
    <x v="2"/>
  </r>
  <r>
    <x v="613"/>
    <x v="0"/>
    <n v="614"/>
    <x v="9"/>
    <n v="0"/>
    <x v="1"/>
    <x v="0"/>
    <x v="0"/>
    <x v="480"/>
    <x v="28"/>
    <x v="0"/>
    <x v="2"/>
  </r>
  <r>
    <x v="614"/>
    <x v="0"/>
    <n v="615"/>
    <x v="28"/>
    <n v="0"/>
    <x v="1"/>
    <x v="0"/>
    <x v="0"/>
    <x v="481"/>
    <x v="4"/>
    <x v="0"/>
    <x v="2"/>
  </r>
  <r>
    <x v="615"/>
    <x v="1"/>
    <n v="616"/>
    <x v="2"/>
    <n v="2"/>
    <x v="0"/>
    <x v="2"/>
    <x v="1"/>
    <x v="482"/>
    <x v="215"/>
    <x v="0"/>
    <x v="2"/>
  </r>
  <r>
    <x v="616"/>
    <x v="0"/>
    <n v="617"/>
    <x v="44"/>
    <n v="1"/>
    <x v="0"/>
    <x v="0"/>
    <x v="0"/>
    <x v="483"/>
    <x v="174"/>
    <x v="0"/>
    <x v="2"/>
  </r>
  <r>
    <x v="617"/>
    <x v="1"/>
    <n v="618"/>
    <x v="9"/>
    <n v="0"/>
    <x v="0"/>
    <x v="0"/>
    <x v="0"/>
    <x v="484"/>
    <x v="95"/>
    <x v="0"/>
    <x v="2"/>
  </r>
  <r>
    <x v="618"/>
    <x v="1"/>
    <n v="619"/>
    <x v="52"/>
    <n v="1"/>
    <x v="4"/>
    <x v="2"/>
    <x v="1"/>
    <x v="485"/>
    <x v="106"/>
    <x v="0"/>
    <x v="2"/>
  </r>
  <r>
    <x v="619"/>
    <x v="0"/>
    <n v="620"/>
    <x v="66"/>
    <n v="0"/>
    <x v="1"/>
    <x v="2"/>
    <x v="0"/>
    <x v="485"/>
    <x v="29"/>
    <x v="0"/>
    <x v="2"/>
  </r>
  <r>
    <x v="620"/>
    <x v="0"/>
    <n v="621"/>
    <x v="31"/>
    <n v="0"/>
    <x v="0"/>
    <x v="0"/>
    <x v="0"/>
    <x v="485"/>
    <x v="53"/>
    <x v="0"/>
    <x v="2"/>
  </r>
  <r>
    <x v="621"/>
    <x v="0"/>
    <n v="622"/>
    <x v="64"/>
    <n v="0"/>
    <x v="0"/>
    <x v="1"/>
    <x v="1"/>
    <x v="486"/>
    <x v="124"/>
    <x v="0"/>
    <x v="0"/>
  </r>
  <r>
    <x v="622"/>
    <x v="0"/>
    <n v="623"/>
    <x v="74"/>
    <n v="1"/>
    <x v="0"/>
    <x v="0"/>
    <x v="1"/>
    <x v="487"/>
    <x v="165"/>
    <x v="0"/>
    <x v="2"/>
  </r>
  <r>
    <x v="623"/>
    <x v="0"/>
    <n v="624"/>
    <x v="38"/>
    <n v="0"/>
    <x v="1"/>
    <x v="0"/>
    <x v="0"/>
    <x v="488"/>
    <x v="13"/>
    <x v="0"/>
    <x v="0"/>
  </r>
  <r>
    <x v="624"/>
    <x v="0"/>
    <n v="625"/>
    <x v="26"/>
    <n v="0"/>
    <x v="1"/>
    <x v="0"/>
    <x v="0"/>
    <x v="489"/>
    <x v="95"/>
    <x v="0"/>
    <x v="0"/>
  </r>
  <r>
    <x v="625"/>
    <x v="0"/>
    <n v="626"/>
    <x v="33"/>
    <n v="0"/>
    <x v="1"/>
    <x v="1"/>
    <x v="0"/>
    <x v="490"/>
    <x v="216"/>
    <x v="0"/>
    <x v="0"/>
  </r>
  <r>
    <x v="626"/>
    <x v="0"/>
    <n v="627"/>
    <x v="66"/>
    <n v="0"/>
    <x v="1"/>
    <x v="2"/>
    <x v="0"/>
    <x v="491"/>
    <x v="142"/>
    <x v="0"/>
    <x v="0"/>
  </r>
  <r>
    <x v="627"/>
    <x v="1"/>
    <n v="628"/>
    <x v="44"/>
    <n v="0"/>
    <x v="1"/>
    <x v="1"/>
    <x v="1"/>
    <x v="492"/>
    <x v="133"/>
    <x v="0"/>
    <x v="0"/>
  </r>
  <r>
    <x v="628"/>
    <x v="0"/>
    <n v="629"/>
    <x v="52"/>
    <n v="0"/>
    <x v="1"/>
    <x v="0"/>
    <x v="0"/>
    <x v="492"/>
    <x v="25"/>
    <x v="0"/>
    <x v="0"/>
  </r>
  <r>
    <x v="629"/>
    <x v="0"/>
    <n v="630"/>
    <x v="30"/>
    <n v="0"/>
    <x v="1"/>
    <x v="0"/>
    <x v="0"/>
    <x v="493"/>
    <x v="93"/>
    <x v="0"/>
    <x v="0"/>
  </r>
  <r>
    <x v="630"/>
    <x v="0"/>
    <n v="631"/>
    <x v="29"/>
    <n v="0"/>
    <x v="1"/>
    <x v="1"/>
    <x v="1"/>
    <x v="494"/>
    <x v="209"/>
    <x v="0"/>
    <x v="2"/>
  </r>
  <r>
    <x v="631"/>
    <x v="0"/>
    <n v="632"/>
    <x v="22"/>
    <n v="0"/>
    <x v="1"/>
    <x v="0"/>
    <x v="0"/>
    <x v="495"/>
    <x v="217"/>
    <x v="0"/>
    <x v="2"/>
  </r>
  <r>
    <x v="632"/>
    <x v="0"/>
    <n v="633"/>
    <x v="66"/>
    <n v="0"/>
    <x v="1"/>
    <x v="1"/>
    <x v="1"/>
    <x v="496"/>
    <x v="140"/>
    <x v="0"/>
    <x v="2"/>
  </r>
  <r>
    <x v="633"/>
    <x v="0"/>
    <n v="634"/>
    <x v="19"/>
    <n v="0"/>
    <x v="1"/>
    <x v="1"/>
    <x v="0"/>
    <x v="496"/>
    <x v="104"/>
    <x v="0"/>
    <x v="2"/>
  </r>
  <r>
    <x v="634"/>
    <x v="1"/>
    <n v="635"/>
    <x v="32"/>
    <n v="2"/>
    <x v="2"/>
    <x v="0"/>
    <x v="0"/>
    <x v="496"/>
    <x v="48"/>
    <x v="0"/>
    <x v="2"/>
  </r>
  <r>
    <x v="635"/>
    <x v="1"/>
    <n v="636"/>
    <x v="31"/>
    <n v="0"/>
    <x v="1"/>
    <x v="2"/>
    <x v="1"/>
    <x v="496"/>
    <x v="16"/>
    <x v="0"/>
    <x v="2"/>
  </r>
  <r>
    <x v="636"/>
    <x v="0"/>
    <n v="637"/>
    <x v="59"/>
    <n v="0"/>
    <x v="1"/>
    <x v="0"/>
    <x v="0"/>
    <x v="496"/>
    <x v="2"/>
    <x v="0"/>
    <x v="2"/>
  </r>
  <r>
    <x v="637"/>
    <x v="0"/>
    <n v="638"/>
    <x v="30"/>
    <n v="1"/>
    <x v="0"/>
    <x v="2"/>
    <x v="0"/>
    <x v="497"/>
    <x v="121"/>
    <x v="108"/>
    <x v="2"/>
  </r>
  <r>
    <x v="638"/>
    <x v="1"/>
    <n v="639"/>
    <x v="54"/>
    <n v="5"/>
    <x v="1"/>
    <x v="0"/>
    <x v="0"/>
    <x v="498"/>
    <x v="40"/>
    <x v="0"/>
    <x v="2"/>
  </r>
  <r>
    <x v="639"/>
    <x v="0"/>
    <n v="640"/>
    <x v="48"/>
    <n v="0"/>
    <x v="0"/>
    <x v="0"/>
    <x v="0"/>
    <x v="499"/>
    <x v="95"/>
    <x v="0"/>
    <x v="0"/>
  </r>
  <r>
    <x v="640"/>
    <x v="0"/>
    <n v="641"/>
    <x v="8"/>
    <n v="0"/>
    <x v="1"/>
    <x v="0"/>
    <x v="0"/>
    <x v="500"/>
    <x v="13"/>
    <x v="0"/>
    <x v="0"/>
  </r>
  <r>
    <x v="641"/>
    <x v="1"/>
    <n v="642"/>
    <x v="15"/>
    <n v="0"/>
    <x v="1"/>
    <x v="1"/>
    <x v="1"/>
    <x v="501"/>
    <x v="160"/>
    <x v="0"/>
    <x v="0"/>
  </r>
  <r>
    <x v="642"/>
    <x v="1"/>
    <n v="643"/>
    <x v="72"/>
    <n v="2"/>
    <x v="2"/>
    <x v="0"/>
    <x v="0"/>
    <x v="502"/>
    <x v="48"/>
    <x v="109"/>
    <x v="0"/>
  </r>
  <r>
    <x v="643"/>
    <x v="0"/>
    <n v="644"/>
    <x v="25"/>
    <n v="0"/>
    <x v="1"/>
    <x v="0"/>
    <x v="1"/>
    <x v="502"/>
    <x v="54"/>
    <x v="109"/>
    <x v="0"/>
  </r>
  <r>
    <x v="644"/>
    <x v="1"/>
    <n v="645"/>
    <x v="42"/>
    <n v="1"/>
    <x v="4"/>
    <x v="0"/>
    <x v="1"/>
    <x v="503"/>
    <x v="178"/>
    <x v="0"/>
    <x v="2"/>
  </r>
  <r>
    <x v="645"/>
    <x v="0"/>
    <n v="646"/>
    <x v="56"/>
    <n v="0"/>
    <x v="0"/>
    <x v="1"/>
    <x v="1"/>
    <x v="504"/>
    <x v="42"/>
    <x v="0"/>
    <x v="0"/>
  </r>
  <r>
    <x v="646"/>
    <x v="0"/>
    <n v="647"/>
    <x v="8"/>
    <n v="0"/>
    <x v="1"/>
    <x v="0"/>
    <x v="0"/>
    <x v="505"/>
    <x v="25"/>
    <x v="0"/>
    <x v="0"/>
  </r>
  <r>
    <x v="647"/>
    <x v="0"/>
    <n v="648"/>
    <x v="8"/>
    <n v="0"/>
    <x v="1"/>
    <x v="1"/>
    <x v="1"/>
    <x v="506"/>
    <x v="21"/>
    <x v="0"/>
    <x v="0"/>
  </r>
  <r>
    <x v="648"/>
    <x v="0"/>
    <n v="649"/>
    <x v="47"/>
    <n v="0"/>
    <x v="1"/>
    <x v="0"/>
    <x v="0"/>
    <x v="507"/>
    <x v="120"/>
    <x v="0"/>
    <x v="0"/>
  </r>
  <r>
    <x v="649"/>
    <x v="1"/>
    <n v="650"/>
    <x v="3"/>
    <n v="0"/>
    <x v="1"/>
    <x v="0"/>
    <x v="1"/>
    <x v="508"/>
    <x v="120"/>
    <x v="0"/>
    <x v="0"/>
  </r>
  <r>
    <x v="650"/>
    <x v="0"/>
    <n v="651"/>
    <x v="1"/>
    <n v="0"/>
    <x v="1"/>
    <x v="0"/>
    <x v="0"/>
    <x v="509"/>
    <x v="25"/>
    <x v="0"/>
    <x v="0"/>
  </r>
  <r>
    <x v="651"/>
    <x v="1"/>
    <n v="652"/>
    <x v="2"/>
    <n v="1"/>
    <x v="1"/>
    <x v="2"/>
    <x v="1"/>
    <x v="509"/>
    <x v="68"/>
    <x v="0"/>
    <x v="0"/>
  </r>
  <r>
    <x v="652"/>
    <x v="0"/>
    <n v="653"/>
    <x v="14"/>
    <n v="0"/>
    <x v="1"/>
    <x v="0"/>
    <x v="0"/>
    <x v="510"/>
    <x v="218"/>
    <x v="0"/>
    <x v="0"/>
  </r>
  <r>
    <x v="653"/>
    <x v="1"/>
    <n v="654"/>
    <x v="32"/>
    <n v="0"/>
    <x v="1"/>
    <x v="0"/>
    <x v="1"/>
    <x v="511"/>
    <x v="204"/>
    <x v="0"/>
    <x v="0"/>
  </r>
  <r>
    <x v="654"/>
    <x v="1"/>
    <n v="655"/>
    <x v="12"/>
    <n v="0"/>
    <x v="1"/>
    <x v="0"/>
    <x v="0"/>
    <x v="511"/>
    <x v="85"/>
    <x v="0"/>
    <x v="0"/>
  </r>
  <r>
    <x v="655"/>
    <x v="0"/>
    <n v="656"/>
    <x v="51"/>
    <n v="0"/>
    <x v="4"/>
    <x v="2"/>
    <x v="0"/>
    <x v="511"/>
    <x v="52"/>
    <x v="0"/>
    <x v="0"/>
  </r>
  <r>
    <x v="656"/>
    <x v="0"/>
    <n v="657"/>
    <x v="42"/>
    <n v="0"/>
    <x v="1"/>
    <x v="0"/>
    <x v="0"/>
    <x v="511"/>
    <x v="25"/>
    <x v="0"/>
    <x v="0"/>
  </r>
  <r>
    <x v="657"/>
    <x v="1"/>
    <n v="658"/>
    <x v="23"/>
    <n v="1"/>
    <x v="0"/>
    <x v="0"/>
    <x v="0"/>
    <x v="511"/>
    <x v="37"/>
    <x v="0"/>
    <x v="0"/>
  </r>
  <r>
    <x v="658"/>
    <x v="0"/>
    <n v="659"/>
    <x v="66"/>
    <n v="0"/>
    <x v="1"/>
    <x v="2"/>
    <x v="0"/>
    <x v="511"/>
    <x v="16"/>
    <x v="0"/>
    <x v="0"/>
  </r>
  <r>
    <x v="659"/>
    <x v="0"/>
    <n v="660"/>
    <x v="59"/>
    <n v="2"/>
    <x v="1"/>
    <x v="1"/>
    <x v="0"/>
    <x v="512"/>
    <x v="114"/>
    <x v="0"/>
    <x v="0"/>
  </r>
  <r>
    <x v="660"/>
    <x v="0"/>
    <n v="661"/>
    <x v="66"/>
    <n v="0"/>
    <x v="4"/>
    <x v="1"/>
    <x v="1"/>
    <x v="513"/>
    <x v="155"/>
    <x v="0"/>
    <x v="0"/>
  </r>
  <r>
    <x v="661"/>
    <x v="0"/>
    <n v="662"/>
    <x v="48"/>
    <n v="0"/>
    <x v="1"/>
    <x v="0"/>
    <x v="0"/>
    <x v="514"/>
    <x v="18"/>
    <x v="0"/>
    <x v="0"/>
  </r>
  <r>
    <x v="662"/>
    <x v="0"/>
    <n v="663"/>
    <x v="54"/>
    <n v="0"/>
    <x v="1"/>
    <x v="1"/>
    <x v="0"/>
    <x v="515"/>
    <x v="219"/>
    <x v="0"/>
    <x v="0"/>
  </r>
  <r>
    <x v="663"/>
    <x v="0"/>
    <n v="664"/>
    <x v="54"/>
    <n v="0"/>
    <x v="1"/>
    <x v="0"/>
    <x v="0"/>
    <x v="516"/>
    <x v="196"/>
    <x v="0"/>
    <x v="0"/>
  </r>
  <r>
    <x v="664"/>
    <x v="0"/>
    <n v="665"/>
    <x v="39"/>
    <n v="0"/>
    <x v="0"/>
    <x v="0"/>
    <x v="1"/>
    <x v="517"/>
    <x v="2"/>
    <x v="0"/>
    <x v="0"/>
  </r>
  <r>
    <x v="665"/>
    <x v="0"/>
    <n v="666"/>
    <x v="48"/>
    <n v="0"/>
    <x v="4"/>
    <x v="2"/>
    <x v="0"/>
    <x v="518"/>
    <x v="52"/>
    <x v="0"/>
    <x v="0"/>
  </r>
  <r>
    <x v="666"/>
    <x v="0"/>
    <n v="667"/>
    <x v="30"/>
    <n v="0"/>
    <x v="1"/>
    <x v="2"/>
    <x v="0"/>
    <x v="519"/>
    <x v="16"/>
    <x v="0"/>
    <x v="0"/>
  </r>
  <r>
    <x v="667"/>
    <x v="0"/>
    <n v="668"/>
    <x v="59"/>
    <n v="0"/>
    <x v="1"/>
    <x v="0"/>
    <x v="0"/>
    <x v="519"/>
    <x v="71"/>
    <x v="0"/>
    <x v="0"/>
  </r>
  <r>
    <x v="668"/>
    <x v="0"/>
    <n v="669"/>
    <x v="51"/>
    <n v="0"/>
    <x v="1"/>
    <x v="0"/>
    <x v="0"/>
    <x v="520"/>
    <x v="4"/>
    <x v="0"/>
    <x v="0"/>
  </r>
  <r>
    <x v="669"/>
    <x v="1"/>
    <n v="670"/>
    <x v="20"/>
    <n v="0"/>
    <x v="0"/>
    <x v="1"/>
    <x v="1"/>
    <x v="521"/>
    <x v="31"/>
    <x v="0"/>
    <x v="0"/>
  </r>
  <r>
    <x v="670"/>
    <x v="1"/>
    <n v="671"/>
    <x v="48"/>
    <n v="1"/>
    <x v="0"/>
    <x v="2"/>
    <x v="1"/>
    <x v="522"/>
    <x v="106"/>
    <x v="0"/>
    <x v="0"/>
  </r>
  <r>
    <x v="671"/>
    <x v="0"/>
    <n v="672"/>
    <x v="9"/>
    <n v="0"/>
    <x v="0"/>
    <x v="1"/>
    <x v="0"/>
    <x v="523"/>
    <x v="31"/>
    <x v="0"/>
    <x v="0"/>
  </r>
  <r>
    <x v="672"/>
    <x v="0"/>
    <n v="673"/>
    <x v="9"/>
    <n v="0"/>
    <x v="1"/>
    <x v="2"/>
    <x v="0"/>
    <x v="524"/>
    <x v="29"/>
    <x v="0"/>
    <x v="0"/>
  </r>
  <r>
    <x v="673"/>
    <x v="0"/>
    <n v="674"/>
    <x v="48"/>
    <n v="0"/>
    <x v="1"/>
    <x v="2"/>
    <x v="1"/>
    <x v="525"/>
    <x v="16"/>
    <x v="0"/>
    <x v="0"/>
  </r>
  <r>
    <x v="674"/>
    <x v="0"/>
    <n v="675"/>
    <x v="9"/>
    <n v="0"/>
    <x v="1"/>
    <x v="2"/>
    <x v="0"/>
    <x v="526"/>
    <x v="104"/>
    <x v="0"/>
    <x v="0"/>
  </r>
  <r>
    <x v="675"/>
    <x v="0"/>
    <n v="676"/>
    <x v="10"/>
    <n v="0"/>
    <x v="1"/>
    <x v="0"/>
    <x v="0"/>
    <x v="527"/>
    <x v="71"/>
    <x v="0"/>
    <x v="0"/>
  </r>
  <r>
    <x v="676"/>
    <x v="0"/>
    <n v="677"/>
    <x v="64"/>
    <n v="0"/>
    <x v="1"/>
    <x v="0"/>
    <x v="0"/>
    <x v="528"/>
    <x v="4"/>
    <x v="0"/>
    <x v="0"/>
  </r>
  <r>
    <x v="677"/>
    <x v="1"/>
    <n v="678"/>
    <x v="52"/>
    <n v="0"/>
    <x v="1"/>
    <x v="0"/>
    <x v="1"/>
    <x v="529"/>
    <x v="220"/>
    <x v="0"/>
    <x v="0"/>
  </r>
  <r>
    <x v="678"/>
    <x v="1"/>
    <n v="679"/>
    <x v="8"/>
    <n v="6"/>
    <x v="0"/>
    <x v="0"/>
    <x v="0"/>
    <x v="530"/>
    <x v="45"/>
    <x v="0"/>
    <x v="0"/>
  </r>
  <r>
    <x v="679"/>
    <x v="0"/>
    <n v="680"/>
    <x v="58"/>
    <n v="1"/>
    <x v="1"/>
    <x v="1"/>
    <x v="1"/>
    <x v="531"/>
    <x v="127"/>
    <x v="0"/>
    <x v="0"/>
  </r>
  <r>
    <x v="680"/>
    <x v="1"/>
    <n v="681"/>
    <x v="49"/>
    <n v="0"/>
    <x v="1"/>
    <x v="0"/>
    <x v="0"/>
    <x v="532"/>
    <x v="221"/>
    <x v="0"/>
    <x v="0"/>
  </r>
  <r>
    <x v="681"/>
    <x v="0"/>
    <n v="682"/>
    <x v="43"/>
    <n v="0"/>
    <x v="1"/>
    <x v="1"/>
    <x v="1"/>
    <x v="533"/>
    <x v="42"/>
    <x v="0"/>
    <x v="0"/>
  </r>
  <r>
    <x v="682"/>
    <x v="0"/>
    <n v="683"/>
    <x v="48"/>
    <n v="0"/>
    <x v="1"/>
    <x v="0"/>
    <x v="0"/>
    <x v="534"/>
    <x v="157"/>
    <x v="0"/>
    <x v="2"/>
  </r>
  <r>
    <x v="683"/>
    <x v="0"/>
    <n v="684"/>
    <x v="20"/>
    <n v="2"/>
    <x v="5"/>
    <x v="0"/>
    <x v="0"/>
    <x v="535"/>
    <x v="45"/>
    <x v="0"/>
    <x v="0"/>
  </r>
  <r>
    <x v="684"/>
    <x v="0"/>
    <n v="685"/>
    <x v="39"/>
    <n v="1"/>
    <x v="0"/>
    <x v="2"/>
    <x v="0"/>
    <x v="536"/>
    <x v="106"/>
    <x v="0"/>
    <x v="0"/>
  </r>
  <r>
    <x v="685"/>
    <x v="0"/>
    <n v="686"/>
    <x v="4"/>
    <n v="2"/>
    <x v="0"/>
    <x v="2"/>
    <x v="0"/>
    <x v="536"/>
    <x v="36"/>
    <x v="0"/>
    <x v="0"/>
  </r>
  <r>
    <x v="686"/>
    <x v="0"/>
    <n v="687"/>
    <x v="49"/>
    <n v="1"/>
    <x v="3"/>
    <x v="0"/>
    <x v="0"/>
    <x v="537"/>
    <x v="40"/>
    <x v="0"/>
    <x v="0"/>
  </r>
  <r>
    <x v="687"/>
    <x v="0"/>
    <n v="688"/>
    <x v="42"/>
    <n v="0"/>
    <x v="1"/>
    <x v="0"/>
    <x v="0"/>
    <x v="538"/>
    <x v="222"/>
    <x v="0"/>
    <x v="0"/>
  </r>
  <r>
    <x v="688"/>
    <x v="0"/>
    <n v="689"/>
    <x v="49"/>
    <n v="0"/>
    <x v="1"/>
    <x v="0"/>
    <x v="0"/>
    <x v="539"/>
    <x v="88"/>
    <x v="0"/>
    <x v="0"/>
  </r>
  <r>
    <x v="689"/>
    <x v="1"/>
    <n v="690"/>
    <x v="32"/>
    <n v="1"/>
    <x v="1"/>
    <x v="1"/>
    <x v="1"/>
    <x v="540"/>
    <x v="223"/>
    <x v="0"/>
    <x v="0"/>
  </r>
  <r>
    <x v="690"/>
    <x v="0"/>
    <n v="691"/>
    <x v="30"/>
    <n v="0"/>
    <x v="0"/>
    <x v="1"/>
    <x v="1"/>
    <x v="541"/>
    <x v="224"/>
    <x v="0"/>
    <x v="0"/>
  </r>
  <r>
    <x v="691"/>
    <x v="1"/>
    <n v="692"/>
    <x v="3"/>
    <n v="1"/>
    <x v="1"/>
    <x v="0"/>
    <x v="1"/>
    <x v="542"/>
    <x v="225"/>
    <x v="0"/>
    <x v="0"/>
  </r>
  <r>
    <x v="692"/>
    <x v="0"/>
    <n v="693"/>
    <x v="52"/>
    <n v="0"/>
    <x v="1"/>
    <x v="0"/>
    <x v="1"/>
    <x v="543"/>
    <x v="54"/>
    <x v="0"/>
    <x v="0"/>
  </r>
  <r>
    <x v="693"/>
    <x v="0"/>
    <n v="694"/>
    <x v="39"/>
    <n v="0"/>
    <x v="1"/>
    <x v="0"/>
    <x v="0"/>
    <x v="544"/>
    <x v="18"/>
    <x v="0"/>
    <x v="0"/>
  </r>
  <r>
    <x v="694"/>
    <x v="0"/>
    <n v="695"/>
    <x v="9"/>
    <n v="0"/>
    <x v="1"/>
    <x v="1"/>
    <x v="0"/>
    <x v="545"/>
    <x v="11"/>
    <x v="0"/>
    <x v="0"/>
  </r>
  <r>
    <x v="695"/>
    <x v="0"/>
    <n v="696"/>
    <x v="26"/>
    <n v="0"/>
    <x v="1"/>
    <x v="2"/>
    <x v="0"/>
    <x v="546"/>
    <x v="119"/>
    <x v="0"/>
    <x v="0"/>
  </r>
  <r>
    <x v="696"/>
    <x v="0"/>
    <n v="697"/>
    <x v="63"/>
    <n v="0"/>
    <x v="1"/>
    <x v="0"/>
    <x v="0"/>
    <x v="547"/>
    <x v="4"/>
    <x v="0"/>
    <x v="0"/>
  </r>
  <r>
    <x v="697"/>
    <x v="1"/>
    <n v="698"/>
    <x v="4"/>
    <n v="0"/>
    <x v="1"/>
    <x v="0"/>
    <x v="1"/>
    <x v="548"/>
    <x v="93"/>
    <x v="0"/>
    <x v="0"/>
  </r>
  <r>
    <x v="698"/>
    <x v="0"/>
    <n v="699"/>
    <x v="12"/>
    <n v="1"/>
    <x v="0"/>
    <x v="1"/>
    <x v="0"/>
    <x v="548"/>
    <x v="143"/>
    <x v="0"/>
    <x v="0"/>
  </r>
  <r>
    <x v="699"/>
    <x v="0"/>
    <n v="700"/>
    <x v="77"/>
    <n v="0"/>
    <x v="1"/>
    <x v="0"/>
    <x v="0"/>
    <x v="549"/>
    <x v="55"/>
    <x v="0"/>
    <x v="0"/>
  </r>
  <r>
    <x v="700"/>
    <x v="1"/>
    <n v="701"/>
    <x v="75"/>
    <n v="0"/>
    <x v="0"/>
    <x v="1"/>
    <x v="1"/>
    <x v="550"/>
    <x v="164"/>
    <x v="0"/>
    <x v="0"/>
  </r>
  <r>
    <x v="701"/>
    <x v="0"/>
    <n v="702"/>
    <x v="38"/>
    <n v="0"/>
    <x v="1"/>
    <x v="1"/>
    <x v="1"/>
    <x v="551"/>
    <x v="194"/>
    <x v="0"/>
    <x v="0"/>
  </r>
  <r>
    <x v="702"/>
    <x v="1"/>
    <n v="703"/>
    <x v="51"/>
    <n v="1"/>
    <x v="1"/>
    <x v="0"/>
    <x v="0"/>
    <x v="551"/>
    <x v="53"/>
    <x v="0"/>
    <x v="0"/>
  </r>
  <r>
    <x v="703"/>
    <x v="0"/>
    <n v="704"/>
    <x v="33"/>
    <n v="0"/>
    <x v="1"/>
    <x v="0"/>
    <x v="0"/>
    <x v="552"/>
    <x v="226"/>
    <x v="0"/>
    <x v="0"/>
  </r>
  <r>
    <x v="704"/>
    <x v="0"/>
    <n v="705"/>
    <x v="22"/>
    <n v="0"/>
    <x v="0"/>
    <x v="0"/>
    <x v="0"/>
    <x v="553"/>
    <x v="13"/>
    <x v="104"/>
    <x v="0"/>
  </r>
  <r>
    <x v="705"/>
    <x v="0"/>
    <n v="706"/>
    <x v="30"/>
    <n v="0"/>
    <x v="1"/>
    <x v="2"/>
    <x v="0"/>
    <x v="554"/>
    <x v="19"/>
    <x v="0"/>
    <x v="0"/>
  </r>
  <r>
    <x v="706"/>
    <x v="1"/>
    <n v="707"/>
    <x v="48"/>
    <n v="0"/>
    <x v="1"/>
    <x v="2"/>
    <x v="1"/>
    <x v="555"/>
    <x v="119"/>
    <x v="0"/>
    <x v="0"/>
  </r>
  <r>
    <x v="707"/>
    <x v="0"/>
    <n v="708"/>
    <x v="31"/>
    <n v="0"/>
    <x v="1"/>
    <x v="1"/>
    <x v="1"/>
    <x v="556"/>
    <x v="194"/>
    <x v="0"/>
    <x v="0"/>
  </r>
  <r>
    <x v="708"/>
    <x v="1"/>
    <n v="709"/>
    <x v="63"/>
    <n v="0"/>
    <x v="1"/>
    <x v="1"/>
    <x v="1"/>
    <x v="556"/>
    <x v="139"/>
    <x v="0"/>
    <x v="0"/>
  </r>
  <r>
    <x v="709"/>
    <x v="0"/>
    <n v="710"/>
    <x v="63"/>
    <n v="1"/>
    <x v="0"/>
    <x v="0"/>
    <x v="1"/>
    <x v="556"/>
    <x v="49"/>
    <x v="0"/>
    <x v="0"/>
  </r>
  <r>
    <x v="710"/>
    <x v="1"/>
    <n v="711"/>
    <x v="2"/>
    <n v="0"/>
    <x v="1"/>
    <x v="1"/>
    <x v="1"/>
    <x v="557"/>
    <x v="189"/>
    <x v="0"/>
    <x v="0"/>
  </r>
  <r>
    <x v="711"/>
    <x v="0"/>
    <n v="712"/>
    <x v="43"/>
    <n v="0"/>
    <x v="1"/>
    <x v="1"/>
    <x v="0"/>
    <x v="558"/>
    <x v="11"/>
    <x v="0"/>
    <x v="0"/>
  </r>
  <r>
    <x v="712"/>
    <x v="0"/>
    <n v="713"/>
    <x v="31"/>
    <n v="0"/>
    <x v="0"/>
    <x v="1"/>
    <x v="1"/>
    <x v="558"/>
    <x v="31"/>
    <x v="0"/>
    <x v="0"/>
  </r>
  <r>
    <x v="713"/>
    <x v="0"/>
    <n v="714"/>
    <x v="10"/>
    <n v="0"/>
    <x v="1"/>
    <x v="0"/>
    <x v="0"/>
    <x v="559"/>
    <x v="227"/>
    <x v="0"/>
    <x v="0"/>
  </r>
  <r>
    <x v="714"/>
    <x v="0"/>
    <n v="715"/>
    <x v="56"/>
    <n v="0"/>
    <x v="1"/>
    <x v="2"/>
    <x v="0"/>
    <x v="560"/>
    <x v="16"/>
    <x v="104"/>
    <x v="0"/>
  </r>
  <r>
    <x v="715"/>
    <x v="0"/>
    <n v="716"/>
    <x v="28"/>
    <n v="0"/>
    <x v="1"/>
    <x v="0"/>
    <x v="0"/>
    <x v="561"/>
    <x v="55"/>
    <x v="0"/>
    <x v="0"/>
  </r>
  <r>
    <x v="716"/>
    <x v="1"/>
    <n v="717"/>
    <x v="26"/>
    <n v="0"/>
    <x v="1"/>
    <x v="1"/>
    <x v="1"/>
    <x v="561"/>
    <x v="164"/>
    <x v="0"/>
    <x v="0"/>
  </r>
  <r>
    <x v="717"/>
    <x v="1"/>
    <n v="718"/>
    <x v="1"/>
    <n v="0"/>
    <x v="1"/>
    <x v="2"/>
    <x v="1"/>
    <x v="561"/>
    <x v="29"/>
    <x v="0"/>
    <x v="0"/>
  </r>
  <r>
    <x v="718"/>
    <x v="0"/>
    <n v="719"/>
    <x v="67"/>
    <n v="0"/>
    <x v="1"/>
    <x v="0"/>
    <x v="0"/>
    <x v="562"/>
    <x v="37"/>
    <x v="0"/>
    <x v="0"/>
  </r>
  <r>
    <x v="719"/>
    <x v="0"/>
    <n v="720"/>
    <x v="37"/>
    <n v="0"/>
    <x v="1"/>
    <x v="0"/>
    <x v="0"/>
    <x v="562"/>
    <x v="71"/>
    <x v="0"/>
    <x v="0"/>
  </r>
  <r>
    <x v="720"/>
    <x v="1"/>
    <n v="721"/>
    <x v="5"/>
    <n v="1"/>
    <x v="1"/>
    <x v="2"/>
    <x v="1"/>
    <x v="563"/>
    <x v="212"/>
    <x v="0"/>
    <x v="0"/>
  </r>
  <r>
    <x v="721"/>
    <x v="0"/>
    <n v="722"/>
    <x v="19"/>
    <n v="0"/>
    <x v="0"/>
    <x v="0"/>
    <x v="0"/>
    <x v="564"/>
    <x v="217"/>
    <x v="0"/>
    <x v="0"/>
  </r>
  <r>
    <x v="722"/>
    <x v="0"/>
    <n v="723"/>
    <x v="3"/>
    <n v="0"/>
    <x v="1"/>
    <x v="2"/>
    <x v="0"/>
    <x v="565"/>
    <x v="16"/>
    <x v="0"/>
    <x v="0"/>
  </r>
  <r>
    <x v="723"/>
    <x v="0"/>
    <n v="724"/>
    <x v="40"/>
    <n v="0"/>
    <x v="1"/>
    <x v="2"/>
    <x v="0"/>
    <x v="566"/>
    <x v="16"/>
    <x v="0"/>
    <x v="0"/>
  </r>
  <r>
    <x v="724"/>
    <x v="0"/>
    <n v="725"/>
    <x v="51"/>
    <n v="0"/>
    <x v="0"/>
    <x v="1"/>
    <x v="1"/>
    <x v="566"/>
    <x v="3"/>
    <x v="0"/>
    <x v="0"/>
  </r>
  <r>
    <x v="725"/>
    <x v="0"/>
    <n v="726"/>
    <x v="12"/>
    <n v="0"/>
    <x v="1"/>
    <x v="0"/>
    <x v="0"/>
    <x v="566"/>
    <x v="51"/>
    <x v="0"/>
    <x v="0"/>
  </r>
  <r>
    <x v="726"/>
    <x v="1"/>
    <n v="727"/>
    <x v="37"/>
    <n v="0"/>
    <x v="2"/>
    <x v="2"/>
    <x v="1"/>
    <x v="566"/>
    <x v="35"/>
    <x v="0"/>
    <x v="0"/>
  </r>
  <r>
    <x v="727"/>
    <x v="1"/>
    <n v="728"/>
    <x v="52"/>
    <n v="0"/>
    <x v="1"/>
    <x v="0"/>
    <x v="1"/>
    <x v="566"/>
    <x v="228"/>
    <x v="0"/>
    <x v="0"/>
  </r>
  <r>
    <x v="728"/>
    <x v="0"/>
    <n v="729"/>
    <x v="23"/>
    <n v="0"/>
    <x v="0"/>
    <x v="2"/>
    <x v="0"/>
    <x v="566"/>
    <x v="19"/>
    <x v="0"/>
    <x v="0"/>
  </r>
  <r>
    <x v="729"/>
    <x v="1"/>
    <n v="730"/>
    <x v="50"/>
    <n v="0"/>
    <x v="0"/>
    <x v="0"/>
    <x v="0"/>
    <x v="567"/>
    <x v="2"/>
    <x v="0"/>
    <x v="0"/>
  </r>
  <r>
    <x v="730"/>
    <x v="1"/>
    <n v="731"/>
    <x v="38"/>
    <n v="0"/>
    <x v="1"/>
    <x v="1"/>
    <x v="1"/>
    <x v="568"/>
    <x v="223"/>
    <x v="0"/>
    <x v="0"/>
  </r>
  <r>
    <x v="731"/>
    <x v="0"/>
    <n v="732"/>
    <x v="20"/>
    <n v="0"/>
    <x v="1"/>
    <x v="0"/>
    <x v="0"/>
    <x v="568"/>
    <x v="112"/>
    <x v="0"/>
    <x v="0"/>
  </r>
  <r>
    <x v="732"/>
    <x v="0"/>
    <n v="733"/>
    <x v="58"/>
    <n v="0"/>
    <x v="1"/>
    <x v="2"/>
    <x v="0"/>
    <x v="568"/>
    <x v="104"/>
    <x v="0"/>
    <x v="0"/>
  </r>
  <r>
    <x v="733"/>
    <x v="0"/>
    <n v="734"/>
    <x v="34"/>
    <n v="0"/>
    <x v="1"/>
    <x v="2"/>
    <x v="0"/>
    <x v="568"/>
    <x v="16"/>
    <x v="0"/>
    <x v="0"/>
  </r>
  <r>
    <x v="734"/>
    <x v="0"/>
    <n v="735"/>
    <x v="24"/>
    <n v="0"/>
    <x v="1"/>
    <x v="2"/>
    <x v="0"/>
    <x v="568"/>
    <x v="16"/>
    <x v="0"/>
    <x v="0"/>
  </r>
  <r>
    <x v="735"/>
    <x v="0"/>
    <n v="736"/>
    <x v="0"/>
    <n v="0"/>
    <x v="1"/>
    <x v="0"/>
    <x v="0"/>
    <x v="568"/>
    <x v="95"/>
    <x v="0"/>
    <x v="0"/>
  </r>
  <r>
    <x v="736"/>
    <x v="1"/>
    <n v="737"/>
    <x v="7"/>
    <n v="3"/>
    <x v="0"/>
    <x v="0"/>
    <x v="0"/>
    <x v="568"/>
    <x v="63"/>
    <x v="0"/>
    <x v="0"/>
  </r>
  <r>
    <x v="737"/>
    <x v="0"/>
    <n v="738"/>
    <x v="63"/>
    <n v="0"/>
    <x v="1"/>
    <x v="1"/>
    <x v="1"/>
    <x v="569"/>
    <x v="127"/>
    <x v="110"/>
    <x v="0"/>
  </r>
  <r>
    <x v="738"/>
    <x v="0"/>
    <n v="739"/>
    <x v="38"/>
    <n v="0"/>
    <x v="1"/>
    <x v="0"/>
    <x v="0"/>
    <x v="570"/>
    <x v="25"/>
    <x v="0"/>
    <x v="0"/>
  </r>
  <r>
    <x v="739"/>
    <x v="0"/>
    <n v="740"/>
    <x v="52"/>
    <n v="0"/>
    <x v="1"/>
    <x v="0"/>
    <x v="0"/>
    <x v="571"/>
    <x v="25"/>
    <x v="0"/>
    <x v="0"/>
  </r>
  <r>
    <x v="740"/>
    <x v="0"/>
    <n v="741"/>
    <x v="13"/>
    <n v="0"/>
    <x v="1"/>
    <x v="1"/>
    <x v="1"/>
    <x v="571"/>
    <x v="209"/>
    <x v="0"/>
    <x v="0"/>
  </r>
  <r>
    <x v="741"/>
    <x v="0"/>
    <n v="742"/>
    <x v="32"/>
    <n v="0"/>
    <x v="0"/>
    <x v="1"/>
    <x v="0"/>
    <x v="571"/>
    <x v="135"/>
    <x v="0"/>
    <x v="0"/>
  </r>
  <r>
    <x v="742"/>
    <x v="1"/>
    <n v="743"/>
    <x v="58"/>
    <n v="2"/>
    <x v="4"/>
    <x v="1"/>
    <x v="1"/>
    <x v="572"/>
    <x v="148"/>
    <x v="0"/>
    <x v="0"/>
  </r>
  <r>
    <x v="743"/>
    <x v="0"/>
    <n v="744"/>
    <x v="36"/>
    <n v="0"/>
    <x v="0"/>
    <x v="0"/>
    <x v="0"/>
    <x v="573"/>
    <x v="95"/>
    <x v="0"/>
    <x v="0"/>
  </r>
  <r>
    <x v="744"/>
    <x v="0"/>
    <n v="745"/>
    <x v="26"/>
    <n v="0"/>
    <x v="1"/>
    <x v="0"/>
    <x v="1"/>
    <x v="574"/>
    <x v="2"/>
    <x v="0"/>
    <x v="0"/>
  </r>
  <r>
    <x v="745"/>
    <x v="0"/>
    <n v="746"/>
    <x v="33"/>
    <n v="1"/>
    <x v="0"/>
    <x v="1"/>
    <x v="0"/>
    <x v="574"/>
    <x v="202"/>
    <x v="0"/>
    <x v="0"/>
  </r>
  <r>
    <x v="746"/>
    <x v="0"/>
    <n v="747"/>
    <x v="43"/>
    <n v="1"/>
    <x v="0"/>
    <x v="0"/>
    <x v="0"/>
    <x v="574"/>
    <x v="134"/>
    <x v="0"/>
    <x v="0"/>
  </r>
  <r>
    <x v="747"/>
    <x v="1"/>
    <n v="748"/>
    <x v="60"/>
    <n v="0"/>
    <x v="1"/>
    <x v="2"/>
    <x v="1"/>
    <x v="574"/>
    <x v="16"/>
    <x v="0"/>
    <x v="0"/>
  </r>
  <r>
    <x v="748"/>
    <x v="0"/>
    <n v="749"/>
    <x v="39"/>
    <n v="0"/>
    <x v="0"/>
    <x v="1"/>
    <x v="0"/>
    <x v="575"/>
    <x v="3"/>
    <x v="0"/>
    <x v="1"/>
  </r>
  <r>
    <x v="749"/>
    <x v="0"/>
    <n v="750"/>
    <x v="3"/>
    <n v="0"/>
    <x v="1"/>
    <x v="0"/>
    <x v="0"/>
    <x v="575"/>
    <x v="28"/>
    <x v="0"/>
    <x v="1"/>
  </r>
  <r>
    <x v="750"/>
    <x v="1"/>
    <n v="751"/>
    <x v="35"/>
    <n v="1"/>
    <x v="0"/>
    <x v="2"/>
    <x v="1"/>
    <x v="576"/>
    <x v="68"/>
    <x v="0"/>
    <x v="0"/>
  </r>
  <r>
    <x v="751"/>
    <x v="0"/>
    <n v="752"/>
    <x v="26"/>
    <n v="1"/>
    <x v="1"/>
    <x v="0"/>
    <x v="1"/>
    <x v="577"/>
    <x v="57"/>
    <x v="111"/>
    <x v="0"/>
  </r>
  <r>
    <x v="752"/>
    <x v="0"/>
    <n v="753"/>
    <x v="26"/>
    <n v="0"/>
    <x v="1"/>
    <x v="0"/>
    <x v="0"/>
    <x v="578"/>
    <x v="59"/>
    <x v="111"/>
    <x v="0"/>
  </r>
  <r>
    <x v="753"/>
    <x v="0"/>
    <n v="754"/>
    <x v="38"/>
    <n v="0"/>
    <x v="1"/>
    <x v="0"/>
    <x v="0"/>
    <x v="579"/>
    <x v="25"/>
    <x v="112"/>
    <x v="0"/>
  </r>
  <r>
    <x v="754"/>
    <x v="1"/>
    <n v="755"/>
    <x v="5"/>
    <n v="2"/>
    <x v="0"/>
    <x v="2"/>
    <x v="1"/>
    <x v="580"/>
    <x v="215"/>
    <x v="112"/>
    <x v="0"/>
  </r>
  <r>
    <x v="755"/>
    <x v="0"/>
    <n v="756"/>
    <x v="30"/>
    <n v="1"/>
    <x v="0"/>
    <x v="2"/>
    <x v="1"/>
    <x v="581"/>
    <x v="80"/>
    <x v="113"/>
    <x v="1"/>
  </r>
  <r>
    <x v="756"/>
    <x v="0"/>
    <n v="757"/>
    <x v="30"/>
    <n v="0"/>
    <x v="1"/>
    <x v="0"/>
    <x v="0"/>
    <x v="581"/>
    <x v="88"/>
    <x v="113"/>
    <x v="1"/>
  </r>
  <r>
    <x v="757"/>
    <x v="0"/>
    <n v="758"/>
    <x v="30"/>
    <n v="0"/>
    <x v="1"/>
    <x v="2"/>
    <x v="0"/>
    <x v="582"/>
    <x v="86"/>
    <x v="114"/>
    <x v="1"/>
  </r>
  <r>
    <x v="758"/>
    <x v="0"/>
    <n v="759"/>
    <x v="48"/>
    <n v="0"/>
    <x v="1"/>
    <x v="0"/>
    <x v="0"/>
    <x v="583"/>
    <x v="4"/>
    <x v="115"/>
    <x v="0"/>
  </r>
  <r>
    <x v="759"/>
    <x v="1"/>
    <n v="760"/>
    <x v="39"/>
    <n v="0"/>
    <x v="1"/>
    <x v="1"/>
    <x v="1"/>
    <x v="584"/>
    <x v="126"/>
    <x v="116"/>
    <x v="1"/>
  </r>
  <r>
    <x v="760"/>
    <x v="0"/>
    <n v="761"/>
    <x v="60"/>
    <n v="0"/>
    <x v="1"/>
    <x v="0"/>
    <x v="0"/>
    <x v="584"/>
    <x v="80"/>
    <x v="117"/>
    <x v="1"/>
  </r>
  <r>
    <x v="761"/>
    <x v="0"/>
    <n v="762"/>
    <x v="30"/>
    <n v="0"/>
    <x v="1"/>
    <x v="0"/>
    <x v="0"/>
    <x v="585"/>
    <x v="123"/>
    <x v="118"/>
    <x v="1"/>
  </r>
  <r>
    <x v="762"/>
    <x v="0"/>
    <n v="763"/>
    <x v="58"/>
    <n v="0"/>
    <x v="1"/>
    <x v="0"/>
    <x v="1"/>
    <x v="585"/>
    <x v="32"/>
    <x v="118"/>
    <x v="1"/>
  </r>
  <r>
    <x v="763"/>
    <x v="1"/>
    <n v="764"/>
    <x v="25"/>
    <n v="2"/>
    <x v="0"/>
    <x v="1"/>
    <x v="1"/>
    <x v="586"/>
    <x v="168"/>
    <x v="119"/>
    <x v="1"/>
  </r>
  <r>
    <x v="764"/>
    <x v="0"/>
    <n v="765"/>
    <x v="6"/>
    <n v="0"/>
    <x v="1"/>
    <x v="0"/>
    <x v="0"/>
    <x v="586"/>
    <x v="71"/>
    <x v="120"/>
    <x v="1"/>
  </r>
  <r>
    <x v="765"/>
    <x v="1"/>
    <n v="766"/>
    <x v="60"/>
    <n v="0"/>
    <x v="0"/>
    <x v="1"/>
    <x v="1"/>
    <x v="587"/>
    <x v="133"/>
    <x v="121"/>
    <x v="1"/>
  </r>
  <r>
    <x v="766"/>
    <x v="0"/>
    <n v="767"/>
    <x v="53"/>
    <n v="0"/>
    <x v="1"/>
    <x v="1"/>
    <x v="0"/>
    <x v="587"/>
    <x v="205"/>
    <x v="121"/>
    <x v="1"/>
  </r>
  <r>
    <x v="767"/>
    <x v="1"/>
    <n v="768"/>
    <x v="25"/>
    <n v="0"/>
    <x v="1"/>
    <x v="0"/>
    <x v="0"/>
    <x v="587"/>
    <x v="28"/>
    <x v="122"/>
    <x v="1"/>
  </r>
  <r>
    <x v="768"/>
    <x v="0"/>
    <n v="769"/>
    <x v="6"/>
    <n v="0"/>
    <x v="0"/>
    <x v="0"/>
    <x v="0"/>
    <x v="588"/>
    <x v="72"/>
    <x v="123"/>
    <x v="0"/>
  </r>
  <r>
    <x v="769"/>
    <x v="0"/>
    <n v="770"/>
    <x v="21"/>
    <n v="0"/>
    <x v="1"/>
    <x v="0"/>
    <x v="0"/>
    <x v="588"/>
    <x v="229"/>
    <x v="124"/>
    <x v="0"/>
  </r>
  <r>
    <x v="770"/>
    <x v="0"/>
    <n v="771"/>
    <x v="10"/>
    <n v="0"/>
    <x v="1"/>
    <x v="0"/>
    <x v="0"/>
    <x v="588"/>
    <x v="59"/>
    <x v="123"/>
    <x v="0"/>
  </r>
  <r>
    <x v="771"/>
    <x v="0"/>
    <n v="772"/>
    <x v="68"/>
    <n v="0"/>
    <x v="1"/>
    <x v="0"/>
    <x v="0"/>
    <x v="589"/>
    <x v="13"/>
    <x v="0"/>
    <x v="1"/>
  </r>
  <r>
    <x v="772"/>
    <x v="1"/>
    <n v="773"/>
    <x v="63"/>
    <n v="0"/>
    <x v="1"/>
    <x v="2"/>
    <x v="0"/>
    <x v="590"/>
    <x v="29"/>
    <x v="125"/>
    <x v="0"/>
  </r>
  <r>
    <x v="773"/>
    <x v="0"/>
    <n v="774"/>
    <x v="51"/>
    <n v="0"/>
    <x v="1"/>
    <x v="0"/>
    <x v="0"/>
    <x v="591"/>
    <x v="18"/>
    <x v="126"/>
    <x v="0"/>
  </r>
  <r>
    <x v="774"/>
    <x v="1"/>
    <n v="775"/>
    <x v="30"/>
    <n v="3"/>
    <x v="0"/>
    <x v="2"/>
    <x v="1"/>
    <x v="592"/>
    <x v="68"/>
    <x v="127"/>
    <x v="1"/>
  </r>
  <r>
    <x v="775"/>
    <x v="0"/>
    <n v="776"/>
    <x v="16"/>
    <n v="0"/>
    <x v="1"/>
    <x v="0"/>
    <x v="0"/>
    <x v="592"/>
    <x v="28"/>
    <x v="128"/>
    <x v="1"/>
  </r>
  <r>
    <x v="776"/>
    <x v="0"/>
    <n v="777"/>
    <x v="58"/>
    <n v="0"/>
    <x v="1"/>
    <x v="0"/>
    <x v="0"/>
    <x v="593"/>
    <x v="28"/>
    <x v="129"/>
    <x v="1"/>
  </r>
  <r>
    <x v="777"/>
    <x v="1"/>
    <n v="778"/>
    <x v="47"/>
    <n v="0"/>
    <x v="1"/>
    <x v="0"/>
    <x v="1"/>
    <x v="594"/>
    <x v="57"/>
    <x v="130"/>
    <x v="1"/>
  </r>
  <r>
    <x v="778"/>
    <x v="0"/>
    <n v="779"/>
    <x v="34"/>
    <n v="0"/>
    <x v="1"/>
    <x v="0"/>
    <x v="0"/>
    <x v="595"/>
    <x v="228"/>
    <x v="0"/>
    <x v="1"/>
  </r>
  <r>
    <x v="779"/>
    <x v="1"/>
    <n v="780"/>
    <x v="21"/>
    <n v="1"/>
    <x v="1"/>
    <x v="1"/>
    <x v="1"/>
    <x v="596"/>
    <x v="223"/>
    <x v="131"/>
    <x v="1"/>
  </r>
  <r>
    <x v="780"/>
    <x v="1"/>
    <n v="781"/>
    <x v="5"/>
    <n v="0"/>
    <x v="1"/>
    <x v="0"/>
    <x v="1"/>
    <x v="597"/>
    <x v="32"/>
    <x v="0"/>
    <x v="1"/>
  </r>
  <r>
    <x v="781"/>
    <x v="1"/>
    <n v="782"/>
    <x v="10"/>
    <n v="0"/>
    <x v="0"/>
    <x v="1"/>
    <x v="1"/>
    <x v="598"/>
    <x v="224"/>
    <x v="0"/>
    <x v="1"/>
  </r>
  <r>
    <x v="782"/>
    <x v="0"/>
    <n v="783"/>
    <x v="62"/>
    <n v="0"/>
    <x v="1"/>
    <x v="1"/>
    <x v="0"/>
    <x v="599"/>
    <x v="209"/>
    <x v="0"/>
    <x v="1"/>
  </r>
  <r>
    <x v="783"/>
    <x v="0"/>
    <n v="784"/>
    <x v="3"/>
    <n v="2"/>
    <x v="0"/>
    <x v="0"/>
    <x v="0"/>
    <x v="600"/>
    <x v="230"/>
    <x v="0"/>
    <x v="1"/>
  </r>
  <r>
    <x v="784"/>
    <x v="0"/>
    <n v="785"/>
    <x v="4"/>
    <n v="0"/>
    <x v="1"/>
    <x v="0"/>
    <x v="0"/>
    <x v="600"/>
    <x v="79"/>
    <x v="0"/>
    <x v="1"/>
  </r>
  <r>
    <x v="785"/>
    <x v="0"/>
    <n v="786"/>
    <x v="47"/>
    <n v="0"/>
    <x v="1"/>
    <x v="0"/>
    <x v="0"/>
    <x v="601"/>
    <x v="0"/>
    <x v="0"/>
    <x v="1"/>
  </r>
  <r>
    <x v="786"/>
    <x v="1"/>
    <n v="787"/>
    <x v="8"/>
    <n v="0"/>
    <x v="1"/>
    <x v="0"/>
    <x v="1"/>
    <x v="602"/>
    <x v="196"/>
    <x v="132"/>
    <x v="1"/>
  </r>
  <r>
    <x v="787"/>
    <x v="0"/>
    <n v="788"/>
    <x v="48"/>
    <n v="1"/>
    <x v="3"/>
    <x v="0"/>
    <x v="0"/>
    <x v="602"/>
    <x v="15"/>
    <x v="132"/>
    <x v="1"/>
  </r>
  <r>
    <x v="788"/>
    <x v="0"/>
    <n v="789"/>
    <x v="70"/>
    <n v="2"/>
    <x v="0"/>
    <x v="0"/>
    <x v="1"/>
    <x v="603"/>
    <x v="65"/>
    <x v="0"/>
    <x v="1"/>
  </r>
  <r>
    <x v="789"/>
    <x v="0"/>
    <n v="790"/>
    <x v="64"/>
    <n v="0"/>
    <x v="1"/>
    <x v="1"/>
    <x v="0"/>
    <x v="604"/>
    <x v="84"/>
    <x v="133"/>
    <x v="1"/>
  </r>
  <r>
    <x v="790"/>
    <x v="0"/>
    <n v="791"/>
    <x v="62"/>
    <n v="0"/>
    <x v="1"/>
    <x v="0"/>
    <x v="0"/>
    <x v="605"/>
    <x v="28"/>
    <x v="0"/>
    <x v="0"/>
  </r>
  <r>
    <x v="791"/>
    <x v="0"/>
    <n v="792"/>
    <x v="58"/>
    <n v="0"/>
    <x v="1"/>
    <x v="2"/>
    <x v="0"/>
    <x v="605"/>
    <x v="19"/>
    <x v="0"/>
    <x v="0"/>
  </r>
  <r>
    <x v="792"/>
    <x v="1"/>
    <n v="793"/>
    <x v="60"/>
    <n v="2"/>
    <x v="6"/>
    <x v="0"/>
    <x v="0"/>
    <x v="606"/>
    <x v="94"/>
    <x v="0"/>
    <x v="1"/>
  </r>
  <r>
    <x v="793"/>
    <x v="0"/>
    <n v="794"/>
    <x v="70"/>
    <n v="0"/>
    <x v="1"/>
    <x v="1"/>
    <x v="0"/>
    <x v="607"/>
    <x v="101"/>
    <x v="134"/>
    <x v="1"/>
  </r>
  <r>
    <x v="794"/>
    <x v="0"/>
    <n v="795"/>
    <x v="38"/>
    <n v="0"/>
    <x v="1"/>
    <x v="0"/>
    <x v="0"/>
    <x v="608"/>
    <x v="25"/>
    <x v="0"/>
    <x v="1"/>
  </r>
  <r>
    <x v="795"/>
    <x v="0"/>
    <n v="796"/>
    <x v="26"/>
    <n v="0"/>
    <x v="1"/>
    <x v="2"/>
    <x v="0"/>
    <x v="608"/>
    <x v="16"/>
    <x v="1"/>
    <x v="1"/>
  </r>
  <r>
    <x v="796"/>
    <x v="1"/>
    <n v="797"/>
    <x v="38"/>
    <n v="0"/>
    <x v="1"/>
    <x v="1"/>
    <x v="1"/>
    <x v="608"/>
    <x v="231"/>
    <x v="135"/>
    <x v="1"/>
  </r>
  <r>
    <x v="797"/>
    <x v="1"/>
    <n v="798"/>
    <x v="59"/>
    <n v="0"/>
    <x v="1"/>
    <x v="0"/>
    <x v="1"/>
    <x v="609"/>
    <x v="232"/>
    <x v="136"/>
    <x v="1"/>
  </r>
  <r>
    <x v="798"/>
    <x v="0"/>
    <n v="799"/>
    <x v="5"/>
    <n v="0"/>
    <x v="1"/>
    <x v="0"/>
    <x v="0"/>
    <x v="610"/>
    <x v="32"/>
    <x v="0"/>
    <x v="1"/>
  </r>
  <r>
    <x v="799"/>
    <x v="1"/>
    <n v="800"/>
    <x v="44"/>
    <n v="1"/>
    <x v="0"/>
    <x v="0"/>
    <x v="0"/>
    <x v="610"/>
    <x v="72"/>
    <x v="0"/>
    <x v="1"/>
  </r>
  <r>
    <x v="800"/>
    <x v="0"/>
    <n v="801"/>
    <x v="8"/>
    <n v="0"/>
    <x v="1"/>
    <x v="2"/>
    <x v="0"/>
    <x v="610"/>
    <x v="16"/>
    <x v="137"/>
    <x v="1"/>
  </r>
  <r>
    <x v="801"/>
    <x v="1"/>
    <n v="802"/>
    <x v="21"/>
    <n v="1"/>
    <x v="0"/>
    <x v="2"/>
    <x v="1"/>
    <x v="610"/>
    <x v="121"/>
    <x v="138"/>
    <x v="1"/>
  </r>
  <r>
    <x v="802"/>
    <x v="0"/>
    <n v="803"/>
    <x v="14"/>
    <n v="2"/>
    <x v="0"/>
    <x v="1"/>
    <x v="1"/>
    <x v="611"/>
    <x v="168"/>
    <x v="139"/>
    <x v="1"/>
  </r>
  <r>
    <x v="803"/>
    <x v="0"/>
    <n v="804"/>
    <x v="8"/>
    <n v="1"/>
    <x v="1"/>
    <x v="0"/>
    <x v="1"/>
    <x v="611"/>
    <x v="233"/>
    <x v="139"/>
    <x v="1"/>
  </r>
  <r>
    <x v="804"/>
    <x v="0"/>
    <n v="805"/>
    <x v="50"/>
    <n v="0"/>
    <x v="1"/>
    <x v="0"/>
    <x v="1"/>
    <x v="612"/>
    <x v="78"/>
    <x v="140"/>
    <x v="1"/>
  </r>
  <r>
    <x v="805"/>
    <x v="0"/>
    <n v="806"/>
    <x v="38"/>
    <n v="0"/>
    <x v="1"/>
    <x v="0"/>
    <x v="0"/>
    <x v="613"/>
    <x v="71"/>
    <x v="141"/>
    <x v="0"/>
  </r>
  <r>
    <x v="806"/>
    <x v="0"/>
    <n v="807"/>
    <x v="26"/>
    <n v="0"/>
    <x v="1"/>
    <x v="1"/>
    <x v="0"/>
    <x v="613"/>
    <x v="104"/>
    <x v="142"/>
    <x v="1"/>
  </r>
  <r>
    <x v="807"/>
    <x v="1"/>
    <n v="808"/>
    <x v="9"/>
    <n v="0"/>
    <x v="1"/>
    <x v="0"/>
    <x v="0"/>
    <x v="613"/>
    <x v="71"/>
    <x v="0"/>
    <x v="1"/>
  </r>
  <r>
    <x v="808"/>
    <x v="0"/>
    <n v="809"/>
    <x v="39"/>
    <n v="0"/>
    <x v="1"/>
    <x v="2"/>
    <x v="0"/>
    <x v="614"/>
    <x v="16"/>
    <x v="0"/>
    <x v="1"/>
  </r>
  <r>
    <x v="809"/>
    <x v="1"/>
    <n v="810"/>
    <x v="58"/>
    <n v="0"/>
    <x v="0"/>
    <x v="1"/>
    <x v="1"/>
    <x v="614"/>
    <x v="3"/>
    <x v="143"/>
    <x v="1"/>
  </r>
  <r>
    <x v="810"/>
    <x v="0"/>
    <n v="811"/>
    <x v="9"/>
    <n v="0"/>
    <x v="1"/>
    <x v="0"/>
    <x v="0"/>
    <x v="615"/>
    <x v="234"/>
    <x v="0"/>
    <x v="0"/>
  </r>
  <r>
    <x v="811"/>
    <x v="0"/>
    <n v="812"/>
    <x v="19"/>
    <n v="0"/>
    <x v="1"/>
    <x v="0"/>
    <x v="0"/>
    <x v="616"/>
    <x v="72"/>
    <x v="105"/>
    <x v="0"/>
  </r>
  <r>
    <x v="812"/>
    <x v="0"/>
    <n v="813"/>
    <x v="30"/>
    <n v="0"/>
    <x v="1"/>
    <x v="2"/>
    <x v="0"/>
    <x v="616"/>
    <x v="29"/>
    <x v="105"/>
    <x v="0"/>
  </r>
  <r>
    <x v="813"/>
    <x v="1"/>
    <n v="814"/>
    <x v="69"/>
    <n v="2"/>
    <x v="3"/>
    <x v="0"/>
    <x v="0"/>
    <x v="617"/>
    <x v="12"/>
    <x v="0"/>
    <x v="0"/>
  </r>
  <r>
    <x v="814"/>
    <x v="0"/>
    <n v="815"/>
    <x v="63"/>
    <n v="0"/>
    <x v="1"/>
    <x v="0"/>
    <x v="0"/>
    <x v="618"/>
    <x v="4"/>
    <x v="0"/>
    <x v="1"/>
  </r>
  <r>
    <x v="815"/>
    <x v="0"/>
    <n v="816"/>
    <x v="12"/>
    <n v="0"/>
    <x v="1"/>
    <x v="1"/>
    <x v="0"/>
    <x v="618"/>
    <x v="104"/>
    <x v="0"/>
    <x v="1"/>
  </r>
  <r>
    <x v="816"/>
    <x v="1"/>
    <n v="817"/>
    <x v="7"/>
    <n v="0"/>
    <x v="1"/>
    <x v="0"/>
    <x v="0"/>
    <x v="619"/>
    <x v="2"/>
    <x v="144"/>
    <x v="0"/>
  </r>
  <r>
    <x v="817"/>
    <x v="0"/>
    <n v="818"/>
    <x v="51"/>
    <n v="1"/>
    <x v="0"/>
    <x v="2"/>
    <x v="0"/>
    <x v="619"/>
    <x v="235"/>
    <x v="0"/>
    <x v="0"/>
  </r>
  <r>
    <x v="818"/>
    <x v="0"/>
    <n v="819"/>
    <x v="78"/>
    <n v="0"/>
    <x v="1"/>
    <x v="0"/>
    <x v="0"/>
    <x v="620"/>
    <x v="236"/>
    <x v="0"/>
    <x v="0"/>
  </r>
  <r>
    <x v="819"/>
    <x v="0"/>
    <n v="820"/>
    <x v="48"/>
    <n v="2"/>
    <x v="2"/>
    <x v="0"/>
    <x v="0"/>
    <x v="621"/>
    <x v="48"/>
    <x v="0"/>
    <x v="0"/>
  </r>
  <r>
    <x v="820"/>
    <x v="1"/>
    <n v="821"/>
    <x v="48"/>
    <n v="1"/>
    <x v="0"/>
    <x v="1"/>
    <x v="1"/>
    <x v="621"/>
    <x v="198"/>
    <x v="0"/>
    <x v="0"/>
  </r>
  <r>
    <x v="821"/>
    <x v="0"/>
    <n v="822"/>
    <x v="8"/>
    <n v="0"/>
    <x v="1"/>
    <x v="0"/>
    <x v="1"/>
    <x v="621"/>
    <x v="51"/>
    <x v="0"/>
    <x v="0"/>
  </r>
  <r>
    <x v="822"/>
    <x v="0"/>
    <n v="823"/>
    <x v="30"/>
    <n v="0"/>
    <x v="1"/>
    <x v="1"/>
    <x v="0"/>
    <x v="621"/>
    <x v="104"/>
    <x v="0"/>
    <x v="0"/>
  </r>
  <r>
    <x v="823"/>
    <x v="1"/>
    <n v="824"/>
    <x v="2"/>
    <n v="1"/>
    <x v="1"/>
    <x v="0"/>
    <x v="1"/>
    <x v="621"/>
    <x v="57"/>
    <x v="0"/>
    <x v="0"/>
  </r>
  <r>
    <x v="824"/>
    <x v="0"/>
    <n v="825"/>
    <x v="34"/>
    <n v="1"/>
    <x v="3"/>
    <x v="0"/>
    <x v="0"/>
    <x v="622"/>
    <x v="40"/>
    <x v="0"/>
    <x v="0"/>
  </r>
  <r>
    <x v="825"/>
    <x v="0"/>
    <n v="826"/>
    <x v="43"/>
    <n v="0"/>
    <x v="1"/>
    <x v="0"/>
    <x v="0"/>
    <x v="623"/>
    <x v="237"/>
    <x v="0"/>
    <x v="0"/>
  </r>
  <r>
    <x v="826"/>
    <x v="0"/>
    <n v="827"/>
    <x v="71"/>
    <n v="0"/>
    <x v="1"/>
    <x v="0"/>
    <x v="0"/>
    <x v="624"/>
    <x v="54"/>
    <x v="0"/>
    <x v="0"/>
  </r>
  <r>
    <x v="827"/>
    <x v="0"/>
    <n v="828"/>
    <x v="14"/>
    <n v="2"/>
    <x v="1"/>
    <x v="2"/>
    <x v="1"/>
    <x v="625"/>
    <x v="235"/>
    <x v="0"/>
    <x v="1"/>
  </r>
  <r>
    <x v="828"/>
    <x v="0"/>
    <n v="829"/>
    <x v="47"/>
    <n v="0"/>
    <x v="1"/>
    <x v="0"/>
    <x v="1"/>
    <x v="626"/>
    <x v="28"/>
    <x v="0"/>
    <x v="0"/>
  </r>
  <r>
    <x v="829"/>
    <x v="1"/>
    <n v="830"/>
    <x v="5"/>
    <n v="0"/>
    <x v="1"/>
    <x v="1"/>
    <x v="1"/>
    <x v="627"/>
    <x v="46"/>
    <x v="0"/>
    <x v="0"/>
  </r>
  <r>
    <x v="830"/>
    <x v="1"/>
    <n v="831"/>
    <x v="50"/>
    <n v="0"/>
    <x v="0"/>
    <x v="0"/>
    <x v="1"/>
    <x v="628"/>
    <x v="53"/>
    <x v="51"/>
    <x v="1"/>
  </r>
  <r>
    <x v="831"/>
    <x v="0"/>
    <n v="832"/>
    <x v="67"/>
    <n v="1"/>
    <x v="0"/>
    <x v="2"/>
    <x v="1"/>
    <x v="629"/>
    <x v="170"/>
    <x v="0"/>
    <x v="1"/>
  </r>
  <r>
    <x v="832"/>
    <x v="0"/>
    <n v="833"/>
    <x v="9"/>
    <n v="0"/>
    <x v="1"/>
    <x v="0"/>
    <x v="0"/>
    <x v="629"/>
    <x v="32"/>
    <x v="0"/>
    <x v="1"/>
  </r>
  <r>
    <x v="833"/>
    <x v="0"/>
    <n v="834"/>
    <x v="33"/>
    <n v="0"/>
    <x v="1"/>
    <x v="0"/>
    <x v="0"/>
    <x v="629"/>
    <x v="13"/>
    <x v="0"/>
    <x v="1"/>
  </r>
  <r>
    <x v="834"/>
    <x v="0"/>
    <n v="835"/>
    <x v="59"/>
    <n v="0"/>
    <x v="1"/>
    <x v="0"/>
    <x v="0"/>
    <x v="630"/>
    <x v="238"/>
    <x v="0"/>
    <x v="1"/>
  </r>
  <r>
    <x v="835"/>
    <x v="1"/>
    <n v="836"/>
    <x v="50"/>
    <n v="1"/>
    <x v="0"/>
    <x v="1"/>
    <x v="1"/>
    <x v="631"/>
    <x v="147"/>
    <x v="0"/>
    <x v="1"/>
  </r>
  <r>
    <x v="836"/>
    <x v="0"/>
    <n v="837"/>
    <x v="0"/>
    <n v="0"/>
    <x v="1"/>
    <x v="0"/>
    <x v="0"/>
    <x v="632"/>
    <x v="51"/>
    <x v="0"/>
    <x v="1"/>
  </r>
  <r>
    <x v="837"/>
    <x v="0"/>
    <n v="838"/>
    <x v="25"/>
    <n v="0"/>
    <x v="1"/>
    <x v="0"/>
    <x v="0"/>
    <x v="633"/>
    <x v="4"/>
    <x v="0"/>
    <x v="1"/>
  </r>
  <r>
    <x v="838"/>
    <x v="0"/>
    <n v="839"/>
    <x v="26"/>
    <n v="0"/>
    <x v="1"/>
    <x v="0"/>
    <x v="1"/>
    <x v="634"/>
    <x v="54"/>
    <x v="51"/>
    <x v="1"/>
  </r>
  <r>
    <x v="839"/>
    <x v="0"/>
    <n v="840"/>
    <x v="22"/>
    <n v="0"/>
    <x v="1"/>
    <x v="1"/>
    <x v="1"/>
    <x v="635"/>
    <x v="132"/>
    <x v="0"/>
    <x v="1"/>
  </r>
  <r>
    <x v="840"/>
    <x v="0"/>
    <n v="841"/>
    <x v="1"/>
    <n v="0"/>
    <x v="1"/>
    <x v="0"/>
    <x v="0"/>
    <x v="636"/>
    <x v="2"/>
    <x v="0"/>
    <x v="0"/>
  </r>
  <r>
    <x v="841"/>
    <x v="0"/>
    <n v="842"/>
    <x v="14"/>
    <n v="0"/>
    <x v="1"/>
    <x v="2"/>
    <x v="0"/>
    <x v="637"/>
    <x v="29"/>
    <x v="0"/>
    <x v="0"/>
  </r>
  <r>
    <x v="842"/>
    <x v="1"/>
    <n v="843"/>
    <x v="26"/>
    <n v="0"/>
    <x v="1"/>
    <x v="1"/>
    <x v="1"/>
    <x v="638"/>
    <x v="113"/>
    <x v="0"/>
    <x v="0"/>
  </r>
  <r>
    <x v="843"/>
    <x v="0"/>
    <n v="844"/>
    <x v="21"/>
    <n v="0"/>
    <x v="1"/>
    <x v="0"/>
    <x v="0"/>
    <x v="639"/>
    <x v="239"/>
    <x v="0"/>
    <x v="0"/>
  </r>
  <r>
    <x v="844"/>
    <x v="0"/>
    <n v="845"/>
    <x v="20"/>
    <n v="0"/>
    <x v="1"/>
    <x v="0"/>
    <x v="0"/>
    <x v="640"/>
    <x v="51"/>
    <x v="0"/>
    <x v="0"/>
  </r>
  <r>
    <x v="845"/>
    <x v="0"/>
    <n v="846"/>
    <x v="38"/>
    <n v="0"/>
    <x v="1"/>
    <x v="0"/>
    <x v="0"/>
    <x v="641"/>
    <x v="120"/>
    <x v="0"/>
    <x v="0"/>
  </r>
  <r>
    <x v="846"/>
    <x v="0"/>
    <n v="847"/>
    <x v="30"/>
    <n v="2"/>
    <x v="6"/>
    <x v="0"/>
    <x v="0"/>
    <x v="642"/>
    <x v="94"/>
    <x v="0"/>
    <x v="0"/>
  </r>
  <r>
    <x v="847"/>
    <x v="0"/>
    <n v="848"/>
    <x v="33"/>
    <n v="0"/>
    <x v="1"/>
    <x v="0"/>
    <x v="0"/>
    <x v="643"/>
    <x v="25"/>
    <x v="0"/>
    <x v="0"/>
  </r>
  <r>
    <x v="848"/>
    <x v="0"/>
    <n v="849"/>
    <x v="2"/>
    <n v="1"/>
    <x v="1"/>
    <x v="2"/>
    <x v="0"/>
    <x v="644"/>
    <x v="212"/>
    <x v="145"/>
    <x v="0"/>
  </r>
  <r>
    <x v="849"/>
    <x v="1"/>
    <n v="850"/>
    <x v="54"/>
    <n v="0"/>
    <x v="0"/>
    <x v="1"/>
    <x v="1"/>
    <x v="645"/>
    <x v="180"/>
    <x v="0"/>
    <x v="0"/>
  </r>
  <r>
    <x v="850"/>
    <x v="0"/>
    <n v="851"/>
    <x v="42"/>
    <n v="2"/>
    <x v="3"/>
    <x v="0"/>
    <x v="0"/>
    <x v="646"/>
    <x v="12"/>
    <x v="0"/>
    <x v="0"/>
  </r>
  <r>
    <x v="851"/>
    <x v="0"/>
    <n v="852"/>
    <x v="20"/>
    <n v="0"/>
    <x v="1"/>
    <x v="0"/>
    <x v="0"/>
    <x v="647"/>
    <x v="71"/>
    <x v="0"/>
    <x v="0"/>
  </r>
  <r>
    <x v="852"/>
    <x v="1"/>
    <n v="853"/>
    <x v="50"/>
    <n v="1"/>
    <x v="0"/>
    <x v="0"/>
    <x v="0"/>
    <x v="648"/>
    <x v="49"/>
    <x v="0"/>
    <x v="0"/>
  </r>
  <r>
    <x v="853"/>
    <x v="1"/>
    <n v="854"/>
    <x v="48"/>
    <n v="1"/>
    <x v="1"/>
    <x v="1"/>
    <x v="1"/>
    <x v="649"/>
    <x v="240"/>
    <x v="0"/>
    <x v="0"/>
  </r>
  <r>
    <x v="854"/>
    <x v="1"/>
    <n v="855"/>
    <x v="33"/>
    <n v="0"/>
    <x v="0"/>
    <x v="2"/>
    <x v="0"/>
    <x v="650"/>
    <x v="19"/>
    <x v="0"/>
    <x v="0"/>
  </r>
  <r>
    <x v="855"/>
    <x v="1"/>
    <n v="856"/>
    <x v="49"/>
    <n v="1"/>
    <x v="1"/>
    <x v="0"/>
    <x v="1"/>
    <x v="651"/>
    <x v="118"/>
    <x v="0"/>
    <x v="0"/>
  </r>
  <r>
    <x v="856"/>
    <x v="1"/>
    <n v="857"/>
    <x v="72"/>
    <n v="1"/>
    <x v="0"/>
    <x v="1"/>
    <x v="1"/>
    <x v="652"/>
    <x v="150"/>
    <x v="0"/>
    <x v="0"/>
  </r>
  <r>
    <x v="857"/>
    <x v="0"/>
    <n v="858"/>
    <x v="51"/>
    <n v="0"/>
    <x v="1"/>
    <x v="1"/>
    <x v="1"/>
    <x v="653"/>
    <x v="11"/>
    <x v="0"/>
    <x v="0"/>
  </r>
  <r>
    <x v="858"/>
    <x v="1"/>
    <n v="859"/>
    <x v="39"/>
    <n v="3"/>
    <x v="1"/>
    <x v="0"/>
    <x v="1"/>
    <x v="654"/>
    <x v="178"/>
    <x v="0"/>
    <x v="0"/>
  </r>
  <r>
    <x v="859"/>
    <x v="0"/>
    <n v="860"/>
    <x v="64"/>
    <n v="0"/>
    <x v="1"/>
    <x v="0"/>
    <x v="0"/>
    <x v="655"/>
    <x v="32"/>
    <x v="0"/>
    <x v="0"/>
  </r>
  <r>
    <x v="860"/>
    <x v="0"/>
    <n v="861"/>
    <x v="38"/>
    <n v="0"/>
    <x v="4"/>
    <x v="0"/>
    <x v="0"/>
    <x v="656"/>
    <x v="241"/>
    <x v="0"/>
    <x v="0"/>
  </r>
  <r>
    <x v="861"/>
    <x v="0"/>
    <n v="862"/>
    <x v="14"/>
    <n v="0"/>
    <x v="0"/>
    <x v="2"/>
    <x v="0"/>
    <x v="657"/>
    <x v="86"/>
    <x v="0"/>
    <x v="0"/>
  </r>
  <r>
    <x v="862"/>
    <x v="1"/>
    <n v="863"/>
    <x v="9"/>
    <n v="0"/>
    <x v="1"/>
    <x v="1"/>
    <x v="1"/>
    <x v="658"/>
    <x v="231"/>
    <x v="0"/>
    <x v="0"/>
  </r>
  <r>
    <x v="863"/>
    <x v="1"/>
    <n v="864"/>
    <x v="48"/>
    <n v="2"/>
    <x v="6"/>
    <x v="0"/>
    <x v="0"/>
    <x v="659"/>
    <x v="94"/>
    <x v="0"/>
    <x v="0"/>
  </r>
  <r>
    <x v="864"/>
    <x v="0"/>
    <n v="865"/>
    <x v="20"/>
    <n v="0"/>
    <x v="1"/>
    <x v="2"/>
    <x v="0"/>
    <x v="660"/>
    <x v="16"/>
    <x v="0"/>
    <x v="0"/>
  </r>
  <r>
    <x v="865"/>
    <x v="1"/>
    <n v="866"/>
    <x v="2"/>
    <n v="0"/>
    <x v="1"/>
    <x v="2"/>
    <x v="1"/>
    <x v="661"/>
    <x v="16"/>
    <x v="0"/>
    <x v="0"/>
  </r>
  <r>
    <x v="866"/>
    <x v="1"/>
    <n v="867"/>
    <x v="63"/>
    <n v="0"/>
    <x v="0"/>
    <x v="2"/>
    <x v="1"/>
    <x v="662"/>
    <x v="242"/>
    <x v="0"/>
    <x v="0"/>
  </r>
  <r>
    <x v="867"/>
    <x v="0"/>
    <n v="868"/>
    <x v="59"/>
    <n v="0"/>
    <x v="1"/>
    <x v="1"/>
    <x v="0"/>
    <x v="663"/>
    <x v="243"/>
    <x v="0"/>
    <x v="0"/>
  </r>
  <r>
    <x v="868"/>
    <x v="0"/>
    <n v="869"/>
    <x v="2"/>
    <n v="0"/>
    <x v="1"/>
    <x v="0"/>
    <x v="0"/>
    <x v="664"/>
    <x v="59"/>
    <x v="0"/>
    <x v="0"/>
  </r>
  <r>
    <x v="869"/>
    <x v="0"/>
    <n v="870"/>
    <x v="2"/>
    <n v="1"/>
    <x v="0"/>
    <x v="0"/>
    <x v="1"/>
    <x v="665"/>
    <x v="8"/>
    <x v="0"/>
    <x v="0"/>
  </r>
  <r>
    <x v="870"/>
    <x v="0"/>
    <n v="871"/>
    <x v="48"/>
    <n v="0"/>
    <x v="1"/>
    <x v="0"/>
    <x v="0"/>
    <x v="666"/>
    <x v="25"/>
    <x v="0"/>
    <x v="0"/>
  </r>
  <r>
    <x v="871"/>
    <x v="1"/>
    <n v="872"/>
    <x v="33"/>
    <n v="1"/>
    <x v="0"/>
    <x v="1"/>
    <x v="1"/>
    <x v="667"/>
    <x v="124"/>
    <x v="0"/>
    <x v="0"/>
  </r>
  <r>
    <x v="872"/>
    <x v="0"/>
    <n v="873"/>
    <x v="30"/>
    <n v="0"/>
    <x v="1"/>
    <x v="1"/>
    <x v="0"/>
    <x v="668"/>
    <x v="244"/>
    <x v="0"/>
    <x v="0"/>
  </r>
  <r>
    <x v="873"/>
    <x v="0"/>
    <n v="874"/>
    <x v="3"/>
    <n v="0"/>
    <x v="1"/>
    <x v="0"/>
    <x v="0"/>
    <x v="668"/>
    <x v="58"/>
    <x v="0"/>
    <x v="0"/>
  </r>
  <r>
    <x v="874"/>
    <x v="1"/>
    <n v="875"/>
    <x v="4"/>
    <n v="0"/>
    <x v="0"/>
    <x v="2"/>
    <x v="1"/>
    <x v="669"/>
    <x v="145"/>
    <x v="0"/>
    <x v="0"/>
  </r>
  <r>
    <x v="875"/>
    <x v="1"/>
    <n v="876"/>
    <x v="25"/>
    <n v="0"/>
    <x v="1"/>
    <x v="0"/>
    <x v="1"/>
    <x v="670"/>
    <x v="18"/>
    <x v="0"/>
    <x v="0"/>
  </r>
  <r>
    <x v="876"/>
    <x v="0"/>
    <n v="877"/>
    <x v="50"/>
    <n v="0"/>
    <x v="1"/>
    <x v="0"/>
    <x v="0"/>
    <x v="671"/>
    <x v="245"/>
    <x v="0"/>
    <x v="0"/>
  </r>
  <r>
    <x v="877"/>
    <x v="0"/>
    <n v="878"/>
    <x v="43"/>
    <n v="0"/>
    <x v="1"/>
    <x v="0"/>
    <x v="0"/>
    <x v="672"/>
    <x v="25"/>
    <x v="0"/>
    <x v="0"/>
  </r>
  <r>
    <x v="878"/>
    <x v="0"/>
    <n v="879"/>
    <x v="58"/>
    <n v="0"/>
    <x v="1"/>
    <x v="0"/>
    <x v="0"/>
    <x v="673"/>
    <x v="25"/>
    <x v="0"/>
    <x v="0"/>
  </r>
  <r>
    <x v="879"/>
    <x v="1"/>
    <n v="880"/>
    <x v="22"/>
    <n v="1"/>
    <x v="1"/>
    <x v="1"/>
    <x v="1"/>
    <x v="674"/>
    <x v="147"/>
    <x v="0"/>
    <x v="0"/>
  </r>
  <r>
    <x v="880"/>
    <x v="1"/>
    <n v="881"/>
    <x v="30"/>
    <n v="1"/>
    <x v="1"/>
    <x v="2"/>
    <x v="1"/>
    <x v="675"/>
    <x v="19"/>
    <x v="0"/>
    <x v="0"/>
  </r>
  <r>
    <x v="881"/>
    <x v="0"/>
    <n v="882"/>
    <x v="54"/>
    <n v="0"/>
    <x v="1"/>
    <x v="0"/>
    <x v="0"/>
    <x v="675"/>
    <x v="25"/>
    <x v="0"/>
    <x v="0"/>
  </r>
  <r>
    <x v="882"/>
    <x v="1"/>
    <n v="883"/>
    <x v="51"/>
    <n v="0"/>
    <x v="1"/>
    <x v="0"/>
    <x v="0"/>
    <x v="676"/>
    <x v="246"/>
    <x v="0"/>
    <x v="0"/>
  </r>
  <r>
    <x v="883"/>
    <x v="0"/>
    <n v="884"/>
    <x v="37"/>
    <n v="0"/>
    <x v="1"/>
    <x v="2"/>
    <x v="0"/>
    <x v="676"/>
    <x v="29"/>
    <x v="0"/>
    <x v="0"/>
  </r>
  <r>
    <x v="884"/>
    <x v="0"/>
    <n v="885"/>
    <x v="48"/>
    <n v="0"/>
    <x v="1"/>
    <x v="0"/>
    <x v="0"/>
    <x v="676"/>
    <x v="79"/>
    <x v="0"/>
    <x v="0"/>
  </r>
  <r>
    <x v="885"/>
    <x v="1"/>
    <n v="886"/>
    <x v="53"/>
    <n v="5"/>
    <x v="1"/>
    <x v="0"/>
    <x v="0"/>
    <x v="676"/>
    <x v="15"/>
    <x v="0"/>
    <x v="0"/>
  </r>
  <r>
    <x v="886"/>
    <x v="0"/>
    <n v="887"/>
    <x v="21"/>
    <n v="0"/>
    <x v="1"/>
    <x v="2"/>
    <x v="0"/>
    <x v="677"/>
    <x v="16"/>
    <x v="0"/>
    <x v="0"/>
  </r>
  <r>
    <x v="887"/>
    <x v="1"/>
    <n v="888"/>
    <x v="16"/>
    <n v="0"/>
    <x v="1"/>
    <x v="1"/>
    <x v="1"/>
    <x v="678"/>
    <x v="209"/>
    <x v="146"/>
    <x v="0"/>
  </r>
  <r>
    <x v="888"/>
    <x v="1"/>
    <n v="889"/>
    <x v="39"/>
    <n v="2"/>
    <x v="0"/>
    <x v="0"/>
    <x v="0"/>
    <x v="679"/>
    <x v="230"/>
    <x v="0"/>
    <x v="0"/>
  </r>
  <r>
    <x v="889"/>
    <x v="0"/>
    <n v="890"/>
    <x v="26"/>
    <n v="0"/>
    <x v="1"/>
    <x v="1"/>
    <x v="1"/>
    <x v="680"/>
    <x v="209"/>
    <x v="147"/>
    <x v="0"/>
  </r>
  <r>
    <x v="890"/>
    <x v="0"/>
    <n v="891"/>
    <x v="75"/>
    <n v="0"/>
    <x v="1"/>
    <x v="0"/>
    <x v="0"/>
    <x v="680"/>
    <x v="28"/>
    <x v="1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1FBD0-984F-4E9A-98D6-53D4D42FF745}"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2:C69" firstHeaderRow="1" firstDataRow="1" firstDataCol="0"/>
  <pivotFields count="13">
    <pivotField showAll="0"/>
    <pivotField showAll="0">
      <items count="3">
        <item h="1" x="1"/>
        <item x="0"/>
        <item t="default"/>
      </items>
    </pivotField>
    <pivotField numFmtId="49" showAll="0"/>
    <pivotField showAll="0">
      <items count="11">
        <item x="0"/>
        <item x="1"/>
        <item x="2"/>
        <item x="3"/>
        <item x="4"/>
        <item x="5"/>
        <item x="6"/>
        <item x="7"/>
        <item x="8"/>
        <item x="9"/>
        <item t="default"/>
      </items>
    </pivotField>
    <pivotField numFmtId="49" showAll="0"/>
    <pivotField numFmtId="49" showAll="0"/>
    <pivotField numFmtId="49" showAll="0">
      <items count="4">
        <item x="1"/>
        <item x="2"/>
        <item x="0"/>
        <item t="default"/>
      </items>
    </pivotField>
    <pivotField numFmtId="49" showAll="0"/>
    <pivotField showAll="0"/>
    <pivotField numFmtId="44" showAll="0"/>
    <pivotField showAll="0"/>
    <pivotField showAll="0">
      <items count="4">
        <item x="1"/>
        <item x="2"/>
        <item x="0"/>
        <item t="default"/>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DCBA09-8690-4A93-A5AB-643351E52ADE}" name="Sobrevivientes_Clase"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ase de Pasaje">
  <location ref="I3:J7" firstHeaderRow="1" firstDataRow="1" firstDataCol="1"/>
  <pivotFields count="13">
    <pivotField showAll="0"/>
    <pivotField showAll="0">
      <items count="3">
        <item h="1" x="1"/>
        <item x="0"/>
        <item t="default"/>
      </items>
    </pivotField>
    <pivotField numFmtId="49" showAll="0"/>
    <pivotField showAll="0">
      <items count="11">
        <item x="0"/>
        <item x="1"/>
        <item x="2"/>
        <item x="3"/>
        <item x="4"/>
        <item x="5"/>
        <item x="6"/>
        <item x="7"/>
        <item x="8"/>
        <item x="9"/>
        <item t="default"/>
      </items>
    </pivotField>
    <pivotField numFmtId="49" showAll="0"/>
    <pivotField numFmtId="49" showAll="0"/>
    <pivotField axis="axisRow" numFmtId="49" showAll="0">
      <items count="4">
        <item x="1"/>
        <item x="2"/>
        <item x="0"/>
        <item t="default"/>
      </items>
    </pivotField>
    <pivotField dataField="1" numFmtId="49" showAll="0"/>
    <pivotField showAll="0">
      <items count="6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umFmtId="44" showAll="0"/>
    <pivotField showAll="0"/>
    <pivotField showAll="0">
      <items count="4">
        <item x="1"/>
        <item x="2"/>
        <item x="0"/>
        <item t="default"/>
      </items>
    </pivotField>
    <pivotField dragToRow="0" dragToCol="0" dragToPage="0" showAll="0" defaultSubtotal="0"/>
  </pivotFields>
  <rowFields count="1">
    <field x="6"/>
  </rowFields>
  <rowItems count="4">
    <i>
      <x/>
    </i>
    <i>
      <x v="1"/>
    </i>
    <i>
      <x v="2"/>
    </i>
    <i t="grand">
      <x/>
    </i>
  </rowItems>
  <colItems count="1">
    <i/>
  </colItems>
  <dataFields count="1">
    <dataField name="Sobrevivientes" fld="7" baseField="0" baseItem="0" numFmtId="4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52CB59-75A2-475F-8460-2BFFC1226473}" name="TablaDinámica2" cacheId="0" applyNumberFormats="0" applyBorderFormats="0" applyFontFormats="0" applyPatternFormats="0" applyAlignmentFormats="0" applyWidthHeightFormats="1" dataCaption="Valores" grandTotalCaption="Promedio General" updatedVersion="8" minRefreshableVersion="3" useAutoFormatting="1" itemPrintTitles="1" createdVersion="8" indent="0" outline="1" outlineData="1" multipleFieldFilters="0" chartFormat="14" rowHeaderCaption="Clase">
  <location ref="D22:E26" firstHeaderRow="1" firstDataRow="1" firstDataCol="1"/>
  <pivotFields count="13">
    <pivotField showAll="0"/>
    <pivotField showAll="0">
      <items count="3">
        <item h="1" x="1"/>
        <item x="0"/>
        <item t="default"/>
      </items>
    </pivotField>
    <pivotField numFmtId="49" showAll="0"/>
    <pivotField showAll="0">
      <items count="11">
        <item x="0"/>
        <item x="1"/>
        <item x="2"/>
        <item x="3"/>
        <item x="4"/>
        <item x="5"/>
        <item x="6"/>
        <item x="7"/>
        <item x="8"/>
        <item x="9"/>
        <item t="default"/>
      </items>
    </pivotField>
    <pivotField numFmtId="49" showAll="0"/>
    <pivotField numFmtId="49" showAll="0"/>
    <pivotField axis="axisRow" numFmtId="49" showAll="0">
      <items count="4">
        <item x="1"/>
        <item x="2"/>
        <item x="0"/>
        <item t="default"/>
      </items>
    </pivotField>
    <pivotField numFmtId="49" showAll="0"/>
    <pivotField showAll="0"/>
    <pivotField dataField="1" numFmtId="44" showAll="0">
      <items count="248">
        <item x="104"/>
        <item x="244"/>
        <item x="236"/>
        <item x="85"/>
        <item x="237"/>
        <item x="78"/>
        <item x="79"/>
        <item x="123"/>
        <item x="18"/>
        <item x="0"/>
        <item x="120"/>
        <item x="55"/>
        <item x="182"/>
        <item x="28"/>
        <item x="71"/>
        <item x="41"/>
        <item x="173"/>
        <item x="2"/>
        <item x="4"/>
        <item x="238"/>
        <item x="138"/>
        <item x="58"/>
        <item x="157"/>
        <item x="118"/>
        <item x="34"/>
        <item x="59"/>
        <item x="73"/>
        <item x="29"/>
        <item x="86"/>
        <item x="167"/>
        <item x="122"/>
        <item x="142"/>
        <item x="57"/>
        <item x="89"/>
        <item x="169"/>
        <item x="137"/>
        <item x="16"/>
        <item x="119"/>
        <item x="149"/>
        <item x="174"/>
        <item x="80"/>
        <item x="211"/>
        <item x="105"/>
        <item x="191"/>
        <item x="37"/>
        <item x="214"/>
        <item x="96"/>
        <item x="62"/>
        <item x="156"/>
        <item x="14"/>
        <item x="95"/>
        <item x="10"/>
        <item x="206"/>
        <item x="39"/>
        <item x="17"/>
        <item x="170"/>
        <item x="131"/>
        <item x="134"/>
        <item x="97"/>
        <item x="65"/>
        <item x="35"/>
        <item x="7"/>
        <item x="107"/>
        <item x="193"/>
        <item x="68"/>
        <item x="141"/>
        <item x="230"/>
        <item x="145"/>
        <item x="72"/>
        <item x="99"/>
        <item x="19"/>
        <item x="121"/>
        <item x="11"/>
        <item x="115"/>
        <item x="44"/>
        <item x="48"/>
        <item x="154"/>
        <item x="56"/>
        <item x="15"/>
        <item x="132"/>
        <item x="209"/>
        <item x="140"/>
        <item x="113"/>
        <item x="12"/>
        <item x="172"/>
        <item x="212"/>
        <item x="100"/>
        <item x="63"/>
        <item x="158"/>
        <item x="21"/>
        <item x="87"/>
        <item x="181"/>
        <item x="106"/>
        <item x="240"/>
        <item x="205"/>
        <item x="163"/>
        <item x="213"/>
        <item x="45"/>
        <item x="61"/>
        <item x="201"/>
        <item x="108"/>
        <item x="31"/>
        <item x="3"/>
        <item x="98"/>
        <item x="175"/>
        <item x="224"/>
        <item x="195"/>
        <item x="64"/>
        <item x="152"/>
        <item x="239"/>
        <item x="110"/>
        <item x="215"/>
        <item x="90"/>
        <item x="171"/>
        <item x="160"/>
        <item x="94"/>
        <item x="185"/>
        <item x="217"/>
        <item x="202"/>
        <item x="76"/>
        <item x="32"/>
        <item x="91"/>
        <item x="52"/>
        <item x="196"/>
        <item x="186"/>
        <item x="159"/>
        <item x="192"/>
        <item x="166"/>
        <item x="93"/>
        <item x="228"/>
        <item x="226"/>
        <item x="60"/>
        <item x="88"/>
        <item x="204"/>
        <item x="13"/>
        <item x="24"/>
        <item x="135"/>
        <item x="234"/>
        <item x="25"/>
        <item x="84"/>
        <item x="128"/>
        <item x="46"/>
        <item x="20"/>
        <item x="176"/>
        <item x="221"/>
        <item x="50"/>
        <item x="47"/>
        <item x="229"/>
        <item x="109"/>
        <item x="218"/>
        <item x="5"/>
        <item x="233"/>
        <item x="126"/>
        <item x="70"/>
        <item x="51"/>
        <item x="232"/>
        <item x="210"/>
        <item x="117"/>
        <item x="83"/>
        <item x="198"/>
        <item x="227"/>
        <item x="188"/>
        <item x="184"/>
        <item x="220"/>
        <item x="245"/>
        <item x="222"/>
        <item x="111"/>
        <item x="246"/>
        <item x="200"/>
        <item x="144"/>
        <item x="143"/>
        <item x="8"/>
        <item x="33"/>
        <item x="114"/>
        <item x="168"/>
        <item x="187"/>
        <item x="155"/>
        <item x="225"/>
        <item x="151"/>
        <item x="130"/>
        <item x="183"/>
        <item x="242"/>
        <item x="203"/>
        <item x="241"/>
        <item x="53"/>
        <item x="74"/>
        <item x="27"/>
        <item x="81"/>
        <item x="139"/>
        <item x="49"/>
        <item x="129"/>
        <item x="165"/>
        <item x="150"/>
        <item x="112"/>
        <item x="178"/>
        <item x="179"/>
        <item x="125"/>
        <item x="223"/>
        <item x="162"/>
        <item x="38"/>
        <item x="199"/>
        <item x="77"/>
        <item x="164"/>
        <item x="75"/>
        <item x="102"/>
        <item x="219"/>
        <item x="231"/>
        <item x="148"/>
        <item x="82"/>
        <item x="194"/>
        <item x="23"/>
        <item x="208"/>
        <item x="26"/>
        <item x="103"/>
        <item x="9"/>
        <item x="101"/>
        <item x="22"/>
        <item x="216"/>
        <item x="197"/>
        <item x="66"/>
        <item x="235"/>
        <item x="40"/>
        <item x="36"/>
        <item x="189"/>
        <item x="243"/>
        <item x="127"/>
        <item x="207"/>
        <item x="6"/>
        <item x="124"/>
        <item x="161"/>
        <item x="54"/>
        <item x="146"/>
        <item x="153"/>
        <item x="92"/>
        <item x="43"/>
        <item x="67"/>
        <item x="1"/>
        <item x="116"/>
        <item x="42"/>
        <item x="69"/>
        <item x="133"/>
        <item x="190"/>
        <item x="177"/>
        <item x="30"/>
        <item x="147"/>
        <item x="180"/>
        <item x="136"/>
        <item t="default"/>
      </items>
    </pivotField>
    <pivotField showAll="0"/>
    <pivotField showAll="0">
      <items count="4">
        <item x="1"/>
        <item x="2"/>
        <item x="0"/>
        <item t="default"/>
      </items>
    </pivotField>
    <pivotField dragToRow="0" dragToCol="0" dragToPage="0" showAll="0" defaultSubtotal="0"/>
  </pivotFields>
  <rowFields count="1">
    <field x="6"/>
  </rowFields>
  <rowItems count="4">
    <i>
      <x/>
    </i>
    <i>
      <x v="1"/>
    </i>
    <i>
      <x v="2"/>
    </i>
    <i t="grand">
      <x/>
    </i>
  </rowItems>
  <colItems count="1">
    <i/>
  </colItems>
  <dataFields count="1">
    <dataField name="Promedio de Tarifa" fld="9" subtotal="average" baseField="6" baseItem="0" numFmtId="44"/>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0"/>
          </reference>
        </references>
      </pivotArea>
    </chartFormat>
    <chartFormat chart="2"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383862-C619-45DC-B352-9631DCAA9B26}" name="TablaDinámica1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F3:G7" firstHeaderRow="1" firstDataRow="1" firstDataCol="1"/>
  <pivotFields count="13">
    <pivotField showAll="0"/>
    <pivotField showAll="0">
      <items count="3">
        <item h="1" x="1"/>
        <item x="0"/>
        <item t="default"/>
      </items>
    </pivotField>
    <pivotField numFmtId="49" showAll="0"/>
    <pivotField showAll="0">
      <items count="11">
        <item x="0"/>
        <item x="1"/>
        <item x="2"/>
        <item x="3"/>
        <item x="4"/>
        <item x="5"/>
        <item x="6"/>
        <item x="7"/>
        <item x="8"/>
        <item x="9"/>
        <item t="default"/>
      </items>
    </pivotField>
    <pivotField numFmtId="49" showAll="0"/>
    <pivotField numFmtId="49" showAll="0"/>
    <pivotField axis="axisRow" dataField="1" numFmtId="49" showAll="0">
      <items count="4">
        <item x="1"/>
        <item x="2"/>
        <item x="0"/>
        <item t="default"/>
      </items>
    </pivotField>
    <pivotField numFmtId="49" showAll="0"/>
    <pivotField showAll="0"/>
    <pivotField numFmtId="44" showAll="0"/>
    <pivotField showAll="0"/>
    <pivotField showAll="0">
      <items count="4">
        <item x="1"/>
        <item x="2"/>
        <item x="0"/>
        <item t="default"/>
      </items>
    </pivotField>
    <pivotField dragToRow="0" dragToCol="0" dragToPage="0" showAll="0" defaultSubtotal="0"/>
  </pivotFields>
  <rowFields count="1">
    <field x="6"/>
  </rowFields>
  <rowItems count="4">
    <i>
      <x/>
    </i>
    <i>
      <x v="1"/>
    </i>
    <i>
      <x v="2"/>
    </i>
    <i t="grand">
      <x/>
    </i>
  </rowItems>
  <colItems count="1">
    <i/>
  </colItems>
  <dataFields count="1">
    <dataField name="Cuenta de Clase_Del_Pasaje" fld="6" subtotal="count" baseField="6"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6BC3C-ECF4-48B9-8802-D001289A7935}" name="Sobrevivientes_Embarque"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3" rowHeaderCaption="Embarque">
  <location ref="L3:O8" firstHeaderRow="1" firstDataRow="2" firstDataCol="1"/>
  <pivotFields count="13">
    <pivotField showAll="0"/>
    <pivotField showAll="0">
      <items count="3">
        <item h="1" x="1"/>
        <item x="0"/>
        <item t="default"/>
      </items>
    </pivotField>
    <pivotField numFmtId="49" showAll="0"/>
    <pivotField showAll="0">
      <items count="11">
        <item x="0"/>
        <item x="1"/>
        <item x="2"/>
        <item x="3"/>
        <item x="4"/>
        <item x="5"/>
        <item x="6"/>
        <item x="7"/>
        <item x="8"/>
        <item x="9"/>
        <item t="default"/>
      </items>
    </pivotField>
    <pivotField numFmtId="49" showAll="0"/>
    <pivotField numFmtId="49" showAll="0">
      <items count="8">
        <item x="1"/>
        <item x="0"/>
        <item x="4"/>
        <item x="2"/>
        <item x="3"/>
        <item x="5"/>
        <item x="6"/>
        <item t="default"/>
      </items>
    </pivotField>
    <pivotField numFmtId="49" showAll="0">
      <items count="4">
        <item x="1"/>
        <item x="2"/>
        <item x="0"/>
        <item t="default"/>
      </items>
    </pivotField>
    <pivotField axis="axisCol" dataField="1" numFmtId="49" showAll="0">
      <items count="3">
        <item n="Fallecidos" x="0"/>
        <item n="Sobrevivientes" x="1"/>
        <item t="default"/>
      </items>
    </pivotField>
    <pivotField showAll="0"/>
    <pivotField numFmtId="44" showAll="0"/>
    <pivotField showAll="0"/>
    <pivotField axis="axisRow" showAll="0">
      <items count="4">
        <item x="1"/>
        <item x="2"/>
        <item x="0"/>
        <item t="default"/>
      </items>
    </pivotField>
    <pivotField dragToRow="0" dragToCol="0" dragToPage="0" showAll="0" defaultSubtotal="0"/>
  </pivotFields>
  <rowFields count="1">
    <field x="11"/>
  </rowFields>
  <rowItems count="4">
    <i>
      <x/>
    </i>
    <i>
      <x v="1"/>
    </i>
    <i>
      <x v="2"/>
    </i>
    <i t="grand">
      <x/>
    </i>
  </rowItems>
  <colFields count="1">
    <field x="7"/>
  </colFields>
  <colItems count="3">
    <i>
      <x/>
    </i>
    <i>
      <x v="1"/>
    </i>
    <i t="grand">
      <x/>
    </i>
  </colItems>
  <dataFields count="1">
    <dataField name="Cuenta de Sobreviviente" fld="7" subtotal="count" baseField="11" baseItem="1"/>
  </dataFields>
  <chartFormats count="4">
    <chartFormat chart="3" format="7" series="1">
      <pivotArea type="data" outline="0" fieldPosition="0">
        <references count="1">
          <reference field="7" count="1" selected="0">
            <x v="1"/>
          </reference>
        </references>
      </pivotArea>
    </chartFormat>
    <chartFormat chart="3" format="8" series="1">
      <pivotArea type="data" outline="0" fieldPosition="0">
        <references count="1">
          <reference field="7" count="1" selected="0">
            <x v="0"/>
          </reference>
        </references>
      </pivotArea>
    </chartFormat>
    <chartFormat chart="3" format="9" series="1">
      <pivotArea type="data" outline="0" fieldPosition="0">
        <references count="2">
          <reference field="4294967294" count="1" selected="0">
            <x v="0"/>
          </reference>
          <reference field="7" count="1" selected="0">
            <x v="0"/>
          </reference>
        </references>
      </pivotArea>
    </chartFormat>
    <chartFormat chart="3" format="10"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6C6914-86E2-43F1-9A7C-D0B096648345}"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22:B24" firstHeaderRow="1" firstDataRow="1" firstDataCol="1"/>
  <pivotFields count="13">
    <pivotField showAll="0"/>
    <pivotField axis="axisRow" showAll="0">
      <items count="3">
        <item n="Mujeres" h="1" x="1"/>
        <item n="Hombres" x="0"/>
        <item t="default"/>
      </items>
    </pivotField>
    <pivotField numFmtId="49" showAll="0"/>
    <pivotField showAll="0">
      <items count="11">
        <item x="0"/>
        <item x="1"/>
        <item x="2"/>
        <item x="3"/>
        <item x="4"/>
        <item x="5"/>
        <item x="6"/>
        <item x="7"/>
        <item x="8"/>
        <item x="9"/>
        <item t="default"/>
      </items>
    </pivotField>
    <pivotField numFmtId="49" showAll="0"/>
    <pivotField numFmtId="49" showAll="0"/>
    <pivotField numFmtId="49" showAll="0">
      <items count="4">
        <item x="1"/>
        <item x="2"/>
        <item x="0"/>
        <item t="default"/>
      </items>
    </pivotField>
    <pivotField dataField="1" numFmtId="49" showAll="0"/>
    <pivotField showAll="0"/>
    <pivotField numFmtId="44" showAll="0"/>
    <pivotField showAll="0"/>
    <pivotField showAll="0">
      <items count="4">
        <item x="1"/>
        <item x="2"/>
        <item x="0"/>
        <item t="default"/>
      </items>
    </pivotField>
    <pivotField dragToRow="0" dragToCol="0" dragToPage="0" showAll="0" defaultSubtotal="0"/>
  </pivotFields>
  <rowFields count="1">
    <field x="1"/>
  </rowFields>
  <rowItems count="2">
    <i>
      <x v="1"/>
    </i>
    <i t="grand">
      <x/>
    </i>
  </rowItems>
  <colItems count="1">
    <i/>
  </colItems>
  <dataFields count="1">
    <dataField name="Promedio de Sobreviviente" fld="7" subtotal="average" baseField="1" baseItem="0" numFmtId="49"/>
  </dataFields>
  <formats count="3">
    <format dxfId="4">
      <pivotArea collapsedLevelsAreSubtotals="1" fieldPosition="0">
        <references count="1">
          <reference field="1" count="1">
            <x v="0"/>
          </reference>
        </references>
      </pivotArea>
    </format>
    <format dxfId="3">
      <pivotArea collapsedLevelsAreSubtotals="1" fieldPosition="0">
        <references count="1">
          <reference field="1" count="1">
            <x v="1"/>
          </reference>
        </references>
      </pivotArea>
    </format>
    <format dxfId="2">
      <pivotArea grandRow="1"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760045-37BE-401A-80A7-A1667907EF75}" name="TablaDinámica16"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7" rowHeaderCaption="Edad" colHeaderCaption="Sobrevivientes">
  <location ref="G16:J26" firstHeaderRow="1" firstDataRow="2" firstDataCol="1"/>
  <pivotFields count="13">
    <pivotField showAll="0"/>
    <pivotField showAll="0">
      <items count="3">
        <item h="1" x="1"/>
        <item x="0"/>
        <item t="default"/>
      </items>
    </pivotField>
    <pivotField numFmtId="49" showAll="0"/>
    <pivotField axis="axisRow" showAll="0">
      <items count="11">
        <item x="0"/>
        <item x="1"/>
        <item x="2"/>
        <item x="3"/>
        <item x="4"/>
        <item x="5"/>
        <item x="6"/>
        <item x="7"/>
        <item x="8"/>
        <item x="9"/>
        <item t="default"/>
      </items>
    </pivotField>
    <pivotField numFmtId="49" showAll="0"/>
    <pivotField numFmtId="49" showAll="0"/>
    <pivotField numFmtId="49" showAll="0">
      <items count="4">
        <item x="1"/>
        <item x="2"/>
        <item x="0"/>
        <item t="default"/>
      </items>
    </pivotField>
    <pivotField axis="axisCol" dataField="1" numFmtId="49" showAll="0">
      <items count="3">
        <item n="No" x="0"/>
        <item n="Si" x="1"/>
        <item t="default"/>
      </items>
    </pivotField>
    <pivotField showAll="0"/>
    <pivotField numFmtId="44" showAll="0"/>
    <pivotField showAll="0"/>
    <pivotField showAll="0">
      <items count="4">
        <item x="1"/>
        <item x="2"/>
        <item x="0"/>
        <item t="default"/>
      </items>
    </pivotField>
    <pivotField dragToRow="0" dragToCol="0" dragToPage="0" showAll="0" defaultSubtotal="0"/>
  </pivotFields>
  <rowFields count="1">
    <field x="3"/>
  </rowFields>
  <rowItems count="9">
    <i>
      <x v="1"/>
    </i>
    <i>
      <x v="2"/>
    </i>
    <i>
      <x v="3"/>
    </i>
    <i>
      <x v="4"/>
    </i>
    <i>
      <x v="5"/>
    </i>
    <i>
      <x v="6"/>
    </i>
    <i>
      <x v="7"/>
    </i>
    <i>
      <x v="8"/>
    </i>
    <i t="grand">
      <x/>
    </i>
  </rowItems>
  <colFields count="1">
    <field x="7"/>
  </colFields>
  <colItems count="3">
    <i>
      <x/>
    </i>
    <i>
      <x v="1"/>
    </i>
    <i t="grand">
      <x/>
    </i>
  </colItems>
  <dataFields count="1">
    <dataField name="Rango Etario" fld="7" subtotal="count" baseField="3" baseItem="0"/>
  </dataFields>
  <chartFormats count="3">
    <chartFormat chart="2" format="2"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7" count="1" selected="0">
            <x v="1"/>
          </reference>
        </references>
      </pivotArea>
    </chartFormat>
    <chartFormat chart="2" format="5"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AC59FC-B402-4B24-9BF4-FA5A53BFC788}" name="Sobrevivientes"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3:E4" firstHeaderRow="1" firstDataRow="1" firstDataCol="0"/>
  <pivotFields count="13">
    <pivotField showAll="0"/>
    <pivotField showAll="0">
      <items count="3">
        <item h="1" x="1"/>
        <item x="0"/>
        <item t="default"/>
      </items>
    </pivotField>
    <pivotField numFmtId="49" showAll="0"/>
    <pivotField showAll="0">
      <items count="11">
        <item x="0"/>
        <item x="1"/>
        <item x="2"/>
        <item x="3"/>
        <item x="4"/>
        <item x="5"/>
        <item x="6"/>
        <item x="7"/>
        <item x="8"/>
        <item x="9"/>
        <item t="default"/>
      </items>
    </pivotField>
    <pivotField numFmtId="49" showAll="0"/>
    <pivotField numFmtId="49" showAll="0"/>
    <pivotField numFmtId="49" showAll="0">
      <items count="4">
        <item x="1"/>
        <item x="2"/>
        <item x="0"/>
        <item t="default"/>
      </items>
    </pivotField>
    <pivotField dataField="1" numFmtId="49" showAll="0">
      <items count="3">
        <item x="0"/>
        <item x="1"/>
        <item t="default"/>
      </items>
    </pivotField>
    <pivotField showAll="0"/>
    <pivotField numFmtId="44" showAll="0"/>
    <pivotField showAll="0"/>
    <pivotField showAll="0">
      <items count="4">
        <item x="1"/>
        <item x="2"/>
        <item x="0"/>
        <item t="default"/>
      </items>
    </pivotField>
    <pivotField dragToRow="0" dragToCol="0" dragToPage="0" showAll="0" defaultSubtotal="0"/>
  </pivotFields>
  <rowItems count="1">
    <i/>
  </rowItems>
  <colItems count="1">
    <i/>
  </colItems>
  <dataFields count="1">
    <dataField name="Total Sobrevivientes" fld="7" baseField="0" baseItem="0" numFmtId="1"/>
  </dataFields>
  <formats count="2">
    <format dxfId="6">
      <pivotArea outline="0" collapsedLevelsAreSubtotals="1" fieldPosition="0"/>
    </format>
    <format dxfId="5">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2C4EE9-FB89-41C4-9B6B-AF333EC21C89}" name="Sobrevivientes_Pasaje_Edad"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L12:M2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17">
    <i>
      <x/>
    </i>
    <i r="1">
      <x/>
    </i>
    <i r="1">
      <x v="1"/>
    </i>
    <i r="1">
      <x v="2"/>
    </i>
    <i>
      <x v="1"/>
    </i>
    <i r="1">
      <x/>
    </i>
    <i r="1">
      <x v="1"/>
    </i>
    <i r="1">
      <x v="2"/>
    </i>
    <i>
      <x v="2"/>
    </i>
    <i r="1">
      <x/>
    </i>
    <i r="1">
      <x v="1"/>
    </i>
    <i r="1">
      <x v="2"/>
    </i>
    <i>
      <x v="3"/>
    </i>
    <i r="1">
      <x/>
    </i>
    <i r="1">
      <x v="1"/>
    </i>
    <i r="1">
      <x v="2"/>
    </i>
    <i t="grand">
      <x/>
    </i>
  </rowItems>
  <colItems count="1">
    <i/>
  </colItems>
  <dataFields count="1">
    <dataField name="Suma de Sobreviviente"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F_Lieggi.Final.xlsx!INFO_Pasajeros">
        <x15:activeTabTopLevelEntity name="[INFO_Pasajero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xo" xr10:uid="{7BC626FF-9CCD-4AC5-A0AD-75768A006AAE}" sourceName="Sexo">
  <pivotTables>
    <pivotTable tabId="7" name="TablaDinámica4"/>
    <pivotTable tabId="7" name="Sobrevivientes"/>
    <pivotTable tabId="7" name="Sobrevivientes_Clase"/>
    <pivotTable tabId="7" name="Sobrevivientes_Embarque"/>
    <pivotTable tabId="7" name="TablaDinámica1"/>
    <pivotTable tabId="7" name="TablaDinámica15"/>
    <pivotTable tabId="7" name="TablaDinámica16"/>
    <pivotTable tabId="7" name="TablaDinámica2"/>
  </pivotTables>
  <data>
    <tabular pivotCacheId="144762386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ase_Del_Pasaje" xr10:uid="{793D54D1-41F9-47A3-8C66-52263C5CAD69}" sourceName="Clase_Del_Pasaje">
  <pivotTables>
    <pivotTable tabId="7" name="TablaDinámica4"/>
    <pivotTable tabId="7" name="Sobrevivientes"/>
    <pivotTable tabId="7" name="Sobrevivientes_Clase"/>
    <pivotTable tabId="7" name="Sobrevivientes_Embarque"/>
    <pivotTable tabId="7" name="TablaDinámica1"/>
    <pivotTable tabId="7" name="TablaDinámica15"/>
    <pivotTable tabId="7" name="TablaDinámica16"/>
    <pivotTable tabId="7" name="TablaDinámica2"/>
  </pivotTables>
  <data>
    <tabular pivotCacheId="144762386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mbarque" xr10:uid="{C18B55A9-25AC-4B5C-80DF-2B83CE5F68A6}" sourceName="Embarque">
  <pivotTables>
    <pivotTable tabId="7" name="TablaDinámica4"/>
    <pivotTable tabId="7" name="Sobrevivientes"/>
    <pivotTable tabId="7" name="Sobrevivientes_Clase"/>
    <pivotTable tabId="7" name="Sobrevivientes_Embarque"/>
    <pivotTable tabId="7" name="TablaDinámica1"/>
    <pivotTable tabId="7" name="TablaDinámica15"/>
    <pivotTable tabId="7" name="TablaDinámica16"/>
    <pivotTable tabId="7" name="TablaDinámica2"/>
  </pivotTables>
  <data>
    <tabular pivotCacheId="144762386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o" xr10:uid="{B8C89203-39DB-4568-9EF5-0C6187A077A7}" cache="SegmentaciónDeDatos_Sexo" caption="Sexo" style="SlicerStyleDark1" rowHeight="257175"/>
  <slicer name="Clase_Del_Pasaje" xr10:uid="{F9A807AE-D144-49EF-B73D-DA03AA4358D4}" cache="SegmentaciónDeDatos_Clase_Del_Pasaje" caption="Clase_Del_Pasaje" style="SlicerStyleDark1" rowHeight="257175"/>
  <slicer name="Embarque" xr10:uid="{C1275FAC-F73E-483F-BDE0-7D27F2C18EC8}" cache="SegmentaciónDeDatos_Embarque" caption="Embarqu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37E09A-11A0-4A2E-A626-8BFC166854E3}" name="Titanic_DATASET" displayName="Titanic_DATASET" ref="A3:Q894" totalsRowShown="0">
  <autoFilter ref="A3:Q894" xr:uid="{0337E09A-11A0-4A2E-A626-8BFC166854E3}"/>
  <sortState xmlns:xlrd2="http://schemas.microsoft.com/office/spreadsheetml/2017/richdata2" ref="A4:Q894">
    <sortCondition ref="L4:L894"/>
  </sortState>
  <tableColumns count="17">
    <tableColumn id="1" xr3:uid="{EDE0C12A-F0DA-45BC-B0AD-F93F2D79F16C}" name="PassengerId."/>
    <tableColumn id="2" xr3:uid="{9E4105B8-1A8D-48F3-AE75-47579E2AB767}" name="Survived"/>
    <tableColumn id="3" xr3:uid="{CB3C0755-8F35-4495-9C84-5A91F322A739}" name="Pclass"/>
    <tableColumn id="4" xr3:uid="{D793F8D6-C1E3-4A43-9A11-7482285BEA1B}" name="Name ."/>
    <tableColumn id="5" xr3:uid="{37365DBB-D0C1-4AC8-B32B-E6A4658CA0B0}" name="Sex ."/>
    <tableColumn id="17" xr3:uid="{B62AC5AE-A7E0-4987-BCEF-B26600994135}" name="Age Clean" dataDxfId="24">
      <calculatedColumnFormula>ROUNDUP(Titanic_DATASET[[#This Row],[Age Correción 2]],0)</calculatedColumnFormula>
    </tableColumn>
    <tableColumn id="16" xr3:uid="{D1CD8E02-CC12-4375-93EE-CF8CA6E850E7}" name="Age Correción 2" dataDxfId="23">
      <calculatedColumnFormula>VALUE(SUBSTITUTE(Titanic_DATASET[[#This Row],[Age Correción.]],".",","))</calculatedColumnFormula>
    </tableColumn>
    <tableColumn id="13" xr3:uid="{E3B04B46-B74F-4EAE-8DBF-FCC5CC39B15D}" name="Age Correción." dataDxfId="22"/>
    <tableColumn id="6" xr3:uid="{C6066A4E-66F3-4392-897E-FB5D4675F3F1}" name="Age"/>
    <tableColumn id="7" xr3:uid="{8792D1DC-1CB5-4D3B-975F-5BF7E0C92F04}" name="SibSp"/>
    <tableColumn id="8" xr3:uid="{7F342ADE-ECC3-40C4-B3FE-0737C9C8C4B6}" name="Parch"/>
    <tableColumn id="9" xr3:uid="{D97AADA0-3778-48A8-B55C-B1CEE6924E5F}" name="Ticket" dataDxfId="21"/>
    <tableColumn id="15" xr3:uid="{D5135101-8C66-4D4B-8521-32DEF433AA92}" name="Fare correción" dataDxfId="20" dataCellStyle="Millares">
      <calculatedColumnFormula>VALUE(SUBSTITUTE(N4,".",","))</calculatedColumnFormula>
    </tableColumn>
    <tableColumn id="10" xr3:uid="{86AC96B0-F9C0-4F71-BA86-E81A6CEEBEB8}" name="Fare"/>
    <tableColumn id="14" xr3:uid="{9A6649DC-BBD5-4966-92D0-9E301E7B9DFB}" name="Cabin Correción" dataDxfId="19">
      <calculatedColumnFormula>IF(ISBLANK(P4),"Desconocido",P4)</calculatedColumnFormula>
    </tableColumn>
    <tableColumn id="11" xr3:uid="{1454596D-D3AB-485C-992B-65657E035021}" name="Cabin"/>
    <tableColumn id="12" xr3:uid="{D6EDB3C1-A7BE-4418-AE8A-DB5C45F6D1AE}" name="Embark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81128F-A042-4D27-9A98-3A521F572ECD}" name="INFO_Pasajeros" displayName="INFO_Pasajeros" ref="A3:M894" totalsRowShown="0">
  <autoFilter ref="A3:M894" xr:uid="{C981128F-A042-4D27-9A98-3A521F572ECD}"/>
  <sortState xmlns:xlrd2="http://schemas.microsoft.com/office/spreadsheetml/2017/richdata2" ref="A4:L894">
    <sortCondition ref="I4:I894"/>
  </sortState>
  <tableColumns count="13">
    <tableColumn id="1" xr3:uid="{40AB72E9-4EB0-440D-B676-55990EEDFBBD}" name="Nombre" dataDxfId="18"/>
    <tableColumn id="2" xr3:uid="{76A1F35E-7B76-4344-95D1-5082E73BA267}" name="Sexo" dataDxfId="17"/>
    <tableColumn id="3" xr3:uid="{8A2B6E78-018D-4E4E-BA31-CCD2DF2F9CF5}" name="ID_Pasajero" dataDxfId="16"/>
    <tableColumn id="4" xr3:uid="{A050CA08-C643-4E4B-8331-DD3D694FB5BB}" name="Edad" dataDxfId="15"/>
    <tableColumn id="5" xr3:uid="{E1AACD16-A1DB-4556-8CBF-E5A21348FEDF}" name="Padres_Hijos" dataDxfId="14"/>
    <tableColumn id="6" xr3:uid="{B9FD6E2C-32DD-40F5-AE6D-CDA53DA81A1D}" name="Hermanos/Cónyuge" dataDxfId="13"/>
    <tableColumn id="7" xr3:uid="{03DC0B34-813F-41D0-8C33-8D23E5F47C24}" name="Clase_Del_Pasaje" dataDxfId="12"/>
    <tableColumn id="8" xr3:uid="{77676B05-10DF-418F-B4E5-765BB389E74C}" name="Sobreviviente" dataDxfId="11"/>
    <tableColumn id="9" xr3:uid="{2B058B98-BB52-4BAA-9445-24B0FE6EBDE7}" name="Ticket" dataDxfId="10"/>
    <tableColumn id="10" xr3:uid="{4677128A-E074-4C79-8028-734CD945A9F9}" name="Tarifa" dataCellStyle="Moneda"/>
    <tableColumn id="11" xr3:uid="{31959C4C-B432-4864-9121-79BD0EEF5845}" name="Cabina" dataDxfId="9"/>
    <tableColumn id="12" xr3:uid="{6303E4A6-27AA-4BAA-AFC1-1E23F51D6E1D}" name="Embarque" dataDxfId="8"/>
    <tableColumn id="13" xr3:uid="{CB028D4A-B070-4934-8A94-30322E23BF7A}" name="Rango Etario" dataDxfId="7">
      <calculatedColumnFormula array="1">_xlfn.IFS(INFO_Pasajeros[[#This Row],[Edad]]&lt;=13,"Niños",INFO_Pasajeros[[#This Row],[Edad]]&lt;=18,"Jóvenes",INFO_Pasajeros[[#This Row],[Edad]]&lt;=50,"Adultos",INFO_Pasajeros[[#This Row],[Edad]]&gt;=51,"Adultos Mayores")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0D2FA5-F116-4AD6-B720-817A93304958}" name="Personas_Por_Clase" displayName="Personas_Por_Clase" ref="E11:F14" totalsRowShown="0">
  <autoFilter ref="E11:F14" xr:uid="{620D2FA5-F116-4AD6-B720-817A93304958}"/>
  <tableColumns count="2">
    <tableColumn id="1" xr3:uid="{2A911A05-893E-465A-88FF-4BC2C6400C4E}" name="Clase"/>
    <tableColumn id="2" xr3:uid="{D21A7F04-9C4D-46FE-8E6D-E649397E66C6}" name="Tripulan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ACC30C-B48E-4595-A491-106D82FF1B78}" name="Tabla5" displayName="Tabla5" ref="A11:C15" totalsRowShown="0">
  <autoFilter ref="A11:C15" xr:uid="{DDACC30C-B48E-4595-A491-106D82FF1B78}"/>
  <tableColumns count="3">
    <tableColumn id="1" xr3:uid="{91A4DA37-B6A0-4432-A3CD-3D4B2758D514}" name="Tarifa_Max"/>
    <tableColumn id="2" xr3:uid="{E6C3FC3C-0004-439F-AC57-81E3FF6385C1}" name="Total_Clase"/>
    <tableColumn id="3" xr3:uid="{6CE2D9D4-5C14-4FBE-985E-F4E96195EE48}" name="Mediana_X_Cla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3C2559-3C8A-4ED1-AD72-37048766C853}" name="Tabla6" displayName="Tabla6" ref="A29:A30" totalsRowShown="0">
  <autoFilter ref="A29:A30" xr:uid="{F93C2559-3C8A-4ED1-AD72-37048766C853}"/>
  <tableColumns count="1">
    <tableColumn id="1" xr3:uid="{F3BFE9CC-DF1D-45CD-B369-42362B4A3CF5}" name="FALLECIDOS">
      <calculatedColumnFormula>COUNTIF(INFO_Pasajeros[Sobreviviente],0)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D6BB5E-EEA0-4704-9AE9-7F78DBFCA27D}" name="Tabla3" displayName="Tabla3" ref="A1:D892" totalsRowShown="0">
  <autoFilter ref="A1:D892" xr:uid="{AAD6BB5E-EEA0-4704-9AE9-7F78DBFCA27D}"/>
  <tableColumns count="4">
    <tableColumn id="4" xr3:uid="{F9E85680-2688-438F-A784-4BF5C4B91E8D}" name="Fare correción 3" dataCellStyle="Moneda">
      <calculatedColumnFormula>IF(Tabla3[[#This Row],[Fare correción 2]]&gt;=1000,Tabla3[[#This Row],[Fare correción 2]]/10,Tabla3[[#This Row],[Fare correción 2]])</calculatedColumnFormula>
    </tableColumn>
    <tableColumn id="3" xr3:uid="{CD42DB2D-0742-4FD3-8B31-79FA47110BAA}" name="Fare correción 2" dataDxfId="1">
      <calculatedColumnFormula>IF(Tabla3[[#This Row],[Fare corrección]]&gt;1000,Tabla3[[#This Row],[Fare corrección]]/1000,Tabla3[[#This Row],[Fare corrección]])</calculatedColumnFormula>
    </tableColumn>
    <tableColumn id="2" xr3:uid="{8154EFD7-B853-4082-BF91-887A7EF035A8}" name="Fare corrección" dataDxfId="0">
      <calculatedColumnFormula>IF(ISNUMBER(Tabla3[[#This Row],[Fare]]),Tabla3[[#This Row],[Fare]],VALUE(SUBSTITUTE(Tabla3[[#This Row],[Fare]],".",",")))</calculatedColumnFormula>
    </tableColumn>
    <tableColumn id="1" xr3:uid="{E66452F7-C557-451D-AC33-A86587E814F9}" name="Fare"/>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7.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00E5-7D59-4B32-BAA5-2A1F81EC67C8}">
  <dimension ref="F1:J8"/>
  <sheetViews>
    <sheetView showGridLines="0" zoomScale="115" zoomScaleNormal="115" workbookViewId="0">
      <selection activeCell="J1" sqref="J1"/>
    </sheetView>
  </sheetViews>
  <sheetFormatPr baseColWidth="10" defaultRowHeight="15" x14ac:dyDescent="0.25"/>
  <cols>
    <col min="5" max="5" width="37" customWidth="1"/>
    <col min="6" max="6" width="80" customWidth="1"/>
    <col min="8" max="8" width="17.42578125" customWidth="1"/>
    <col min="9" max="9" width="23.42578125" customWidth="1"/>
    <col min="10" max="10" width="15.85546875" customWidth="1"/>
    <col min="11" max="11" width="20.5703125" customWidth="1"/>
  </cols>
  <sheetData>
    <row r="1" spans="6:10" ht="15" customHeight="1" x14ac:dyDescent="0.25">
      <c r="J1" s="19" t="s">
        <v>2344</v>
      </c>
    </row>
    <row r="2" spans="6:10" ht="15" customHeight="1" x14ac:dyDescent="0.25">
      <c r="F2" s="49" t="s">
        <v>2340</v>
      </c>
    </row>
    <row r="3" spans="6:10" ht="15" customHeight="1" x14ac:dyDescent="0.25">
      <c r="F3" s="49"/>
    </row>
    <row r="4" spans="6:10" ht="15" customHeight="1" x14ac:dyDescent="0.25">
      <c r="F4" s="49"/>
    </row>
    <row r="5" spans="6:10" ht="15" customHeight="1" x14ac:dyDescent="0.25">
      <c r="F5" s="49"/>
    </row>
    <row r="6" spans="6:10" ht="15" customHeight="1" x14ac:dyDescent="0.25">
      <c r="F6" s="50" t="s">
        <v>2341</v>
      </c>
    </row>
    <row r="7" spans="6:10" ht="15" customHeight="1" x14ac:dyDescent="0.25">
      <c r="F7" s="50"/>
    </row>
    <row r="8" spans="6:10" ht="19.5" x14ac:dyDescent="0.3">
      <c r="F8" s="18" t="s">
        <v>2343</v>
      </c>
    </row>
  </sheetData>
  <mergeCells count="2">
    <mergeCell ref="F2:F5"/>
    <mergeCell ref="F6:F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D49A-0D75-4B4C-B8F5-F15D99D3FDF6}">
  <dimension ref="A1:AA44"/>
  <sheetViews>
    <sheetView showGridLines="0" zoomScaleNormal="100" workbookViewId="0">
      <selection activeCell="A2" sqref="A2"/>
    </sheetView>
  </sheetViews>
  <sheetFormatPr baseColWidth="10" defaultRowHeight="15" x14ac:dyDescent="0.25"/>
  <sheetData>
    <row r="1" spans="1:27"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row>
    <row r="2" spans="1:27"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row>
    <row r="3" spans="1:27" x14ac:dyDescent="0.25">
      <c r="A3" s="2" t="s">
        <v>2375</v>
      </c>
    </row>
    <row r="4" spans="1:27" x14ac:dyDescent="0.25">
      <c r="A4" t="s">
        <v>2374</v>
      </c>
    </row>
    <row r="5" spans="1:27" x14ac:dyDescent="0.25">
      <c r="A5" t="s">
        <v>2376</v>
      </c>
    </row>
    <row r="6" spans="1:27" x14ac:dyDescent="0.25">
      <c r="A6" t="s">
        <v>2202</v>
      </c>
    </row>
    <row r="7" spans="1:27" x14ac:dyDescent="0.25">
      <c r="A7" t="s">
        <v>2201</v>
      </c>
    </row>
    <row r="8" spans="1:27" x14ac:dyDescent="0.25">
      <c r="A8" t="s">
        <v>2207</v>
      </c>
    </row>
    <row r="9" spans="1:27" x14ac:dyDescent="0.25">
      <c r="A9" t="s">
        <v>2221</v>
      </c>
    </row>
    <row r="10" spans="1:27" x14ac:dyDescent="0.25">
      <c r="A10" t="s">
        <v>2222</v>
      </c>
    </row>
    <row r="11" spans="1:27" x14ac:dyDescent="0.25">
      <c r="A11" t="s">
        <v>2233</v>
      </c>
    </row>
    <row r="12" spans="1:27" x14ac:dyDescent="0.25">
      <c r="A12" t="s">
        <v>2236</v>
      </c>
    </row>
    <row r="13" spans="1:27" x14ac:dyDescent="0.25">
      <c r="A13" t="s">
        <v>2248</v>
      </c>
    </row>
    <row r="14" spans="1:27" x14ac:dyDescent="0.25">
      <c r="A14" t="s">
        <v>2249</v>
      </c>
    </row>
    <row r="15" spans="1:27" x14ac:dyDescent="0.25">
      <c r="A15" t="s">
        <v>2251</v>
      </c>
    </row>
    <row r="16" spans="1:27" x14ac:dyDescent="0.25">
      <c r="A16" t="s">
        <v>2273</v>
      </c>
    </row>
    <row r="17" spans="1:1" x14ac:dyDescent="0.25">
      <c r="A17" t="s">
        <v>2274</v>
      </c>
    </row>
    <row r="18" spans="1:1" x14ac:dyDescent="0.25">
      <c r="A18" t="s">
        <v>2275</v>
      </c>
    </row>
    <row r="19" spans="1:1" x14ac:dyDescent="0.25">
      <c r="A19" t="s">
        <v>2281</v>
      </c>
    </row>
    <row r="20" spans="1:1" x14ac:dyDescent="0.25">
      <c r="A20" t="s">
        <v>2282</v>
      </c>
    </row>
    <row r="21" spans="1:1" x14ac:dyDescent="0.25">
      <c r="A21" t="s">
        <v>2299</v>
      </c>
    </row>
    <row r="22" spans="1:1" x14ac:dyDescent="0.25">
      <c r="A22" t="s">
        <v>2300</v>
      </c>
    </row>
    <row r="23" spans="1:1" x14ac:dyDescent="0.25">
      <c r="A23" t="s">
        <v>2297</v>
      </c>
    </row>
    <row r="24" spans="1:1" x14ac:dyDescent="0.25">
      <c r="A24" t="s">
        <v>2298</v>
      </c>
    </row>
    <row r="25" spans="1:1" x14ac:dyDescent="0.25">
      <c r="A25" t="s">
        <v>2295</v>
      </c>
    </row>
    <row r="26" spans="1:1" x14ac:dyDescent="0.25">
      <c r="A26" t="s">
        <v>2296</v>
      </c>
    </row>
    <row r="27" spans="1:1" x14ac:dyDescent="0.25">
      <c r="A27" t="s">
        <v>2330</v>
      </c>
    </row>
    <row r="40" spans="1:1" x14ac:dyDescent="0.25">
      <c r="A40" s="2" t="s">
        <v>2324</v>
      </c>
    </row>
    <row r="41" spans="1:1" x14ac:dyDescent="0.25">
      <c r="A41" t="s">
        <v>2325</v>
      </c>
    </row>
    <row r="42" spans="1:1" x14ac:dyDescent="0.25">
      <c r="A42" t="s">
        <v>2326</v>
      </c>
    </row>
    <row r="44" spans="1:1" x14ac:dyDescent="0.25">
      <c r="A44" t="s">
        <v>2327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F0E84-3D7A-4599-A968-546E39F33F2A}">
  <dimension ref="A1:AA894"/>
  <sheetViews>
    <sheetView showGridLines="0" workbookViewId="0">
      <selection activeCell="V1" sqref="V1"/>
    </sheetView>
  </sheetViews>
  <sheetFormatPr baseColWidth="10" defaultRowHeight="15" x14ac:dyDescent="0.25"/>
  <sheetData>
    <row r="1" spans="1:27"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row>
    <row r="2" spans="1:27"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row>
    <row r="3" spans="1:27" x14ac:dyDescent="0.25">
      <c r="A3" t="s">
        <v>0</v>
      </c>
    </row>
    <row r="4" spans="1:27" x14ac:dyDescent="0.25">
      <c r="A4" t="s">
        <v>1</v>
      </c>
    </row>
    <row r="5" spans="1:27" x14ac:dyDescent="0.25">
      <c r="A5" t="s">
        <v>2</v>
      </c>
    </row>
    <row r="6" spans="1:27" x14ac:dyDescent="0.25">
      <c r="A6" t="s">
        <v>3</v>
      </c>
    </row>
    <row r="7" spans="1:27" x14ac:dyDescent="0.25">
      <c r="A7" t="s">
        <v>4</v>
      </c>
    </row>
    <row r="8" spans="1:27" x14ac:dyDescent="0.25">
      <c r="A8" t="s">
        <v>5</v>
      </c>
    </row>
    <row r="9" spans="1:27" x14ac:dyDescent="0.25">
      <c r="A9" t="s">
        <v>6</v>
      </c>
    </row>
    <row r="10" spans="1:27" x14ac:dyDescent="0.25">
      <c r="A10" t="s">
        <v>7</v>
      </c>
    </row>
    <row r="11" spans="1:27" x14ac:dyDescent="0.25">
      <c r="A11" t="s">
        <v>8</v>
      </c>
    </row>
    <row r="12" spans="1:27" x14ac:dyDescent="0.25">
      <c r="A12" t="s">
        <v>9</v>
      </c>
    </row>
    <row r="13" spans="1:27" x14ac:dyDescent="0.25">
      <c r="A13" t="s">
        <v>10</v>
      </c>
    </row>
    <row r="14" spans="1:27" x14ac:dyDescent="0.25">
      <c r="A14" t="s">
        <v>11</v>
      </c>
    </row>
    <row r="15" spans="1:27" x14ac:dyDescent="0.25">
      <c r="A15" t="s">
        <v>12</v>
      </c>
    </row>
    <row r="16" spans="1:27" x14ac:dyDescent="0.25">
      <c r="A16" t="s">
        <v>13</v>
      </c>
    </row>
    <row r="17" spans="1:1" x14ac:dyDescent="0.25">
      <c r="A17" t="s">
        <v>14</v>
      </c>
    </row>
    <row r="18" spans="1:1" x14ac:dyDescent="0.25">
      <c r="A18" t="s">
        <v>15</v>
      </c>
    </row>
    <row r="19" spans="1:1" x14ac:dyDescent="0.25">
      <c r="A19"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31</v>
      </c>
    </row>
    <row r="35" spans="1:1" x14ac:dyDescent="0.25">
      <c r="A35" t="s">
        <v>32</v>
      </c>
    </row>
    <row r="36" spans="1:1" x14ac:dyDescent="0.25">
      <c r="A36" t="s">
        <v>33</v>
      </c>
    </row>
    <row r="37" spans="1:1" x14ac:dyDescent="0.25">
      <c r="A37" t="s">
        <v>34</v>
      </c>
    </row>
    <row r="38" spans="1:1" x14ac:dyDescent="0.25">
      <c r="A38" t="s">
        <v>35</v>
      </c>
    </row>
    <row r="39" spans="1:1" x14ac:dyDescent="0.25">
      <c r="A39" t="s">
        <v>36</v>
      </c>
    </row>
    <row r="40" spans="1:1" x14ac:dyDescent="0.25">
      <c r="A40" t="s">
        <v>37</v>
      </c>
    </row>
    <row r="41" spans="1:1" x14ac:dyDescent="0.25">
      <c r="A41" t="s">
        <v>38</v>
      </c>
    </row>
    <row r="42" spans="1:1" x14ac:dyDescent="0.25">
      <c r="A42" t="s">
        <v>39</v>
      </c>
    </row>
    <row r="43" spans="1:1" x14ac:dyDescent="0.25">
      <c r="A43" t="s">
        <v>40</v>
      </c>
    </row>
    <row r="44" spans="1:1" x14ac:dyDescent="0.25">
      <c r="A44" t="s">
        <v>41</v>
      </c>
    </row>
    <row r="45" spans="1:1" x14ac:dyDescent="0.25">
      <c r="A45" t="s">
        <v>42</v>
      </c>
    </row>
    <row r="46" spans="1:1" x14ac:dyDescent="0.25">
      <c r="A46" t="s">
        <v>43</v>
      </c>
    </row>
    <row r="47" spans="1:1" x14ac:dyDescent="0.25">
      <c r="A47" t="s">
        <v>44</v>
      </c>
    </row>
    <row r="48" spans="1:1" x14ac:dyDescent="0.25">
      <c r="A48" t="s">
        <v>45</v>
      </c>
    </row>
    <row r="49" spans="1:1" x14ac:dyDescent="0.25">
      <c r="A49" t="s">
        <v>46</v>
      </c>
    </row>
    <row r="50" spans="1:1" x14ac:dyDescent="0.25">
      <c r="A50" t="s">
        <v>47</v>
      </c>
    </row>
    <row r="51" spans="1:1" x14ac:dyDescent="0.25">
      <c r="A51" t="s">
        <v>48</v>
      </c>
    </row>
    <row r="52" spans="1:1" x14ac:dyDescent="0.25">
      <c r="A52" t="s">
        <v>49</v>
      </c>
    </row>
    <row r="53" spans="1:1" x14ac:dyDescent="0.25">
      <c r="A53" t="s">
        <v>50</v>
      </c>
    </row>
    <row r="54" spans="1:1" x14ac:dyDescent="0.25">
      <c r="A54" t="s">
        <v>51</v>
      </c>
    </row>
    <row r="55" spans="1:1" x14ac:dyDescent="0.25">
      <c r="A55" t="s">
        <v>52</v>
      </c>
    </row>
    <row r="56" spans="1:1" x14ac:dyDescent="0.25">
      <c r="A56" t="s">
        <v>53</v>
      </c>
    </row>
    <row r="57" spans="1:1" x14ac:dyDescent="0.25">
      <c r="A57" t="s">
        <v>54</v>
      </c>
    </row>
    <row r="58" spans="1:1" x14ac:dyDescent="0.25">
      <c r="A58" t="s">
        <v>55</v>
      </c>
    </row>
    <row r="59" spans="1:1" x14ac:dyDescent="0.25">
      <c r="A59" t="s">
        <v>56</v>
      </c>
    </row>
    <row r="60" spans="1:1" x14ac:dyDescent="0.25">
      <c r="A60" t="s">
        <v>57</v>
      </c>
    </row>
    <row r="61" spans="1:1" x14ac:dyDescent="0.25">
      <c r="A61" t="s">
        <v>58</v>
      </c>
    </row>
    <row r="62" spans="1:1" x14ac:dyDescent="0.25">
      <c r="A62" t="s">
        <v>59</v>
      </c>
    </row>
    <row r="63" spans="1:1" x14ac:dyDescent="0.25">
      <c r="A63" t="s">
        <v>60</v>
      </c>
    </row>
    <row r="64" spans="1:1" x14ac:dyDescent="0.25">
      <c r="A64" t="s">
        <v>61</v>
      </c>
    </row>
    <row r="65" spans="1:1" x14ac:dyDescent="0.25">
      <c r="A65" t="s">
        <v>62</v>
      </c>
    </row>
    <row r="66" spans="1:1" x14ac:dyDescent="0.25">
      <c r="A66" t="s">
        <v>63</v>
      </c>
    </row>
    <row r="67" spans="1:1" x14ac:dyDescent="0.25">
      <c r="A67" t="s">
        <v>64</v>
      </c>
    </row>
    <row r="68" spans="1:1" x14ac:dyDescent="0.25">
      <c r="A68" t="s">
        <v>65</v>
      </c>
    </row>
    <row r="69" spans="1:1" x14ac:dyDescent="0.25">
      <c r="A69" t="s">
        <v>66</v>
      </c>
    </row>
    <row r="70" spans="1:1" x14ac:dyDescent="0.25">
      <c r="A70" t="s">
        <v>67</v>
      </c>
    </row>
    <row r="71" spans="1:1" x14ac:dyDescent="0.25">
      <c r="A71" t="s">
        <v>68</v>
      </c>
    </row>
    <row r="72" spans="1:1" x14ac:dyDescent="0.25">
      <c r="A72" t="s">
        <v>69</v>
      </c>
    </row>
    <row r="73" spans="1:1" x14ac:dyDescent="0.25">
      <c r="A73" t="s">
        <v>70</v>
      </c>
    </row>
    <row r="74" spans="1:1" x14ac:dyDescent="0.25">
      <c r="A74" t="s">
        <v>71</v>
      </c>
    </row>
    <row r="75" spans="1:1" x14ac:dyDescent="0.25">
      <c r="A75" t="s">
        <v>72</v>
      </c>
    </row>
    <row r="76" spans="1:1" x14ac:dyDescent="0.25">
      <c r="A76" t="s">
        <v>73</v>
      </c>
    </row>
    <row r="77" spans="1:1" x14ac:dyDescent="0.25">
      <c r="A77" t="s">
        <v>74</v>
      </c>
    </row>
    <row r="78" spans="1:1" x14ac:dyDescent="0.25">
      <c r="A78" t="s">
        <v>75</v>
      </c>
    </row>
    <row r="79" spans="1:1" x14ac:dyDescent="0.25">
      <c r="A79" t="s">
        <v>76</v>
      </c>
    </row>
    <row r="80" spans="1:1" x14ac:dyDescent="0.25">
      <c r="A80" t="s">
        <v>77</v>
      </c>
    </row>
    <row r="81" spans="1:1" x14ac:dyDescent="0.25">
      <c r="A81" t="s">
        <v>78</v>
      </c>
    </row>
    <row r="82" spans="1:1" x14ac:dyDescent="0.25">
      <c r="A82" t="s">
        <v>79</v>
      </c>
    </row>
    <row r="83" spans="1:1" x14ac:dyDescent="0.25">
      <c r="A83" t="s">
        <v>80</v>
      </c>
    </row>
    <row r="84" spans="1:1" x14ac:dyDescent="0.25">
      <c r="A84" t="s">
        <v>81</v>
      </c>
    </row>
    <row r="85" spans="1:1" x14ac:dyDescent="0.25">
      <c r="A85" t="s">
        <v>82</v>
      </c>
    </row>
    <row r="86" spans="1:1" x14ac:dyDescent="0.25">
      <c r="A86"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90</v>
      </c>
    </row>
    <row r="94" spans="1:1" x14ac:dyDescent="0.25">
      <c r="A94" t="s">
        <v>91</v>
      </c>
    </row>
    <row r="95" spans="1:1" x14ac:dyDescent="0.25">
      <c r="A95" t="s">
        <v>92</v>
      </c>
    </row>
    <row r="96" spans="1:1" x14ac:dyDescent="0.25">
      <c r="A96" t="s">
        <v>93</v>
      </c>
    </row>
    <row r="97" spans="1:1" x14ac:dyDescent="0.25">
      <c r="A97" t="s">
        <v>94</v>
      </c>
    </row>
    <row r="98" spans="1:1" x14ac:dyDescent="0.25">
      <c r="A98" t="s">
        <v>95</v>
      </c>
    </row>
    <row r="99" spans="1:1" x14ac:dyDescent="0.25">
      <c r="A99" t="s">
        <v>96</v>
      </c>
    </row>
    <row r="100" spans="1:1" x14ac:dyDescent="0.25">
      <c r="A100" t="s">
        <v>97</v>
      </c>
    </row>
    <row r="101" spans="1:1" x14ac:dyDescent="0.25">
      <c r="A101" t="s">
        <v>98</v>
      </c>
    </row>
    <row r="102" spans="1:1" x14ac:dyDescent="0.25">
      <c r="A102" t="s">
        <v>99</v>
      </c>
    </row>
    <row r="103" spans="1:1" x14ac:dyDescent="0.25">
      <c r="A103" t="s">
        <v>100</v>
      </c>
    </row>
    <row r="104" spans="1:1" x14ac:dyDescent="0.25">
      <c r="A104" t="s">
        <v>101</v>
      </c>
    </row>
    <row r="105" spans="1:1" x14ac:dyDescent="0.25">
      <c r="A105" t="s">
        <v>102</v>
      </c>
    </row>
    <row r="106" spans="1:1" x14ac:dyDescent="0.25">
      <c r="A106" t="s">
        <v>103</v>
      </c>
    </row>
    <row r="107" spans="1:1" x14ac:dyDescent="0.25">
      <c r="A107" t="s">
        <v>104</v>
      </c>
    </row>
    <row r="108" spans="1:1" x14ac:dyDescent="0.25">
      <c r="A108" t="s">
        <v>105</v>
      </c>
    </row>
    <row r="109" spans="1:1" x14ac:dyDescent="0.25">
      <c r="A109" t="s">
        <v>106</v>
      </c>
    </row>
    <row r="110" spans="1:1" x14ac:dyDescent="0.25">
      <c r="A110" t="s">
        <v>107</v>
      </c>
    </row>
    <row r="111" spans="1:1" x14ac:dyDescent="0.25">
      <c r="A111" t="s">
        <v>108</v>
      </c>
    </row>
    <row r="112" spans="1:1" x14ac:dyDescent="0.25">
      <c r="A112" t="s">
        <v>109</v>
      </c>
    </row>
    <row r="113" spans="1:1" x14ac:dyDescent="0.25">
      <c r="A113" t="s">
        <v>110</v>
      </c>
    </row>
    <row r="114" spans="1:1" x14ac:dyDescent="0.25">
      <c r="A114" t="s">
        <v>111</v>
      </c>
    </row>
    <row r="115" spans="1:1" x14ac:dyDescent="0.25">
      <c r="A115" t="s">
        <v>112</v>
      </c>
    </row>
    <row r="116" spans="1:1" x14ac:dyDescent="0.25">
      <c r="A116" t="s">
        <v>113</v>
      </c>
    </row>
    <row r="117" spans="1:1" x14ac:dyDescent="0.25">
      <c r="A117" t="s">
        <v>114</v>
      </c>
    </row>
    <row r="118" spans="1:1" x14ac:dyDescent="0.25">
      <c r="A118" t="s">
        <v>115</v>
      </c>
    </row>
    <row r="119" spans="1:1" x14ac:dyDescent="0.25">
      <c r="A119" t="s">
        <v>116</v>
      </c>
    </row>
    <row r="120" spans="1:1" x14ac:dyDescent="0.25">
      <c r="A120" t="s">
        <v>117</v>
      </c>
    </row>
    <row r="121" spans="1:1" x14ac:dyDescent="0.25">
      <c r="A121" t="s">
        <v>118</v>
      </c>
    </row>
    <row r="122" spans="1:1" x14ac:dyDescent="0.25">
      <c r="A122" t="s">
        <v>119</v>
      </c>
    </row>
    <row r="123" spans="1:1" x14ac:dyDescent="0.25">
      <c r="A123" t="s">
        <v>120</v>
      </c>
    </row>
    <row r="124" spans="1:1" x14ac:dyDescent="0.25">
      <c r="A124" t="s">
        <v>121</v>
      </c>
    </row>
    <row r="125" spans="1:1" x14ac:dyDescent="0.25">
      <c r="A125" t="s">
        <v>122</v>
      </c>
    </row>
    <row r="126" spans="1:1" x14ac:dyDescent="0.25">
      <c r="A126" t="s">
        <v>123</v>
      </c>
    </row>
    <row r="127" spans="1:1" x14ac:dyDescent="0.25">
      <c r="A127" t="s">
        <v>124</v>
      </c>
    </row>
    <row r="128" spans="1:1" x14ac:dyDescent="0.25">
      <c r="A128" t="s">
        <v>125</v>
      </c>
    </row>
    <row r="129" spans="1:1" x14ac:dyDescent="0.25">
      <c r="A129" t="s">
        <v>126</v>
      </c>
    </row>
    <row r="130" spans="1:1" x14ac:dyDescent="0.25">
      <c r="A130" t="s">
        <v>127</v>
      </c>
    </row>
    <row r="131" spans="1:1" x14ac:dyDescent="0.25">
      <c r="A131" t="s">
        <v>128</v>
      </c>
    </row>
    <row r="132" spans="1:1" x14ac:dyDescent="0.25">
      <c r="A132" t="s">
        <v>129</v>
      </c>
    </row>
    <row r="133" spans="1:1" x14ac:dyDescent="0.25">
      <c r="A133" t="s">
        <v>130</v>
      </c>
    </row>
    <row r="134" spans="1:1" x14ac:dyDescent="0.25">
      <c r="A134" t="s">
        <v>131</v>
      </c>
    </row>
    <row r="135" spans="1:1" x14ac:dyDescent="0.25">
      <c r="A135" t="s">
        <v>132</v>
      </c>
    </row>
    <row r="136" spans="1:1" x14ac:dyDescent="0.25">
      <c r="A136" t="s">
        <v>133</v>
      </c>
    </row>
    <row r="137" spans="1:1" x14ac:dyDescent="0.25">
      <c r="A137" t="s">
        <v>134</v>
      </c>
    </row>
    <row r="138" spans="1:1" x14ac:dyDescent="0.25">
      <c r="A138" t="s">
        <v>135</v>
      </c>
    </row>
    <row r="139" spans="1:1" x14ac:dyDescent="0.25">
      <c r="A139" t="s">
        <v>136</v>
      </c>
    </row>
    <row r="140" spans="1:1" x14ac:dyDescent="0.25">
      <c r="A140" t="s">
        <v>137</v>
      </c>
    </row>
    <row r="141" spans="1:1" x14ac:dyDescent="0.25">
      <c r="A141" t="s">
        <v>138</v>
      </c>
    </row>
    <row r="142" spans="1:1" x14ac:dyDescent="0.25">
      <c r="A142" t="s">
        <v>139</v>
      </c>
    </row>
    <row r="143" spans="1:1" x14ac:dyDescent="0.25">
      <c r="A143" t="s">
        <v>140</v>
      </c>
    </row>
    <row r="144" spans="1:1" x14ac:dyDescent="0.25">
      <c r="A144" t="s">
        <v>141</v>
      </c>
    </row>
    <row r="145" spans="1:1" x14ac:dyDescent="0.25">
      <c r="A145" t="s">
        <v>142</v>
      </c>
    </row>
    <row r="146" spans="1:1" x14ac:dyDescent="0.25">
      <c r="A146" t="s">
        <v>143</v>
      </c>
    </row>
    <row r="147" spans="1:1" x14ac:dyDescent="0.25">
      <c r="A147" t="s">
        <v>144</v>
      </c>
    </row>
    <row r="148" spans="1:1" x14ac:dyDescent="0.25">
      <c r="A148" t="s">
        <v>145</v>
      </c>
    </row>
    <row r="149" spans="1:1" x14ac:dyDescent="0.25">
      <c r="A149" t="s">
        <v>146</v>
      </c>
    </row>
    <row r="150" spans="1:1" x14ac:dyDescent="0.25">
      <c r="A150" t="s">
        <v>147</v>
      </c>
    </row>
    <row r="151" spans="1:1" x14ac:dyDescent="0.25">
      <c r="A151" t="s">
        <v>148</v>
      </c>
    </row>
    <row r="152" spans="1:1" x14ac:dyDescent="0.25">
      <c r="A152" t="s">
        <v>149</v>
      </c>
    </row>
    <row r="153" spans="1:1" x14ac:dyDescent="0.25">
      <c r="A153" t="s">
        <v>150</v>
      </c>
    </row>
    <row r="154" spans="1:1" x14ac:dyDescent="0.25">
      <c r="A154" t="s">
        <v>151</v>
      </c>
    </row>
    <row r="155" spans="1:1" x14ac:dyDescent="0.25">
      <c r="A155" t="s">
        <v>152</v>
      </c>
    </row>
    <row r="156" spans="1:1" x14ac:dyDescent="0.25">
      <c r="A156" t="s">
        <v>153</v>
      </c>
    </row>
    <row r="157" spans="1:1" x14ac:dyDescent="0.25">
      <c r="A157" t="s">
        <v>154</v>
      </c>
    </row>
    <row r="158" spans="1:1" x14ac:dyDescent="0.25">
      <c r="A158" t="s">
        <v>155</v>
      </c>
    </row>
    <row r="159" spans="1:1" x14ac:dyDescent="0.25">
      <c r="A159" t="s">
        <v>156</v>
      </c>
    </row>
    <row r="160" spans="1:1" x14ac:dyDescent="0.25">
      <c r="A160" t="s">
        <v>157</v>
      </c>
    </row>
    <row r="161" spans="1:1" x14ac:dyDescent="0.25">
      <c r="A161" t="s">
        <v>158</v>
      </c>
    </row>
    <row r="162" spans="1:1" x14ac:dyDescent="0.25">
      <c r="A162" t="s">
        <v>159</v>
      </c>
    </row>
    <row r="163" spans="1:1" x14ac:dyDescent="0.25">
      <c r="A163" t="s">
        <v>160</v>
      </c>
    </row>
    <row r="164" spans="1:1" x14ac:dyDescent="0.25">
      <c r="A164" t="s">
        <v>161</v>
      </c>
    </row>
    <row r="165" spans="1:1" x14ac:dyDescent="0.25">
      <c r="A165" t="s">
        <v>162</v>
      </c>
    </row>
    <row r="166" spans="1:1" x14ac:dyDescent="0.25">
      <c r="A166" t="s">
        <v>163</v>
      </c>
    </row>
    <row r="167" spans="1:1" x14ac:dyDescent="0.25">
      <c r="A167" t="s">
        <v>164</v>
      </c>
    </row>
    <row r="168" spans="1:1" x14ac:dyDescent="0.25">
      <c r="A168" t="s">
        <v>165</v>
      </c>
    </row>
    <row r="169" spans="1:1" x14ac:dyDescent="0.25">
      <c r="A169" t="s">
        <v>166</v>
      </c>
    </row>
    <row r="170" spans="1:1" x14ac:dyDescent="0.25">
      <c r="A170" t="s">
        <v>167</v>
      </c>
    </row>
    <row r="171" spans="1:1" x14ac:dyDescent="0.25">
      <c r="A171" t="s">
        <v>168</v>
      </c>
    </row>
    <row r="172" spans="1:1" x14ac:dyDescent="0.25">
      <c r="A172" t="s">
        <v>169</v>
      </c>
    </row>
    <row r="173" spans="1:1" x14ac:dyDescent="0.25">
      <c r="A173" t="s">
        <v>170</v>
      </c>
    </row>
    <row r="174" spans="1:1" x14ac:dyDescent="0.25">
      <c r="A174" t="s">
        <v>171</v>
      </c>
    </row>
    <row r="175" spans="1:1" x14ac:dyDescent="0.25">
      <c r="A175" t="s">
        <v>172</v>
      </c>
    </row>
    <row r="176" spans="1:1" x14ac:dyDescent="0.25">
      <c r="A176" t="s">
        <v>173</v>
      </c>
    </row>
    <row r="177" spans="1:1" x14ac:dyDescent="0.25">
      <c r="A177" t="s">
        <v>174</v>
      </c>
    </row>
    <row r="178" spans="1:1" x14ac:dyDescent="0.25">
      <c r="A178" t="s">
        <v>175</v>
      </c>
    </row>
    <row r="179" spans="1:1" x14ac:dyDescent="0.25">
      <c r="A179" t="s">
        <v>176</v>
      </c>
    </row>
    <row r="180" spans="1:1" x14ac:dyDescent="0.25">
      <c r="A180" t="s">
        <v>177</v>
      </c>
    </row>
    <row r="181" spans="1:1" x14ac:dyDescent="0.25">
      <c r="A181" t="s">
        <v>178</v>
      </c>
    </row>
    <row r="182" spans="1:1" x14ac:dyDescent="0.25">
      <c r="A182" t="s">
        <v>179</v>
      </c>
    </row>
    <row r="183" spans="1:1" x14ac:dyDescent="0.25">
      <c r="A183" t="s">
        <v>180</v>
      </c>
    </row>
    <row r="184" spans="1:1" x14ac:dyDescent="0.25">
      <c r="A184" t="s">
        <v>181</v>
      </c>
    </row>
    <row r="185" spans="1:1" x14ac:dyDescent="0.25">
      <c r="A185" t="s">
        <v>182</v>
      </c>
    </row>
    <row r="186" spans="1:1" x14ac:dyDescent="0.25">
      <c r="A186" t="s">
        <v>183</v>
      </c>
    </row>
    <row r="187" spans="1:1" x14ac:dyDescent="0.25">
      <c r="A187" t="s">
        <v>184</v>
      </c>
    </row>
    <row r="188" spans="1:1" x14ac:dyDescent="0.25">
      <c r="A188" t="s">
        <v>185</v>
      </c>
    </row>
    <row r="189" spans="1:1" x14ac:dyDescent="0.25">
      <c r="A189" t="s">
        <v>186</v>
      </c>
    </row>
    <row r="190" spans="1:1" x14ac:dyDescent="0.25">
      <c r="A190" t="s">
        <v>187</v>
      </c>
    </row>
    <row r="191" spans="1:1" x14ac:dyDescent="0.25">
      <c r="A191" t="s">
        <v>188</v>
      </c>
    </row>
    <row r="192" spans="1:1" x14ac:dyDescent="0.25">
      <c r="A192" t="s">
        <v>189</v>
      </c>
    </row>
    <row r="193" spans="1:1" x14ac:dyDescent="0.25">
      <c r="A193" t="s">
        <v>190</v>
      </c>
    </row>
    <row r="194" spans="1:1" x14ac:dyDescent="0.25">
      <c r="A194" t="s">
        <v>191</v>
      </c>
    </row>
    <row r="195" spans="1:1" x14ac:dyDescent="0.25">
      <c r="A195" t="s">
        <v>192</v>
      </c>
    </row>
    <row r="196" spans="1:1" x14ac:dyDescent="0.25">
      <c r="A196" t="s">
        <v>193</v>
      </c>
    </row>
    <row r="197" spans="1:1" x14ac:dyDescent="0.25">
      <c r="A197" t="s">
        <v>194</v>
      </c>
    </row>
    <row r="198" spans="1:1" x14ac:dyDescent="0.25">
      <c r="A198" t="s">
        <v>195</v>
      </c>
    </row>
    <row r="199" spans="1:1" x14ac:dyDescent="0.25">
      <c r="A199" t="s">
        <v>196</v>
      </c>
    </row>
    <row r="200" spans="1:1" x14ac:dyDescent="0.25">
      <c r="A200" t="s">
        <v>197</v>
      </c>
    </row>
    <row r="201" spans="1:1" x14ac:dyDescent="0.25">
      <c r="A201" t="s">
        <v>198</v>
      </c>
    </row>
    <row r="202" spans="1:1" x14ac:dyDescent="0.25">
      <c r="A202" t="s">
        <v>199</v>
      </c>
    </row>
    <row r="203" spans="1:1" x14ac:dyDescent="0.25">
      <c r="A203" t="s">
        <v>200</v>
      </c>
    </row>
    <row r="204" spans="1:1" x14ac:dyDescent="0.25">
      <c r="A204" t="s">
        <v>201</v>
      </c>
    </row>
    <row r="205" spans="1:1" x14ac:dyDescent="0.25">
      <c r="A205" t="s">
        <v>202</v>
      </c>
    </row>
    <row r="206" spans="1:1" x14ac:dyDescent="0.25">
      <c r="A206" t="s">
        <v>203</v>
      </c>
    </row>
    <row r="207" spans="1:1" x14ac:dyDescent="0.25">
      <c r="A207" t="s">
        <v>204</v>
      </c>
    </row>
    <row r="208" spans="1:1" x14ac:dyDescent="0.25">
      <c r="A208" t="s">
        <v>205</v>
      </c>
    </row>
    <row r="209" spans="1:1" x14ac:dyDescent="0.25">
      <c r="A209" t="s">
        <v>206</v>
      </c>
    </row>
    <row r="210" spans="1:1" x14ac:dyDescent="0.25">
      <c r="A210" t="s">
        <v>207</v>
      </c>
    </row>
    <row r="211" spans="1:1" x14ac:dyDescent="0.25">
      <c r="A211" t="s">
        <v>208</v>
      </c>
    </row>
    <row r="212" spans="1:1" x14ac:dyDescent="0.25">
      <c r="A212" t="s">
        <v>209</v>
      </c>
    </row>
    <row r="213" spans="1:1" x14ac:dyDescent="0.25">
      <c r="A213" t="s">
        <v>210</v>
      </c>
    </row>
    <row r="214" spans="1:1" x14ac:dyDescent="0.25">
      <c r="A214" t="s">
        <v>211</v>
      </c>
    </row>
    <row r="215" spans="1:1" x14ac:dyDescent="0.25">
      <c r="A215" t="s">
        <v>212</v>
      </c>
    </row>
    <row r="216" spans="1:1" x14ac:dyDescent="0.25">
      <c r="A216" t="s">
        <v>213</v>
      </c>
    </row>
    <row r="217" spans="1:1" x14ac:dyDescent="0.25">
      <c r="A217" t="s">
        <v>214</v>
      </c>
    </row>
    <row r="218" spans="1:1" x14ac:dyDescent="0.25">
      <c r="A218" t="s">
        <v>215</v>
      </c>
    </row>
    <row r="219" spans="1:1" x14ac:dyDescent="0.25">
      <c r="A219" t="s">
        <v>216</v>
      </c>
    </row>
    <row r="220" spans="1:1" x14ac:dyDescent="0.25">
      <c r="A220" t="s">
        <v>217</v>
      </c>
    </row>
    <row r="221" spans="1:1" x14ac:dyDescent="0.25">
      <c r="A221" t="s">
        <v>218</v>
      </c>
    </row>
    <row r="222" spans="1:1" x14ac:dyDescent="0.25">
      <c r="A222" t="s">
        <v>219</v>
      </c>
    </row>
    <row r="223" spans="1:1" x14ac:dyDescent="0.25">
      <c r="A223" t="s">
        <v>220</v>
      </c>
    </row>
    <row r="224" spans="1:1" x14ac:dyDescent="0.25">
      <c r="A224" t="s">
        <v>221</v>
      </c>
    </row>
    <row r="225" spans="1:1" x14ac:dyDescent="0.25">
      <c r="A225" t="s">
        <v>222</v>
      </c>
    </row>
    <row r="226" spans="1:1" x14ac:dyDescent="0.25">
      <c r="A226" t="s">
        <v>223</v>
      </c>
    </row>
    <row r="227" spans="1:1" x14ac:dyDescent="0.25">
      <c r="A227" t="s">
        <v>224</v>
      </c>
    </row>
    <row r="228" spans="1:1" x14ac:dyDescent="0.25">
      <c r="A228" t="s">
        <v>225</v>
      </c>
    </row>
    <row r="229" spans="1:1" x14ac:dyDescent="0.25">
      <c r="A229" t="s">
        <v>226</v>
      </c>
    </row>
    <row r="230" spans="1:1" x14ac:dyDescent="0.25">
      <c r="A230" t="s">
        <v>227</v>
      </c>
    </row>
    <row r="231" spans="1:1" x14ac:dyDescent="0.25">
      <c r="A231" t="s">
        <v>228</v>
      </c>
    </row>
    <row r="232" spans="1:1" x14ac:dyDescent="0.25">
      <c r="A232" t="s">
        <v>229</v>
      </c>
    </row>
    <row r="233" spans="1:1" x14ac:dyDescent="0.25">
      <c r="A233" t="s">
        <v>230</v>
      </c>
    </row>
    <row r="234" spans="1:1" x14ac:dyDescent="0.25">
      <c r="A234" t="s">
        <v>231</v>
      </c>
    </row>
    <row r="235" spans="1:1" x14ac:dyDescent="0.25">
      <c r="A235" t="s">
        <v>232</v>
      </c>
    </row>
    <row r="236" spans="1:1" x14ac:dyDescent="0.25">
      <c r="A236" t="s">
        <v>233</v>
      </c>
    </row>
    <row r="237" spans="1:1" x14ac:dyDescent="0.25">
      <c r="A237" t="s">
        <v>234</v>
      </c>
    </row>
    <row r="238" spans="1:1" x14ac:dyDescent="0.25">
      <c r="A238" t="s">
        <v>235</v>
      </c>
    </row>
    <row r="239" spans="1:1" x14ac:dyDescent="0.25">
      <c r="A239" t="s">
        <v>236</v>
      </c>
    </row>
    <row r="240" spans="1:1" x14ac:dyDescent="0.25">
      <c r="A240" t="s">
        <v>237</v>
      </c>
    </row>
    <row r="241" spans="1:1" x14ac:dyDescent="0.25">
      <c r="A241" t="s">
        <v>238</v>
      </c>
    </row>
    <row r="242" spans="1:1" x14ac:dyDescent="0.25">
      <c r="A242" t="s">
        <v>239</v>
      </c>
    </row>
    <row r="243" spans="1:1" x14ac:dyDescent="0.25">
      <c r="A243" t="s">
        <v>240</v>
      </c>
    </row>
    <row r="244" spans="1:1" x14ac:dyDescent="0.25">
      <c r="A244" t="s">
        <v>241</v>
      </c>
    </row>
    <row r="245" spans="1:1" x14ac:dyDescent="0.25">
      <c r="A245" t="s">
        <v>242</v>
      </c>
    </row>
    <row r="246" spans="1:1" x14ac:dyDescent="0.25">
      <c r="A246" t="s">
        <v>243</v>
      </c>
    </row>
    <row r="247" spans="1:1" x14ac:dyDescent="0.25">
      <c r="A247" t="s">
        <v>244</v>
      </c>
    </row>
    <row r="248" spans="1:1" x14ac:dyDescent="0.25">
      <c r="A248" t="s">
        <v>245</v>
      </c>
    </row>
    <row r="249" spans="1:1" x14ac:dyDescent="0.25">
      <c r="A249" t="s">
        <v>246</v>
      </c>
    </row>
    <row r="250" spans="1:1" x14ac:dyDescent="0.25">
      <c r="A250" t="s">
        <v>247</v>
      </c>
    </row>
    <row r="251" spans="1:1" x14ac:dyDescent="0.25">
      <c r="A251" t="s">
        <v>248</v>
      </c>
    </row>
    <row r="252" spans="1:1" x14ac:dyDescent="0.25">
      <c r="A252" t="s">
        <v>249</v>
      </c>
    </row>
    <row r="253" spans="1:1" x14ac:dyDescent="0.25">
      <c r="A253" t="s">
        <v>250</v>
      </c>
    </row>
    <row r="254" spans="1:1" x14ac:dyDescent="0.25">
      <c r="A254" t="s">
        <v>251</v>
      </c>
    </row>
    <row r="255" spans="1:1" x14ac:dyDescent="0.25">
      <c r="A255" t="s">
        <v>252</v>
      </c>
    </row>
    <row r="256" spans="1:1" x14ac:dyDescent="0.25">
      <c r="A256" t="s">
        <v>253</v>
      </c>
    </row>
    <row r="257" spans="1:1" x14ac:dyDescent="0.25">
      <c r="A257" t="s">
        <v>254</v>
      </c>
    </row>
    <row r="258" spans="1:1" x14ac:dyDescent="0.25">
      <c r="A258" t="s">
        <v>255</v>
      </c>
    </row>
    <row r="259" spans="1:1" x14ac:dyDescent="0.25">
      <c r="A259" t="s">
        <v>256</v>
      </c>
    </row>
    <row r="260" spans="1:1" x14ac:dyDescent="0.25">
      <c r="A260" t="s">
        <v>257</v>
      </c>
    </row>
    <row r="261" spans="1:1" x14ac:dyDescent="0.25">
      <c r="A261" t="s">
        <v>258</v>
      </c>
    </row>
    <row r="262" spans="1:1" x14ac:dyDescent="0.25">
      <c r="A262" t="s">
        <v>259</v>
      </c>
    </row>
    <row r="263" spans="1:1" x14ac:dyDescent="0.25">
      <c r="A263" t="s">
        <v>260</v>
      </c>
    </row>
    <row r="264" spans="1:1" x14ac:dyDescent="0.25">
      <c r="A264" t="s">
        <v>261</v>
      </c>
    </row>
    <row r="265" spans="1:1" x14ac:dyDescent="0.25">
      <c r="A265" t="s">
        <v>262</v>
      </c>
    </row>
    <row r="266" spans="1:1" x14ac:dyDescent="0.25">
      <c r="A266" t="s">
        <v>263</v>
      </c>
    </row>
    <row r="267" spans="1:1" x14ac:dyDescent="0.25">
      <c r="A267" t="s">
        <v>264</v>
      </c>
    </row>
    <row r="268" spans="1:1" x14ac:dyDescent="0.25">
      <c r="A268" t="s">
        <v>265</v>
      </c>
    </row>
    <row r="269" spans="1:1" x14ac:dyDescent="0.25">
      <c r="A269" t="s">
        <v>266</v>
      </c>
    </row>
    <row r="270" spans="1:1" x14ac:dyDescent="0.25">
      <c r="A270" t="s">
        <v>267</v>
      </c>
    </row>
    <row r="271" spans="1:1" x14ac:dyDescent="0.25">
      <c r="A271" t="s">
        <v>268</v>
      </c>
    </row>
    <row r="272" spans="1:1" x14ac:dyDescent="0.25">
      <c r="A272" t="s">
        <v>269</v>
      </c>
    </row>
    <row r="273" spans="1:1" x14ac:dyDescent="0.25">
      <c r="A273" t="s">
        <v>270</v>
      </c>
    </row>
    <row r="274" spans="1:1" x14ac:dyDescent="0.25">
      <c r="A274" t="s">
        <v>271</v>
      </c>
    </row>
    <row r="275" spans="1:1" x14ac:dyDescent="0.25">
      <c r="A275" t="s">
        <v>272</v>
      </c>
    </row>
    <row r="276" spans="1:1" x14ac:dyDescent="0.25">
      <c r="A276" t="s">
        <v>273</v>
      </c>
    </row>
    <row r="277" spans="1:1" x14ac:dyDescent="0.25">
      <c r="A277" t="s">
        <v>274</v>
      </c>
    </row>
    <row r="278" spans="1:1" x14ac:dyDescent="0.25">
      <c r="A278" t="s">
        <v>275</v>
      </c>
    </row>
    <row r="279" spans="1:1" x14ac:dyDescent="0.25">
      <c r="A279" t="s">
        <v>276</v>
      </c>
    </row>
    <row r="280" spans="1:1" x14ac:dyDescent="0.25">
      <c r="A280" t="s">
        <v>277</v>
      </c>
    </row>
    <row r="281" spans="1:1" x14ac:dyDescent="0.25">
      <c r="A281" t="s">
        <v>278</v>
      </c>
    </row>
    <row r="282" spans="1:1" x14ac:dyDescent="0.25">
      <c r="A282" t="s">
        <v>279</v>
      </c>
    </row>
    <row r="283" spans="1:1" x14ac:dyDescent="0.25">
      <c r="A283" t="s">
        <v>280</v>
      </c>
    </row>
    <row r="284" spans="1:1" x14ac:dyDescent="0.25">
      <c r="A284" t="s">
        <v>281</v>
      </c>
    </row>
    <row r="285" spans="1:1" x14ac:dyDescent="0.25">
      <c r="A285" t="s">
        <v>282</v>
      </c>
    </row>
    <row r="286" spans="1:1" x14ac:dyDescent="0.25">
      <c r="A286" t="s">
        <v>283</v>
      </c>
    </row>
    <row r="287" spans="1:1" x14ac:dyDescent="0.25">
      <c r="A287" t="s">
        <v>284</v>
      </c>
    </row>
    <row r="288" spans="1:1" x14ac:dyDescent="0.25">
      <c r="A288" t="s">
        <v>285</v>
      </c>
    </row>
    <row r="289" spans="1:1" x14ac:dyDescent="0.25">
      <c r="A289" t="s">
        <v>286</v>
      </c>
    </row>
    <row r="290" spans="1:1" x14ac:dyDescent="0.25">
      <c r="A290" t="s">
        <v>287</v>
      </c>
    </row>
    <row r="291" spans="1:1" x14ac:dyDescent="0.25">
      <c r="A291" t="s">
        <v>288</v>
      </c>
    </row>
    <row r="292" spans="1:1" x14ac:dyDescent="0.25">
      <c r="A292" t="s">
        <v>289</v>
      </c>
    </row>
    <row r="293" spans="1:1" x14ac:dyDescent="0.25">
      <c r="A293" t="s">
        <v>290</v>
      </c>
    </row>
    <row r="294" spans="1:1" x14ac:dyDescent="0.25">
      <c r="A294" t="s">
        <v>291</v>
      </c>
    </row>
    <row r="295" spans="1:1" x14ac:dyDescent="0.25">
      <c r="A295" t="s">
        <v>292</v>
      </c>
    </row>
    <row r="296" spans="1:1" x14ac:dyDescent="0.25">
      <c r="A296" t="s">
        <v>293</v>
      </c>
    </row>
    <row r="297" spans="1:1" x14ac:dyDescent="0.25">
      <c r="A297" t="s">
        <v>294</v>
      </c>
    </row>
    <row r="298" spans="1:1" x14ac:dyDescent="0.25">
      <c r="A298" t="s">
        <v>295</v>
      </c>
    </row>
    <row r="299" spans="1:1" x14ac:dyDescent="0.25">
      <c r="A299" t="s">
        <v>296</v>
      </c>
    </row>
    <row r="300" spans="1:1" x14ac:dyDescent="0.25">
      <c r="A300" t="s">
        <v>297</v>
      </c>
    </row>
    <row r="301" spans="1:1" x14ac:dyDescent="0.25">
      <c r="A301" t="s">
        <v>298</v>
      </c>
    </row>
    <row r="302" spans="1:1" x14ac:dyDescent="0.25">
      <c r="A302" t="s">
        <v>299</v>
      </c>
    </row>
    <row r="303" spans="1:1" x14ac:dyDescent="0.25">
      <c r="A303" t="s">
        <v>300</v>
      </c>
    </row>
    <row r="304" spans="1:1" x14ac:dyDescent="0.25">
      <c r="A304" t="s">
        <v>301</v>
      </c>
    </row>
    <row r="305" spans="1:1" x14ac:dyDescent="0.25">
      <c r="A305" t="s">
        <v>302</v>
      </c>
    </row>
    <row r="306" spans="1:1" x14ac:dyDescent="0.25">
      <c r="A306" t="s">
        <v>303</v>
      </c>
    </row>
    <row r="307" spans="1:1" x14ac:dyDescent="0.25">
      <c r="A307" t="s">
        <v>304</v>
      </c>
    </row>
    <row r="308" spans="1:1" x14ac:dyDescent="0.25">
      <c r="A308" t="s">
        <v>305</v>
      </c>
    </row>
    <row r="309" spans="1:1" x14ac:dyDescent="0.25">
      <c r="A309" t="s">
        <v>306</v>
      </c>
    </row>
    <row r="310" spans="1:1" x14ac:dyDescent="0.25">
      <c r="A310" t="s">
        <v>307</v>
      </c>
    </row>
    <row r="311" spans="1:1" x14ac:dyDescent="0.25">
      <c r="A311" t="s">
        <v>308</v>
      </c>
    </row>
    <row r="312" spans="1:1" x14ac:dyDescent="0.25">
      <c r="A312" t="s">
        <v>309</v>
      </c>
    </row>
    <row r="313" spans="1:1" x14ac:dyDescent="0.25">
      <c r="A313" t="s">
        <v>310</v>
      </c>
    </row>
    <row r="314" spans="1:1" x14ac:dyDescent="0.25">
      <c r="A314" t="s">
        <v>311</v>
      </c>
    </row>
    <row r="315" spans="1:1" x14ac:dyDescent="0.25">
      <c r="A315" t="s">
        <v>312</v>
      </c>
    </row>
    <row r="316" spans="1:1" x14ac:dyDescent="0.25">
      <c r="A316" t="s">
        <v>313</v>
      </c>
    </row>
    <row r="317" spans="1:1" x14ac:dyDescent="0.25">
      <c r="A317" t="s">
        <v>314</v>
      </c>
    </row>
    <row r="318" spans="1:1" x14ac:dyDescent="0.25">
      <c r="A318" t="s">
        <v>315</v>
      </c>
    </row>
    <row r="319" spans="1:1" x14ac:dyDescent="0.25">
      <c r="A319" t="s">
        <v>316</v>
      </c>
    </row>
    <row r="320" spans="1:1" x14ac:dyDescent="0.25">
      <c r="A320" t="s">
        <v>317</v>
      </c>
    </row>
    <row r="321" spans="1:1" x14ac:dyDescent="0.25">
      <c r="A321" t="s">
        <v>318</v>
      </c>
    </row>
    <row r="322" spans="1:1" x14ac:dyDescent="0.25">
      <c r="A322" t="s">
        <v>319</v>
      </c>
    </row>
    <row r="323" spans="1:1" x14ac:dyDescent="0.25">
      <c r="A323" t="s">
        <v>320</v>
      </c>
    </row>
    <row r="324" spans="1:1" x14ac:dyDescent="0.25">
      <c r="A324" t="s">
        <v>321</v>
      </c>
    </row>
    <row r="325" spans="1:1" x14ac:dyDescent="0.25">
      <c r="A325" t="s">
        <v>322</v>
      </c>
    </row>
    <row r="326" spans="1:1" x14ac:dyDescent="0.25">
      <c r="A326" t="s">
        <v>323</v>
      </c>
    </row>
    <row r="327" spans="1:1" x14ac:dyDescent="0.25">
      <c r="A327" t="s">
        <v>324</v>
      </c>
    </row>
    <row r="328" spans="1:1" x14ac:dyDescent="0.25">
      <c r="A328" t="s">
        <v>325</v>
      </c>
    </row>
    <row r="329" spans="1:1" x14ac:dyDescent="0.25">
      <c r="A329" t="s">
        <v>326</v>
      </c>
    </row>
    <row r="330" spans="1:1" x14ac:dyDescent="0.25">
      <c r="A330" t="s">
        <v>327</v>
      </c>
    </row>
    <row r="331" spans="1:1" x14ac:dyDescent="0.25">
      <c r="A331" t="s">
        <v>328</v>
      </c>
    </row>
    <row r="332" spans="1:1" x14ac:dyDescent="0.25">
      <c r="A332" t="s">
        <v>329</v>
      </c>
    </row>
    <row r="333" spans="1:1" x14ac:dyDescent="0.25">
      <c r="A333" t="s">
        <v>330</v>
      </c>
    </row>
    <row r="334" spans="1:1" x14ac:dyDescent="0.25">
      <c r="A334" t="s">
        <v>331</v>
      </c>
    </row>
    <row r="335" spans="1:1" x14ac:dyDescent="0.25">
      <c r="A335" t="s">
        <v>332</v>
      </c>
    </row>
    <row r="336" spans="1:1" x14ac:dyDescent="0.25">
      <c r="A336" t="s">
        <v>333</v>
      </c>
    </row>
    <row r="337" spans="1:1" x14ac:dyDescent="0.25">
      <c r="A337" t="s">
        <v>334</v>
      </c>
    </row>
    <row r="338" spans="1:1" x14ac:dyDescent="0.25">
      <c r="A338" t="s">
        <v>335</v>
      </c>
    </row>
    <row r="339" spans="1:1" x14ac:dyDescent="0.25">
      <c r="A339" t="s">
        <v>336</v>
      </c>
    </row>
    <row r="340" spans="1:1" x14ac:dyDescent="0.25">
      <c r="A340" t="s">
        <v>337</v>
      </c>
    </row>
    <row r="341" spans="1:1" x14ac:dyDescent="0.25">
      <c r="A341" t="s">
        <v>338</v>
      </c>
    </row>
    <row r="342" spans="1:1" x14ac:dyDescent="0.25">
      <c r="A342" t="s">
        <v>339</v>
      </c>
    </row>
    <row r="343" spans="1:1" x14ac:dyDescent="0.25">
      <c r="A343" t="s">
        <v>340</v>
      </c>
    </row>
    <row r="344" spans="1:1" x14ac:dyDescent="0.25">
      <c r="A344" t="s">
        <v>341</v>
      </c>
    </row>
    <row r="345" spans="1:1" x14ac:dyDescent="0.25">
      <c r="A345" t="s">
        <v>342</v>
      </c>
    </row>
    <row r="346" spans="1:1" x14ac:dyDescent="0.25">
      <c r="A346" t="s">
        <v>343</v>
      </c>
    </row>
    <row r="347" spans="1:1" x14ac:dyDescent="0.25">
      <c r="A347" t="s">
        <v>344</v>
      </c>
    </row>
    <row r="348" spans="1:1" x14ac:dyDescent="0.25">
      <c r="A348" t="s">
        <v>345</v>
      </c>
    </row>
    <row r="349" spans="1:1" x14ac:dyDescent="0.25">
      <c r="A349" t="s">
        <v>346</v>
      </c>
    </row>
    <row r="350" spans="1:1" x14ac:dyDescent="0.25">
      <c r="A350" t="s">
        <v>347</v>
      </c>
    </row>
    <row r="351" spans="1:1" x14ac:dyDescent="0.25">
      <c r="A351" t="s">
        <v>348</v>
      </c>
    </row>
    <row r="352" spans="1:1" x14ac:dyDescent="0.25">
      <c r="A352" t="s">
        <v>349</v>
      </c>
    </row>
    <row r="353" spans="1:1" x14ac:dyDescent="0.25">
      <c r="A353" t="s">
        <v>350</v>
      </c>
    </row>
    <row r="354" spans="1:1" x14ac:dyDescent="0.25">
      <c r="A354" t="s">
        <v>351</v>
      </c>
    </row>
    <row r="355" spans="1:1" x14ac:dyDescent="0.25">
      <c r="A355" t="s">
        <v>352</v>
      </c>
    </row>
    <row r="356" spans="1:1" x14ac:dyDescent="0.25">
      <c r="A356" t="s">
        <v>353</v>
      </c>
    </row>
    <row r="357" spans="1:1" x14ac:dyDescent="0.25">
      <c r="A357" t="s">
        <v>354</v>
      </c>
    </row>
    <row r="358" spans="1:1" x14ac:dyDescent="0.25">
      <c r="A358" t="s">
        <v>355</v>
      </c>
    </row>
    <row r="359" spans="1:1" x14ac:dyDescent="0.25">
      <c r="A359" t="s">
        <v>356</v>
      </c>
    </row>
    <row r="360" spans="1:1" x14ac:dyDescent="0.25">
      <c r="A360" t="s">
        <v>357</v>
      </c>
    </row>
    <row r="361" spans="1:1" x14ac:dyDescent="0.25">
      <c r="A361" t="s">
        <v>358</v>
      </c>
    </row>
    <row r="362" spans="1:1" x14ac:dyDescent="0.25">
      <c r="A362" t="s">
        <v>359</v>
      </c>
    </row>
    <row r="363" spans="1:1" x14ac:dyDescent="0.25">
      <c r="A363" t="s">
        <v>360</v>
      </c>
    </row>
    <row r="364" spans="1:1" x14ac:dyDescent="0.25">
      <c r="A364" t="s">
        <v>361</v>
      </c>
    </row>
    <row r="365" spans="1:1" x14ac:dyDescent="0.25">
      <c r="A365" t="s">
        <v>362</v>
      </c>
    </row>
    <row r="366" spans="1:1" x14ac:dyDescent="0.25">
      <c r="A366" t="s">
        <v>363</v>
      </c>
    </row>
    <row r="367" spans="1:1" x14ac:dyDescent="0.25">
      <c r="A367" t="s">
        <v>364</v>
      </c>
    </row>
    <row r="368" spans="1:1" x14ac:dyDescent="0.25">
      <c r="A368" t="s">
        <v>365</v>
      </c>
    </row>
    <row r="369" spans="1:1" x14ac:dyDescent="0.25">
      <c r="A369" t="s">
        <v>366</v>
      </c>
    </row>
    <row r="370" spans="1:1" x14ac:dyDescent="0.25">
      <c r="A370" t="s">
        <v>367</v>
      </c>
    </row>
    <row r="371" spans="1:1" x14ac:dyDescent="0.25">
      <c r="A371" t="s">
        <v>368</v>
      </c>
    </row>
    <row r="372" spans="1:1" x14ac:dyDescent="0.25">
      <c r="A372" t="s">
        <v>369</v>
      </c>
    </row>
    <row r="373" spans="1:1" x14ac:dyDescent="0.25">
      <c r="A373" t="s">
        <v>370</v>
      </c>
    </row>
    <row r="374" spans="1:1" x14ac:dyDescent="0.25">
      <c r="A374" t="s">
        <v>371</v>
      </c>
    </row>
    <row r="375" spans="1:1" x14ac:dyDescent="0.25">
      <c r="A375" t="s">
        <v>372</v>
      </c>
    </row>
    <row r="376" spans="1:1" x14ac:dyDescent="0.25">
      <c r="A376" t="s">
        <v>373</v>
      </c>
    </row>
    <row r="377" spans="1:1" x14ac:dyDescent="0.25">
      <c r="A377" t="s">
        <v>374</v>
      </c>
    </row>
    <row r="378" spans="1:1" x14ac:dyDescent="0.25">
      <c r="A378" t="s">
        <v>375</v>
      </c>
    </row>
    <row r="379" spans="1:1" x14ac:dyDescent="0.25">
      <c r="A379" t="s">
        <v>376</v>
      </c>
    </row>
    <row r="380" spans="1:1" x14ac:dyDescent="0.25">
      <c r="A380" t="s">
        <v>377</v>
      </c>
    </row>
    <row r="381" spans="1:1" x14ac:dyDescent="0.25">
      <c r="A381" t="s">
        <v>378</v>
      </c>
    </row>
    <row r="382" spans="1:1" x14ac:dyDescent="0.25">
      <c r="A382" t="s">
        <v>379</v>
      </c>
    </row>
    <row r="383" spans="1:1" x14ac:dyDescent="0.25">
      <c r="A383" t="s">
        <v>380</v>
      </c>
    </row>
    <row r="384" spans="1:1" x14ac:dyDescent="0.25">
      <c r="A384" t="s">
        <v>381</v>
      </c>
    </row>
    <row r="385" spans="1:1" x14ac:dyDescent="0.25">
      <c r="A385" t="s">
        <v>382</v>
      </c>
    </row>
    <row r="386" spans="1:1" x14ac:dyDescent="0.25">
      <c r="A386" t="s">
        <v>383</v>
      </c>
    </row>
    <row r="387" spans="1:1" x14ac:dyDescent="0.25">
      <c r="A387" t="s">
        <v>384</v>
      </c>
    </row>
    <row r="388" spans="1:1" x14ac:dyDescent="0.25">
      <c r="A388" t="s">
        <v>385</v>
      </c>
    </row>
    <row r="389" spans="1:1" x14ac:dyDescent="0.25">
      <c r="A389" t="s">
        <v>386</v>
      </c>
    </row>
    <row r="390" spans="1:1" x14ac:dyDescent="0.25">
      <c r="A390" t="s">
        <v>387</v>
      </c>
    </row>
    <row r="391" spans="1:1" x14ac:dyDescent="0.25">
      <c r="A391" t="s">
        <v>388</v>
      </c>
    </row>
    <row r="392" spans="1:1" x14ac:dyDescent="0.25">
      <c r="A392" t="s">
        <v>389</v>
      </c>
    </row>
    <row r="393" spans="1:1" x14ac:dyDescent="0.25">
      <c r="A393" t="s">
        <v>390</v>
      </c>
    </row>
    <row r="394" spans="1:1" x14ac:dyDescent="0.25">
      <c r="A394" t="s">
        <v>391</v>
      </c>
    </row>
    <row r="395" spans="1:1" x14ac:dyDescent="0.25">
      <c r="A395" t="s">
        <v>392</v>
      </c>
    </row>
    <row r="396" spans="1:1" x14ac:dyDescent="0.25">
      <c r="A396" t="s">
        <v>393</v>
      </c>
    </row>
    <row r="397" spans="1:1" x14ac:dyDescent="0.25">
      <c r="A397" t="s">
        <v>394</v>
      </c>
    </row>
    <row r="398" spans="1:1" x14ac:dyDescent="0.25">
      <c r="A398" t="s">
        <v>395</v>
      </c>
    </row>
    <row r="399" spans="1:1" x14ac:dyDescent="0.25">
      <c r="A399" t="s">
        <v>396</v>
      </c>
    </row>
    <row r="400" spans="1:1" x14ac:dyDescent="0.25">
      <c r="A400" t="s">
        <v>397</v>
      </c>
    </row>
    <row r="401" spans="1:1" x14ac:dyDescent="0.25">
      <c r="A401" t="s">
        <v>398</v>
      </c>
    </row>
    <row r="402" spans="1:1" x14ac:dyDescent="0.25">
      <c r="A402" t="s">
        <v>399</v>
      </c>
    </row>
    <row r="403" spans="1:1" x14ac:dyDescent="0.25">
      <c r="A403" t="s">
        <v>400</v>
      </c>
    </row>
    <row r="404" spans="1:1" x14ac:dyDescent="0.25">
      <c r="A404" t="s">
        <v>401</v>
      </c>
    </row>
    <row r="405" spans="1:1" x14ac:dyDescent="0.25">
      <c r="A405" t="s">
        <v>402</v>
      </c>
    </row>
    <row r="406" spans="1:1" x14ac:dyDescent="0.25">
      <c r="A406" t="s">
        <v>403</v>
      </c>
    </row>
    <row r="407" spans="1:1" x14ac:dyDescent="0.25">
      <c r="A407" t="s">
        <v>404</v>
      </c>
    </row>
    <row r="408" spans="1:1" x14ac:dyDescent="0.25">
      <c r="A408" t="s">
        <v>405</v>
      </c>
    </row>
    <row r="409" spans="1:1" x14ac:dyDescent="0.25">
      <c r="A409" t="s">
        <v>406</v>
      </c>
    </row>
    <row r="410" spans="1:1" x14ac:dyDescent="0.25">
      <c r="A410" t="s">
        <v>407</v>
      </c>
    </row>
    <row r="411" spans="1:1" x14ac:dyDescent="0.25">
      <c r="A411" t="s">
        <v>408</v>
      </c>
    </row>
    <row r="412" spans="1:1" x14ac:dyDescent="0.25">
      <c r="A412" t="s">
        <v>409</v>
      </c>
    </row>
    <row r="413" spans="1:1" x14ac:dyDescent="0.25">
      <c r="A413" t="s">
        <v>410</v>
      </c>
    </row>
    <row r="414" spans="1:1" x14ac:dyDescent="0.25">
      <c r="A414" t="s">
        <v>411</v>
      </c>
    </row>
    <row r="415" spans="1:1" x14ac:dyDescent="0.25">
      <c r="A415" t="s">
        <v>412</v>
      </c>
    </row>
    <row r="416" spans="1:1" x14ac:dyDescent="0.25">
      <c r="A416" t="s">
        <v>413</v>
      </c>
    </row>
    <row r="417" spans="1:1" x14ac:dyDescent="0.25">
      <c r="A417" t="s">
        <v>414</v>
      </c>
    </row>
    <row r="418" spans="1:1" x14ac:dyDescent="0.25">
      <c r="A418" t="s">
        <v>415</v>
      </c>
    </row>
    <row r="419" spans="1:1" x14ac:dyDescent="0.25">
      <c r="A419" t="s">
        <v>416</v>
      </c>
    </row>
    <row r="420" spans="1:1" x14ac:dyDescent="0.25">
      <c r="A420" t="s">
        <v>417</v>
      </c>
    </row>
    <row r="421" spans="1:1" x14ac:dyDescent="0.25">
      <c r="A421" t="s">
        <v>418</v>
      </c>
    </row>
    <row r="422" spans="1:1" x14ac:dyDescent="0.25">
      <c r="A422" t="s">
        <v>419</v>
      </c>
    </row>
    <row r="423" spans="1:1" x14ac:dyDescent="0.25">
      <c r="A423" t="s">
        <v>420</v>
      </c>
    </row>
    <row r="424" spans="1:1" x14ac:dyDescent="0.25">
      <c r="A424" t="s">
        <v>421</v>
      </c>
    </row>
    <row r="425" spans="1:1" x14ac:dyDescent="0.25">
      <c r="A425" t="s">
        <v>422</v>
      </c>
    </row>
    <row r="426" spans="1:1" x14ac:dyDescent="0.25">
      <c r="A426" t="s">
        <v>423</v>
      </c>
    </row>
    <row r="427" spans="1:1" x14ac:dyDescent="0.25">
      <c r="A427" t="s">
        <v>424</v>
      </c>
    </row>
    <row r="428" spans="1:1" x14ac:dyDescent="0.25">
      <c r="A428" t="s">
        <v>425</v>
      </c>
    </row>
    <row r="429" spans="1:1" x14ac:dyDescent="0.25">
      <c r="A429" t="s">
        <v>426</v>
      </c>
    </row>
    <row r="430" spans="1:1" x14ac:dyDescent="0.25">
      <c r="A430" t="s">
        <v>427</v>
      </c>
    </row>
    <row r="431" spans="1:1" x14ac:dyDescent="0.25">
      <c r="A431" t="s">
        <v>428</v>
      </c>
    </row>
    <row r="432" spans="1:1" x14ac:dyDescent="0.25">
      <c r="A432" t="s">
        <v>429</v>
      </c>
    </row>
    <row r="433" spans="1:1" x14ac:dyDescent="0.25">
      <c r="A433" t="s">
        <v>430</v>
      </c>
    </row>
    <row r="434" spans="1:1" x14ac:dyDescent="0.25">
      <c r="A434" t="s">
        <v>431</v>
      </c>
    </row>
    <row r="435" spans="1:1" x14ac:dyDescent="0.25">
      <c r="A435" t="s">
        <v>432</v>
      </c>
    </row>
    <row r="436" spans="1:1" x14ac:dyDescent="0.25">
      <c r="A436" t="s">
        <v>433</v>
      </c>
    </row>
    <row r="437" spans="1:1" x14ac:dyDescent="0.25">
      <c r="A437" t="s">
        <v>434</v>
      </c>
    </row>
    <row r="438" spans="1:1" x14ac:dyDescent="0.25">
      <c r="A438" t="s">
        <v>435</v>
      </c>
    </row>
    <row r="439" spans="1:1" x14ac:dyDescent="0.25">
      <c r="A439" t="s">
        <v>436</v>
      </c>
    </row>
    <row r="440" spans="1:1" x14ac:dyDescent="0.25">
      <c r="A440" t="s">
        <v>437</v>
      </c>
    </row>
    <row r="441" spans="1:1" x14ac:dyDescent="0.25">
      <c r="A441" t="s">
        <v>438</v>
      </c>
    </row>
    <row r="442" spans="1:1" x14ac:dyDescent="0.25">
      <c r="A442" t="s">
        <v>439</v>
      </c>
    </row>
    <row r="443" spans="1:1" x14ac:dyDescent="0.25">
      <c r="A443" t="s">
        <v>440</v>
      </c>
    </row>
    <row r="444" spans="1:1" x14ac:dyDescent="0.25">
      <c r="A444" t="s">
        <v>441</v>
      </c>
    </row>
    <row r="445" spans="1:1" x14ac:dyDescent="0.25">
      <c r="A445" t="s">
        <v>442</v>
      </c>
    </row>
    <row r="446" spans="1:1" x14ac:dyDescent="0.25">
      <c r="A446" t="s">
        <v>443</v>
      </c>
    </row>
    <row r="447" spans="1:1" x14ac:dyDescent="0.25">
      <c r="A447" t="s">
        <v>444</v>
      </c>
    </row>
    <row r="448" spans="1:1" x14ac:dyDescent="0.25">
      <c r="A448" t="s">
        <v>445</v>
      </c>
    </row>
    <row r="449" spans="1:1" x14ac:dyDescent="0.25">
      <c r="A449" t="s">
        <v>446</v>
      </c>
    </row>
    <row r="450" spans="1:1" x14ac:dyDescent="0.25">
      <c r="A450" t="s">
        <v>447</v>
      </c>
    </row>
    <row r="451" spans="1:1" x14ac:dyDescent="0.25">
      <c r="A451" t="s">
        <v>448</v>
      </c>
    </row>
    <row r="452" spans="1:1" x14ac:dyDescent="0.25">
      <c r="A452" t="s">
        <v>449</v>
      </c>
    </row>
    <row r="453" spans="1:1" x14ac:dyDescent="0.25">
      <c r="A453" t="s">
        <v>450</v>
      </c>
    </row>
    <row r="454" spans="1:1" x14ac:dyDescent="0.25">
      <c r="A454" t="s">
        <v>451</v>
      </c>
    </row>
    <row r="455" spans="1:1" x14ac:dyDescent="0.25">
      <c r="A455" t="s">
        <v>452</v>
      </c>
    </row>
    <row r="456" spans="1:1" x14ac:dyDescent="0.25">
      <c r="A456" t="s">
        <v>453</v>
      </c>
    </row>
    <row r="457" spans="1:1" x14ac:dyDescent="0.25">
      <c r="A457" t="s">
        <v>454</v>
      </c>
    </row>
    <row r="458" spans="1:1" x14ac:dyDescent="0.25">
      <c r="A458" t="s">
        <v>455</v>
      </c>
    </row>
    <row r="459" spans="1:1" x14ac:dyDescent="0.25">
      <c r="A459" t="s">
        <v>456</v>
      </c>
    </row>
    <row r="460" spans="1:1" x14ac:dyDescent="0.25">
      <c r="A460" t="s">
        <v>457</v>
      </c>
    </row>
    <row r="461" spans="1:1" x14ac:dyDescent="0.25">
      <c r="A461" t="s">
        <v>458</v>
      </c>
    </row>
    <row r="462" spans="1:1" x14ac:dyDescent="0.25">
      <c r="A462" t="s">
        <v>459</v>
      </c>
    </row>
    <row r="463" spans="1:1" x14ac:dyDescent="0.25">
      <c r="A463" t="s">
        <v>460</v>
      </c>
    </row>
    <row r="464" spans="1:1" x14ac:dyDescent="0.25">
      <c r="A464" t="s">
        <v>461</v>
      </c>
    </row>
    <row r="465" spans="1:1" x14ac:dyDescent="0.25">
      <c r="A465" t="s">
        <v>462</v>
      </c>
    </row>
    <row r="466" spans="1:1" x14ac:dyDescent="0.25">
      <c r="A466" t="s">
        <v>463</v>
      </c>
    </row>
    <row r="467" spans="1:1" x14ac:dyDescent="0.25">
      <c r="A467" t="s">
        <v>464</v>
      </c>
    </row>
    <row r="468" spans="1:1" x14ac:dyDescent="0.25">
      <c r="A468" t="s">
        <v>465</v>
      </c>
    </row>
    <row r="469" spans="1:1" x14ac:dyDescent="0.25">
      <c r="A469" t="s">
        <v>466</v>
      </c>
    </row>
    <row r="470" spans="1:1" x14ac:dyDescent="0.25">
      <c r="A470" t="s">
        <v>467</v>
      </c>
    </row>
    <row r="471" spans="1:1" x14ac:dyDescent="0.25">
      <c r="A471" t="s">
        <v>468</v>
      </c>
    </row>
    <row r="472" spans="1:1" x14ac:dyDescent="0.25">
      <c r="A472" t="s">
        <v>469</v>
      </c>
    </row>
    <row r="473" spans="1:1" x14ac:dyDescent="0.25">
      <c r="A473" t="s">
        <v>470</v>
      </c>
    </row>
    <row r="474" spans="1:1" x14ac:dyDescent="0.25">
      <c r="A474" t="s">
        <v>471</v>
      </c>
    </row>
    <row r="475" spans="1:1" x14ac:dyDescent="0.25">
      <c r="A475" t="s">
        <v>472</v>
      </c>
    </row>
    <row r="476" spans="1:1" x14ac:dyDescent="0.25">
      <c r="A476" t="s">
        <v>473</v>
      </c>
    </row>
    <row r="477" spans="1:1" x14ac:dyDescent="0.25">
      <c r="A477" t="s">
        <v>474</v>
      </c>
    </row>
    <row r="478" spans="1:1" x14ac:dyDescent="0.25">
      <c r="A478" t="s">
        <v>475</v>
      </c>
    </row>
    <row r="479" spans="1:1" x14ac:dyDescent="0.25">
      <c r="A479" t="s">
        <v>476</v>
      </c>
    </row>
    <row r="480" spans="1:1" x14ac:dyDescent="0.25">
      <c r="A480" t="s">
        <v>477</v>
      </c>
    </row>
    <row r="481" spans="1:1" x14ac:dyDescent="0.25">
      <c r="A481" t="s">
        <v>478</v>
      </c>
    </row>
    <row r="482" spans="1:1" x14ac:dyDescent="0.25">
      <c r="A482" t="s">
        <v>479</v>
      </c>
    </row>
    <row r="483" spans="1:1" x14ac:dyDescent="0.25">
      <c r="A483" t="s">
        <v>480</v>
      </c>
    </row>
    <row r="484" spans="1:1" x14ac:dyDescent="0.25">
      <c r="A484" t="s">
        <v>481</v>
      </c>
    </row>
    <row r="485" spans="1:1" x14ac:dyDescent="0.25">
      <c r="A485" t="s">
        <v>482</v>
      </c>
    </row>
    <row r="486" spans="1:1" x14ac:dyDescent="0.25">
      <c r="A486" t="s">
        <v>483</v>
      </c>
    </row>
    <row r="487" spans="1:1" x14ac:dyDescent="0.25">
      <c r="A487" t="s">
        <v>484</v>
      </c>
    </row>
    <row r="488" spans="1:1" x14ac:dyDescent="0.25">
      <c r="A488" t="s">
        <v>485</v>
      </c>
    </row>
    <row r="489" spans="1:1" x14ac:dyDescent="0.25">
      <c r="A489" t="s">
        <v>486</v>
      </c>
    </row>
    <row r="490" spans="1:1" x14ac:dyDescent="0.25">
      <c r="A490" t="s">
        <v>487</v>
      </c>
    </row>
    <row r="491" spans="1:1" x14ac:dyDescent="0.25">
      <c r="A491" t="s">
        <v>488</v>
      </c>
    </row>
    <row r="492" spans="1:1" x14ac:dyDescent="0.25">
      <c r="A492" t="s">
        <v>489</v>
      </c>
    </row>
    <row r="493" spans="1:1" x14ac:dyDescent="0.25">
      <c r="A493" t="s">
        <v>490</v>
      </c>
    </row>
    <row r="494" spans="1:1" x14ac:dyDescent="0.25">
      <c r="A494" t="s">
        <v>491</v>
      </c>
    </row>
    <row r="495" spans="1:1" x14ac:dyDescent="0.25">
      <c r="A495" t="s">
        <v>492</v>
      </c>
    </row>
    <row r="496" spans="1:1" x14ac:dyDescent="0.25">
      <c r="A496" t="s">
        <v>493</v>
      </c>
    </row>
    <row r="497" spans="1:1" x14ac:dyDescent="0.25">
      <c r="A497" t="s">
        <v>494</v>
      </c>
    </row>
    <row r="498" spans="1:1" x14ac:dyDescent="0.25">
      <c r="A498" t="s">
        <v>495</v>
      </c>
    </row>
    <row r="499" spans="1:1" x14ac:dyDescent="0.25">
      <c r="A499" t="s">
        <v>496</v>
      </c>
    </row>
    <row r="500" spans="1:1" x14ac:dyDescent="0.25">
      <c r="A500" t="s">
        <v>497</v>
      </c>
    </row>
    <row r="501" spans="1:1" x14ac:dyDescent="0.25">
      <c r="A501" t="s">
        <v>498</v>
      </c>
    </row>
    <row r="502" spans="1:1" x14ac:dyDescent="0.25">
      <c r="A502" t="s">
        <v>499</v>
      </c>
    </row>
    <row r="503" spans="1:1" x14ac:dyDescent="0.25">
      <c r="A503" t="s">
        <v>500</v>
      </c>
    </row>
    <row r="504" spans="1:1" x14ac:dyDescent="0.25">
      <c r="A504" t="s">
        <v>501</v>
      </c>
    </row>
    <row r="505" spans="1:1" x14ac:dyDescent="0.25">
      <c r="A505" t="s">
        <v>502</v>
      </c>
    </row>
    <row r="506" spans="1:1" x14ac:dyDescent="0.25">
      <c r="A506" t="s">
        <v>503</v>
      </c>
    </row>
    <row r="507" spans="1:1" x14ac:dyDescent="0.25">
      <c r="A507" t="s">
        <v>504</v>
      </c>
    </row>
    <row r="508" spans="1:1" x14ac:dyDescent="0.25">
      <c r="A508" t="s">
        <v>505</v>
      </c>
    </row>
    <row r="509" spans="1:1" x14ac:dyDescent="0.25">
      <c r="A509" t="s">
        <v>506</v>
      </c>
    </row>
    <row r="510" spans="1:1" x14ac:dyDescent="0.25">
      <c r="A510" t="s">
        <v>507</v>
      </c>
    </row>
    <row r="511" spans="1:1" x14ac:dyDescent="0.25">
      <c r="A511" t="s">
        <v>508</v>
      </c>
    </row>
    <row r="512" spans="1:1" x14ac:dyDescent="0.25">
      <c r="A512" t="s">
        <v>509</v>
      </c>
    </row>
    <row r="513" spans="1:1" x14ac:dyDescent="0.25">
      <c r="A513" t="s">
        <v>510</v>
      </c>
    </row>
    <row r="514" spans="1:1" x14ac:dyDescent="0.25">
      <c r="A514" t="s">
        <v>511</v>
      </c>
    </row>
    <row r="515" spans="1:1" x14ac:dyDescent="0.25">
      <c r="A515" t="s">
        <v>512</v>
      </c>
    </row>
    <row r="516" spans="1:1" x14ac:dyDescent="0.25">
      <c r="A516" t="s">
        <v>513</v>
      </c>
    </row>
    <row r="517" spans="1:1" x14ac:dyDescent="0.25">
      <c r="A517" t="s">
        <v>514</v>
      </c>
    </row>
    <row r="518" spans="1:1" x14ac:dyDescent="0.25">
      <c r="A518" t="s">
        <v>515</v>
      </c>
    </row>
    <row r="519" spans="1:1" x14ac:dyDescent="0.25">
      <c r="A519" t="s">
        <v>516</v>
      </c>
    </row>
    <row r="520" spans="1:1" x14ac:dyDescent="0.25">
      <c r="A520" t="s">
        <v>517</v>
      </c>
    </row>
    <row r="521" spans="1:1" x14ac:dyDescent="0.25">
      <c r="A521" t="s">
        <v>518</v>
      </c>
    </row>
    <row r="522" spans="1:1" x14ac:dyDescent="0.25">
      <c r="A522" t="s">
        <v>519</v>
      </c>
    </row>
    <row r="523" spans="1:1" x14ac:dyDescent="0.25">
      <c r="A523" t="s">
        <v>520</v>
      </c>
    </row>
    <row r="524" spans="1:1" x14ac:dyDescent="0.25">
      <c r="A524" t="s">
        <v>521</v>
      </c>
    </row>
    <row r="525" spans="1:1" x14ac:dyDescent="0.25">
      <c r="A525" t="s">
        <v>522</v>
      </c>
    </row>
    <row r="526" spans="1:1" x14ac:dyDescent="0.25">
      <c r="A526" t="s">
        <v>523</v>
      </c>
    </row>
    <row r="527" spans="1:1" x14ac:dyDescent="0.25">
      <c r="A527" t="s">
        <v>524</v>
      </c>
    </row>
    <row r="528" spans="1:1" x14ac:dyDescent="0.25">
      <c r="A528" t="s">
        <v>525</v>
      </c>
    </row>
    <row r="529" spans="1:1" x14ac:dyDescent="0.25">
      <c r="A529" t="s">
        <v>526</v>
      </c>
    </row>
    <row r="530" spans="1:1" x14ac:dyDescent="0.25">
      <c r="A530" t="s">
        <v>527</v>
      </c>
    </row>
    <row r="531" spans="1:1" x14ac:dyDescent="0.25">
      <c r="A531" t="s">
        <v>528</v>
      </c>
    </row>
    <row r="532" spans="1:1" x14ac:dyDescent="0.25">
      <c r="A532" t="s">
        <v>529</v>
      </c>
    </row>
    <row r="533" spans="1:1" x14ac:dyDescent="0.25">
      <c r="A533" t="s">
        <v>530</v>
      </c>
    </row>
    <row r="534" spans="1:1" x14ac:dyDescent="0.25">
      <c r="A534" t="s">
        <v>531</v>
      </c>
    </row>
    <row r="535" spans="1:1" x14ac:dyDescent="0.25">
      <c r="A535" t="s">
        <v>532</v>
      </c>
    </row>
    <row r="536" spans="1:1" x14ac:dyDescent="0.25">
      <c r="A536" t="s">
        <v>533</v>
      </c>
    </row>
    <row r="537" spans="1:1" x14ac:dyDescent="0.25">
      <c r="A537" t="s">
        <v>534</v>
      </c>
    </row>
    <row r="538" spans="1:1" x14ac:dyDescent="0.25">
      <c r="A538" t="s">
        <v>535</v>
      </c>
    </row>
    <row r="539" spans="1:1" x14ac:dyDescent="0.25">
      <c r="A539" t="s">
        <v>536</v>
      </c>
    </row>
    <row r="540" spans="1:1" x14ac:dyDescent="0.25">
      <c r="A540" t="s">
        <v>537</v>
      </c>
    </row>
    <row r="541" spans="1:1" x14ac:dyDescent="0.25">
      <c r="A541" t="s">
        <v>538</v>
      </c>
    </row>
    <row r="542" spans="1:1" x14ac:dyDescent="0.25">
      <c r="A542" t="s">
        <v>539</v>
      </c>
    </row>
    <row r="543" spans="1:1" x14ac:dyDescent="0.25">
      <c r="A543" t="s">
        <v>540</v>
      </c>
    </row>
    <row r="544" spans="1:1" x14ac:dyDescent="0.25">
      <c r="A544" t="s">
        <v>541</v>
      </c>
    </row>
    <row r="545" spans="1:1" x14ac:dyDescent="0.25">
      <c r="A545" t="s">
        <v>542</v>
      </c>
    </row>
    <row r="546" spans="1:1" x14ac:dyDescent="0.25">
      <c r="A546" t="s">
        <v>543</v>
      </c>
    </row>
    <row r="547" spans="1:1" x14ac:dyDescent="0.25">
      <c r="A547" t="s">
        <v>544</v>
      </c>
    </row>
    <row r="548" spans="1:1" x14ac:dyDescent="0.25">
      <c r="A548" t="s">
        <v>545</v>
      </c>
    </row>
    <row r="549" spans="1:1" x14ac:dyDescent="0.25">
      <c r="A549" t="s">
        <v>546</v>
      </c>
    </row>
    <row r="550" spans="1:1" x14ac:dyDescent="0.25">
      <c r="A550" t="s">
        <v>547</v>
      </c>
    </row>
    <row r="551" spans="1:1" x14ac:dyDescent="0.25">
      <c r="A551" t="s">
        <v>548</v>
      </c>
    </row>
    <row r="552" spans="1:1" x14ac:dyDescent="0.25">
      <c r="A552" t="s">
        <v>549</v>
      </c>
    </row>
    <row r="553" spans="1:1" x14ac:dyDescent="0.25">
      <c r="A553" t="s">
        <v>550</v>
      </c>
    </row>
    <row r="554" spans="1:1" x14ac:dyDescent="0.25">
      <c r="A554" t="s">
        <v>551</v>
      </c>
    </row>
    <row r="555" spans="1:1" x14ac:dyDescent="0.25">
      <c r="A555" t="s">
        <v>552</v>
      </c>
    </row>
    <row r="556" spans="1:1" x14ac:dyDescent="0.25">
      <c r="A556" t="s">
        <v>553</v>
      </c>
    </row>
    <row r="557" spans="1:1" x14ac:dyDescent="0.25">
      <c r="A557" t="s">
        <v>554</v>
      </c>
    </row>
    <row r="558" spans="1:1" x14ac:dyDescent="0.25">
      <c r="A558" t="s">
        <v>555</v>
      </c>
    </row>
    <row r="559" spans="1:1" x14ac:dyDescent="0.25">
      <c r="A559" t="s">
        <v>556</v>
      </c>
    </row>
    <row r="560" spans="1:1" x14ac:dyDescent="0.25">
      <c r="A560" t="s">
        <v>557</v>
      </c>
    </row>
    <row r="561" spans="1:1" x14ac:dyDescent="0.25">
      <c r="A561" t="s">
        <v>558</v>
      </c>
    </row>
    <row r="562" spans="1:1" x14ac:dyDescent="0.25">
      <c r="A562" t="s">
        <v>559</v>
      </c>
    </row>
    <row r="563" spans="1:1" x14ac:dyDescent="0.25">
      <c r="A563" t="s">
        <v>560</v>
      </c>
    </row>
    <row r="564" spans="1:1" x14ac:dyDescent="0.25">
      <c r="A564" t="s">
        <v>561</v>
      </c>
    </row>
    <row r="565" spans="1:1" x14ac:dyDescent="0.25">
      <c r="A565" t="s">
        <v>562</v>
      </c>
    </row>
    <row r="566" spans="1:1" x14ac:dyDescent="0.25">
      <c r="A566" t="s">
        <v>563</v>
      </c>
    </row>
    <row r="567" spans="1:1" x14ac:dyDescent="0.25">
      <c r="A567" t="s">
        <v>564</v>
      </c>
    </row>
    <row r="568" spans="1:1" x14ac:dyDescent="0.25">
      <c r="A568" t="s">
        <v>565</v>
      </c>
    </row>
    <row r="569" spans="1:1" x14ac:dyDescent="0.25">
      <c r="A569" t="s">
        <v>566</v>
      </c>
    </row>
    <row r="570" spans="1:1" x14ac:dyDescent="0.25">
      <c r="A570" t="s">
        <v>567</v>
      </c>
    </row>
    <row r="571" spans="1:1" x14ac:dyDescent="0.25">
      <c r="A571" t="s">
        <v>568</v>
      </c>
    </row>
    <row r="572" spans="1:1" x14ac:dyDescent="0.25">
      <c r="A572" t="s">
        <v>569</v>
      </c>
    </row>
    <row r="573" spans="1:1" x14ac:dyDescent="0.25">
      <c r="A573" t="s">
        <v>570</v>
      </c>
    </row>
    <row r="574" spans="1:1" x14ac:dyDescent="0.25">
      <c r="A574" t="s">
        <v>571</v>
      </c>
    </row>
    <row r="575" spans="1:1" x14ac:dyDescent="0.25">
      <c r="A575" t="s">
        <v>572</v>
      </c>
    </row>
    <row r="576" spans="1:1" x14ac:dyDescent="0.25">
      <c r="A576" t="s">
        <v>573</v>
      </c>
    </row>
    <row r="577" spans="1:1" x14ac:dyDescent="0.25">
      <c r="A577" t="s">
        <v>574</v>
      </c>
    </row>
    <row r="578" spans="1:1" x14ac:dyDescent="0.25">
      <c r="A578" t="s">
        <v>575</v>
      </c>
    </row>
    <row r="579" spans="1:1" x14ac:dyDescent="0.25">
      <c r="A579" t="s">
        <v>576</v>
      </c>
    </row>
    <row r="580" spans="1:1" x14ac:dyDescent="0.25">
      <c r="A580" t="s">
        <v>577</v>
      </c>
    </row>
    <row r="581" spans="1:1" x14ac:dyDescent="0.25">
      <c r="A581" t="s">
        <v>578</v>
      </c>
    </row>
    <row r="582" spans="1:1" x14ac:dyDescent="0.25">
      <c r="A582" t="s">
        <v>579</v>
      </c>
    </row>
    <row r="583" spans="1:1" x14ac:dyDescent="0.25">
      <c r="A583" t="s">
        <v>580</v>
      </c>
    </row>
    <row r="584" spans="1:1" x14ac:dyDescent="0.25">
      <c r="A584" t="s">
        <v>581</v>
      </c>
    </row>
    <row r="585" spans="1:1" x14ac:dyDescent="0.25">
      <c r="A585" t="s">
        <v>582</v>
      </c>
    </row>
    <row r="586" spans="1:1" x14ac:dyDescent="0.25">
      <c r="A586" t="s">
        <v>583</v>
      </c>
    </row>
    <row r="587" spans="1:1" x14ac:dyDescent="0.25">
      <c r="A587" t="s">
        <v>584</v>
      </c>
    </row>
    <row r="588" spans="1:1" x14ac:dyDescent="0.25">
      <c r="A588" t="s">
        <v>585</v>
      </c>
    </row>
    <row r="589" spans="1:1" x14ac:dyDescent="0.25">
      <c r="A589" t="s">
        <v>586</v>
      </c>
    </row>
    <row r="590" spans="1:1" x14ac:dyDescent="0.25">
      <c r="A590" t="s">
        <v>587</v>
      </c>
    </row>
    <row r="591" spans="1:1" x14ac:dyDescent="0.25">
      <c r="A591" t="s">
        <v>588</v>
      </c>
    </row>
    <row r="592" spans="1:1" x14ac:dyDescent="0.25">
      <c r="A592" t="s">
        <v>589</v>
      </c>
    </row>
    <row r="593" spans="1:1" x14ac:dyDescent="0.25">
      <c r="A593" t="s">
        <v>590</v>
      </c>
    </row>
    <row r="594" spans="1:1" x14ac:dyDescent="0.25">
      <c r="A594" t="s">
        <v>591</v>
      </c>
    </row>
    <row r="595" spans="1:1" x14ac:dyDescent="0.25">
      <c r="A595" t="s">
        <v>592</v>
      </c>
    </row>
    <row r="596" spans="1:1" x14ac:dyDescent="0.25">
      <c r="A596" t="s">
        <v>593</v>
      </c>
    </row>
    <row r="597" spans="1:1" x14ac:dyDescent="0.25">
      <c r="A597" t="s">
        <v>594</v>
      </c>
    </row>
    <row r="598" spans="1:1" x14ac:dyDescent="0.25">
      <c r="A598" t="s">
        <v>595</v>
      </c>
    </row>
    <row r="599" spans="1:1" x14ac:dyDescent="0.25">
      <c r="A599" t="s">
        <v>596</v>
      </c>
    </row>
    <row r="600" spans="1:1" x14ac:dyDescent="0.25">
      <c r="A600" t="s">
        <v>597</v>
      </c>
    </row>
    <row r="601" spans="1:1" x14ac:dyDescent="0.25">
      <c r="A601" t="s">
        <v>598</v>
      </c>
    </row>
    <row r="602" spans="1:1" x14ac:dyDescent="0.25">
      <c r="A602" t="s">
        <v>599</v>
      </c>
    </row>
    <row r="603" spans="1:1" x14ac:dyDescent="0.25">
      <c r="A603" t="s">
        <v>600</v>
      </c>
    </row>
    <row r="604" spans="1:1" x14ac:dyDescent="0.25">
      <c r="A604" t="s">
        <v>601</v>
      </c>
    </row>
    <row r="605" spans="1:1" x14ac:dyDescent="0.25">
      <c r="A605" t="s">
        <v>602</v>
      </c>
    </row>
    <row r="606" spans="1:1" x14ac:dyDescent="0.25">
      <c r="A606" t="s">
        <v>603</v>
      </c>
    </row>
    <row r="607" spans="1:1" x14ac:dyDescent="0.25">
      <c r="A607" t="s">
        <v>604</v>
      </c>
    </row>
    <row r="608" spans="1:1" x14ac:dyDescent="0.25">
      <c r="A608" t="s">
        <v>605</v>
      </c>
    </row>
    <row r="609" spans="1:1" x14ac:dyDescent="0.25">
      <c r="A609" t="s">
        <v>606</v>
      </c>
    </row>
    <row r="610" spans="1:1" x14ac:dyDescent="0.25">
      <c r="A610" t="s">
        <v>607</v>
      </c>
    </row>
    <row r="611" spans="1:1" x14ac:dyDescent="0.25">
      <c r="A611" t="s">
        <v>608</v>
      </c>
    </row>
    <row r="612" spans="1:1" x14ac:dyDescent="0.25">
      <c r="A612" t="s">
        <v>609</v>
      </c>
    </row>
    <row r="613" spans="1:1" x14ac:dyDescent="0.25">
      <c r="A613" t="s">
        <v>610</v>
      </c>
    </row>
    <row r="614" spans="1:1" x14ac:dyDescent="0.25">
      <c r="A614" t="s">
        <v>611</v>
      </c>
    </row>
    <row r="615" spans="1:1" x14ac:dyDescent="0.25">
      <c r="A615" t="s">
        <v>612</v>
      </c>
    </row>
    <row r="616" spans="1:1" x14ac:dyDescent="0.25">
      <c r="A616" t="s">
        <v>613</v>
      </c>
    </row>
    <row r="617" spans="1:1" x14ac:dyDescent="0.25">
      <c r="A617" t="s">
        <v>614</v>
      </c>
    </row>
    <row r="618" spans="1:1" x14ac:dyDescent="0.25">
      <c r="A618" t="s">
        <v>615</v>
      </c>
    </row>
    <row r="619" spans="1:1" x14ac:dyDescent="0.25">
      <c r="A619" t="s">
        <v>616</v>
      </c>
    </row>
    <row r="620" spans="1:1" x14ac:dyDescent="0.25">
      <c r="A620" t="s">
        <v>617</v>
      </c>
    </row>
    <row r="621" spans="1:1" x14ac:dyDescent="0.25">
      <c r="A621" t="s">
        <v>618</v>
      </c>
    </row>
    <row r="622" spans="1:1" x14ac:dyDescent="0.25">
      <c r="A622" t="s">
        <v>619</v>
      </c>
    </row>
    <row r="623" spans="1:1" x14ac:dyDescent="0.25">
      <c r="A623" t="s">
        <v>620</v>
      </c>
    </row>
    <row r="624" spans="1:1" x14ac:dyDescent="0.25">
      <c r="A624" t="s">
        <v>621</v>
      </c>
    </row>
    <row r="625" spans="1:1" x14ac:dyDescent="0.25">
      <c r="A625" t="s">
        <v>622</v>
      </c>
    </row>
    <row r="626" spans="1:1" x14ac:dyDescent="0.25">
      <c r="A626" t="s">
        <v>623</v>
      </c>
    </row>
    <row r="627" spans="1:1" x14ac:dyDescent="0.25">
      <c r="A627" t="s">
        <v>624</v>
      </c>
    </row>
    <row r="628" spans="1:1" x14ac:dyDescent="0.25">
      <c r="A628" t="s">
        <v>625</v>
      </c>
    </row>
    <row r="629" spans="1:1" x14ac:dyDescent="0.25">
      <c r="A629" t="s">
        <v>626</v>
      </c>
    </row>
    <row r="630" spans="1:1" x14ac:dyDescent="0.25">
      <c r="A630" t="s">
        <v>627</v>
      </c>
    </row>
    <row r="631" spans="1:1" x14ac:dyDescent="0.25">
      <c r="A631" t="s">
        <v>628</v>
      </c>
    </row>
    <row r="632" spans="1:1" x14ac:dyDescent="0.25">
      <c r="A632" t="s">
        <v>629</v>
      </c>
    </row>
    <row r="633" spans="1:1" x14ac:dyDescent="0.25">
      <c r="A633" t="s">
        <v>630</v>
      </c>
    </row>
    <row r="634" spans="1:1" x14ac:dyDescent="0.25">
      <c r="A634" t="s">
        <v>631</v>
      </c>
    </row>
    <row r="635" spans="1:1" x14ac:dyDescent="0.25">
      <c r="A635" t="s">
        <v>632</v>
      </c>
    </row>
    <row r="636" spans="1:1" x14ac:dyDescent="0.25">
      <c r="A636" t="s">
        <v>633</v>
      </c>
    </row>
    <row r="637" spans="1:1" x14ac:dyDescent="0.25">
      <c r="A637" t="s">
        <v>634</v>
      </c>
    </row>
    <row r="638" spans="1:1" x14ac:dyDescent="0.25">
      <c r="A638" t="s">
        <v>635</v>
      </c>
    </row>
    <row r="639" spans="1:1" x14ac:dyDescent="0.25">
      <c r="A639" t="s">
        <v>636</v>
      </c>
    </row>
    <row r="640" spans="1:1" x14ac:dyDescent="0.25">
      <c r="A640" t="s">
        <v>637</v>
      </c>
    </row>
    <row r="641" spans="1:1" x14ac:dyDescent="0.25">
      <c r="A641" t="s">
        <v>638</v>
      </c>
    </row>
    <row r="642" spans="1:1" x14ac:dyDescent="0.25">
      <c r="A642" t="s">
        <v>639</v>
      </c>
    </row>
    <row r="643" spans="1:1" x14ac:dyDescent="0.25">
      <c r="A643" t="s">
        <v>640</v>
      </c>
    </row>
    <row r="644" spans="1:1" x14ac:dyDescent="0.25">
      <c r="A644" t="s">
        <v>641</v>
      </c>
    </row>
    <row r="645" spans="1:1" x14ac:dyDescent="0.25">
      <c r="A645" t="s">
        <v>642</v>
      </c>
    </row>
    <row r="646" spans="1:1" x14ac:dyDescent="0.25">
      <c r="A646" t="s">
        <v>643</v>
      </c>
    </row>
    <row r="647" spans="1:1" x14ac:dyDescent="0.25">
      <c r="A647" t="s">
        <v>644</v>
      </c>
    </row>
    <row r="648" spans="1:1" x14ac:dyDescent="0.25">
      <c r="A648" t="s">
        <v>645</v>
      </c>
    </row>
    <row r="649" spans="1:1" x14ac:dyDescent="0.25">
      <c r="A649" t="s">
        <v>646</v>
      </c>
    </row>
    <row r="650" spans="1:1" x14ac:dyDescent="0.25">
      <c r="A650" t="s">
        <v>647</v>
      </c>
    </row>
    <row r="651" spans="1:1" x14ac:dyDescent="0.25">
      <c r="A651" t="s">
        <v>648</v>
      </c>
    </row>
    <row r="652" spans="1:1" x14ac:dyDescent="0.25">
      <c r="A652" t="s">
        <v>649</v>
      </c>
    </row>
    <row r="653" spans="1:1" x14ac:dyDescent="0.25">
      <c r="A653" t="s">
        <v>650</v>
      </c>
    </row>
    <row r="654" spans="1:1" x14ac:dyDescent="0.25">
      <c r="A654" t="s">
        <v>651</v>
      </c>
    </row>
    <row r="655" spans="1:1" x14ac:dyDescent="0.25">
      <c r="A655" t="s">
        <v>652</v>
      </c>
    </row>
    <row r="656" spans="1:1" x14ac:dyDescent="0.25">
      <c r="A656" t="s">
        <v>653</v>
      </c>
    </row>
    <row r="657" spans="1:1" x14ac:dyDescent="0.25">
      <c r="A657" t="s">
        <v>654</v>
      </c>
    </row>
    <row r="658" spans="1:1" x14ac:dyDescent="0.25">
      <c r="A658" t="s">
        <v>655</v>
      </c>
    </row>
    <row r="659" spans="1:1" x14ac:dyDescent="0.25">
      <c r="A659" t="s">
        <v>656</v>
      </c>
    </row>
    <row r="660" spans="1:1" x14ac:dyDescent="0.25">
      <c r="A660" t="s">
        <v>657</v>
      </c>
    </row>
    <row r="661" spans="1:1" x14ac:dyDescent="0.25">
      <c r="A661" t="s">
        <v>658</v>
      </c>
    </row>
    <row r="662" spans="1:1" x14ac:dyDescent="0.25">
      <c r="A662" t="s">
        <v>659</v>
      </c>
    </row>
    <row r="663" spans="1:1" x14ac:dyDescent="0.25">
      <c r="A663" t="s">
        <v>660</v>
      </c>
    </row>
    <row r="664" spans="1:1" x14ac:dyDescent="0.25">
      <c r="A664" t="s">
        <v>661</v>
      </c>
    </row>
    <row r="665" spans="1:1" x14ac:dyDescent="0.25">
      <c r="A665" t="s">
        <v>662</v>
      </c>
    </row>
    <row r="666" spans="1:1" x14ac:dyDescent="0.25">
      <c r="A666" t="s">
        <v>663</v>
      </c>
    </row>
    <row r="667" spans="1:1" x14ac:dyDescent="0.25">
      <c r="A667" t="s">
        <v>664</v>
      </c>
    </row>
    <row r="668" spans="1:1" x14ac:dyDescent="0.25">
      <c r="A668" t="s">
        <v>665</v>
      </c>
    </row>
    <row r="669" spans="1:1" x14ac:dyDescent="0.25">
      <c r="A669" t="s">
        <v>666</v>
      </c>
    </row>
    <row r="670" spans="1:1" x14ac:dyDescent="0.25">
      <c r="A670" t="s">
        <v>667</v>
      </c>
    </row>
    <row r="671" spans="1:1" x14ac:dyDescent="0.25">
      <c r="A671" t="s">
        <v>668</v>
      </c>
    </row>
    <row r="672" spans="1:1" x14ac:dyDescent="0.25">
      <c r="A672" t="s">
        <v>669</v>
      </c>
    </row>
    <row r="673" spans="1:1" x14ac:dyDescent="0.25">
      <c r="A673" t="s">
        <v>670</v>
      </c>
    </row>
    <row r="674" spans="1:1" x14ac:dyDescent="0.25">
      <c r="A674" t="s">
        <v>671</v>
      </c>
    </row>
    <row r="675" spans="1:1" x14ac:dyDescent="0.25">
      <c r="A675" t="s">
        <v>672</v>
      </c>
    </row>
    <row r="676" spans="1:1" x14ac:dyDescent="0.25">
      <c r="A676" t="s">
        <v>673</v>
      </c>
    </row>
    <row r="677" spans="1:1" x14ac:dyDescent="0.25">
      <c r="A677" t="s">
        <v>674</v>
      </c>
    </row>
    <row r="678" spans="1:1" x14ac:dyDescent="0.25">
      <c r="A678" t="s">
        <v>675</v>
      </c>
    </row>
    <row r="679" spans="1:1" x14ac:dyDescent="0.25">
      <c r="A679" t="s">
        <v>676</v>
      </c>
    </row>
    <row r="680" spans="1:1" x14ac:dyDescent="0.25">
      <c r="A680" t="s">
        <v>677</v>
      </c>
    </row>
    <row r="681" spans="1:1" x14ac:dyDescent="0.25">
      <c r="A681" t="s">
        <v>678</v>
      </c>
    </row>
    <row r="682" spans="1:1" x14ac:dyDescent="0.25">
      <c r="A682" t="s">
        <v>679</v>
      </c>
    </row>
    <row r="683" spans="1:1" x14ac:dyDescent="0.25">
      <c r="A683" t="s">
        <v>680</v>
      </c>
    </row>
    <row r="684" spans="1:1" x14ac:dyDescent="0.25">
      <c r="A684" t="s">
        <v>681</v>
      </c>
    </row>
    <row r="685" spans="1:1" x14ac:dyDescent="0.25">
      <c r="A685" t="s">
        <v>682</v>
      </c>
    </row>
    <row r="686" spans="1:1" x14ac:dyDescent="0.25">
      <c r="A686" t="s">
        <v>683</v>
      </c>
    </row>
    <row r="687" spans="1:1" x14ac:dyDescent="0.25">
      <c r="A687" t="s">
        <v>684</v>
      </c>
    </row>
    <row r="688" spans="1:1" x14ac:dyDescent="0.25">
      <c r="A688" t="s">
        <v>685</v>
      </c>
    </row>
    <row r="689" spans="1:1" x14ac:dyDescent="0.25">
      <c r="A689" t="s">
        <v>686</v>
      </c>
    </row>
    <row r="690" spans="1:1" x14ac:dyDescent="0.25">
      <c r="A690" t="s">
        <v>687</v>
      </c>
    </row>
    <row r="691" spans="1:1" x14ac:dyDescent="0.25">
      <c r="A691" t="s">
        <v>688</v>
      </c>
    </row>
    <row r="692" spans="1:1" x14ac:dyDescent="0.25">
      <c r="A692" t="s">
        <v>689</v>
      </c>
    </row>
    <row r="693" spans="1:1" x14ac:dyDescent="0.25">
      <c r="A693" t="s">
        <v>690</v>
      </c>
    </row>
    <row r="694" spans="1:1" x14ac:dyDescent="0.25">
      <c r="A694" t="s">
        <v>691</v>
      </c>
    </row>
    <row r="695" spans="1:1" x14ac:dyDescent="0.25">
      <c r="A695" t="s">
        <v>692</v>
      </c>
    </row>
    <row r="696" spans="1:1" x14ac:dyDescent="0.25">
      <c r="A696" t="s">
        <v>693</v>
      </c>
    </row>
    <row r="697" spans="1:1" x14ac:dyDescent="0.25">
      <c r="A697" t="s">
        <v>694</v>
      </c>
    </row>
    <row r="698" spans="1:1" x14ac:dyDescent="0.25">
      <c r="A698" t="s">
        <v>695</v>
      </c>
    </row>
    <row r="699" spans="1:1" x14ac:dyDescent="0.25">
      <c r="A699" t="s">
        <v>696</v>
      </c>
    </row>
    <row r="700" spans="1:1" x14ac:dyDescent="0.25">
      <c r="A700" t="s">
        <v>697</v>
      </c>
    </row>
    <row r="701" spans="1:1" x14ac:dyDescent="0.25">
      <c r="A701" t="s">
        <v>698</v>
      </c>
    </row>
    <row r="702" spans="1:1" x14ac:dyDescent="0.25">
      <c r="A702" t="s">
        <v>699</v>
      </c>
    </row>
    <row r="703" spans="1:1" x14ac:dyDescent="0.25">
      <c r="A703" t="s">
        <v>700</v>
      </c>
    </row>
    <row r="704" spans="1:1" x14ac:dyDescent="0.25">
      <c r="A704" t="s">
        <v>701</v>
      </c>
    </row>
    <row r="705" spans="1:1" x14ac:dyDescent="0.25">
      <c r="A705" t="s">
        <v>702</v>
      </c>
    </row>
    <row r="706" spans="1:1" x14ac:dyDescent="0.25">
      <c r="A706" t="s">
        <v>703</v>
      </c>
    </row>
    <row r="707" spans="1:1" x14ac:dyDescent="0.25">
      <c r="A707" t="s">
        <v>704</v>
      </c>
    </row>
    <row r="708" spans="1:1" x14ac:dyDescent="0.25">
      <c r="A708" t="s">
        <v>705</v>
      </c>
    </row>
    <row r="709" spans="1:1" x14ac:dyDescent="0.25">
      <c r="A709" t="s">
        <v>706</v>
      </c>
    </row>
    <row r="710" spans="1:1" x14ac:dyDescent="0.25">
      <c r="A710" t="s">
        <v>707</v>
      </c>
    </row>
    <row r="711" spans="1:1" x14ac:dyDescent="0.25">
      <c r="A711" t="s">
        <v>708</v>
      </c>
    </row>
    <row r="712" spans="1:1" x14ac:dyDescent="0.25">
      <c r="A712" t="s">
        <v>709</v>
      </c>
    </row>
    <row r="713" spans="1:1" x14ac:dyDescent="0.25">
      <c r="A713" t="s">
        <v>710</v>
      </c>
    </row>
    <row r="714" spans="1:1" x14ac:dyDescent="0.25">
      <c r="A714" t="s">
        <v>711</v>
      </c>
    </row>
    <row r="715" spans="1:1" x14ac:dyDescent="0.25">
      <c r="A715" t="s">
        <v>712</v>
      </c>
    </row>
    <row r="716" spans="1:1" x14ac:dyDescent="0.25">
      <c r="A716" t="s">
        <v>713</v>
      </c>
    </row>
    <row r="717" spans="1:1" x14ac:dyDescent="0.25">
      <c r="A717" t="s">
        <v>714</v>
      </c>
    </row>
    <row r="718" spans="1:1" x14ac:dyDescent="0.25">
      <c r="A718" t="s">
        <v>715</v>
      </c>
    </row>
    <row r="719" spans="1:1" x14ac:dyDescent="0.25">
      <c r="A719" t="s">
        <v>716</v>
      </c>
    </row>
    <row r="720" spans="1:1" x14ac:dyDescent="0.25">
      <c r="A720" t="s">
        <v>717</v>
      </c>
    </row>
    <row r="721" spans="1:1" x14ac:dyDescent="0.25">
      <c r="A721" t="s">
        <v>718</v>
      </c>
    </row>
    <row r="722" spans="1:1" x14ac:dyDescent="0.25">
      <c r="A722" t="s">
        <v>719</v>
      </c>
    </row>
    <row r="723" spans="1:1" x14ac:dyDescent="0.25">
      <c r="A723" t="s">
        <v>720</v>
      </c>
    </row>
    <row r="724" spans="1:1" x14ac:dyDescent="0.25">
      <c r="A724" t="s">
        <v>721</v>
      </c>
    </row>
    <row r="725" spans="1:1" x14ac:dyDescent="0.25">
      <c r="A725" t="s">
        <v>722</v>
      </c>
    </row>
    <row r="726" spans="1:1" x14ac:dyDescent="0.25">
      <c r="A726" t="s">
        <v>723</v>
      </c>
    </row>
    <row r="727" spans="1:1" x14ac:dyDescent="0.25">
      <c r="A727" t="s">
        <v>724</v>
      </c>
    </row>
    <row r="728" spans="1:1" x14ac:dyDescent="0.25">
      <c r="A728" t="s">
        <v>725</v>
      </c>
    </row>
    <row r="729" spans="1:1" x14ac:dyDescent="0.25">
      <c r="A729" t="s">
        <v>726</v>
      </c>
    </row>
    <row r="730" spans="1:1" x14ac:dyDescent="0.25">
      <c r="A730" t="s">
        <v>727</v>
      </c>
    </row>
    <row r="731" spans="1:1" x14ac:dyDescent="0.25">
      <c r="A731" t="s">
        <v>728</v>
      </c>
    </row>
    <row r="732" spans="1:1" x14ac:dyDescent="0.25">
      <c r="A732" t="s">
        <v>729</v>
      </c>
    </row>
    <row r="733" spans="1:1" x14ac:dyDescent="0.25">
      <c r="A733" t="s">
        <v>730</v>
      </c>
    </row>
    <row r="734" spans="1:1" x14ac:dyDescent="0.25">
      <c r="A734" t="s">
        <v>731</v>
      </c>
    </row>
    <row r="735" spans="1:1" x14ac:dyDescent="0.25">
      <c r="A735" t="s">
        <v>732</v>
      </c>
    </row>
    <row r="736" spans="1:1" x14ac:dyDescent="0.25">
      <c r="A736" t="s">
        <v>733</v>
      </c>
    </row>
    <row r="737" spans="1:1" x14ac:dyDescent="0.25">
      <c r="A737" t="s">
        <v>734</v>
      </c>
    </row>
    <row r="738" spans="1:1" x14ac:dyDescent="0.25">
      <c r="A738" t="s">
        <v>735</v>
      </c>
    </row>
    <row r="739" spans="1:1" x14ac:dyDescent="0.25">
      <c r="A739" t="s">
        <v>736</v>
      </c>
    </row>
    <row r="740" spans="1:1" x14ac:dyDescent="0.25">
      <c r="A740" t="s">
        <v>737</v>
      </c>
    </row>
    <row r="741" spans="1:1" x14ac:dyDescent="0.25">
      <c r="A741" t="s">
        <v>738</v>
      </c>
    </row>
    <row r="742" spans="1:1" x14ac:dyDescent="0.25">
      <c r="A742" t="s">
        <v>739</v>
      </c>
    </row>
    <row r="743" spans="1:1" x14ac:dyDescent="0.25">
      <c r="A743" t="s">
        <v>740</v>
      </c>
    </row>
    <row r="744" spans="1:1" x14ac:dyDescent="0.25">
      <c r="A744" t="s">
        <v>741</v>
      </c>
    </row>
    <row r="745" spans="1:1" x14ac:dyDescent="0.25">
      <c r="A745" t="s">
        <v>742</v>
      </c>
    </row>
    <row r="746" spans="1:1" x14ac:dyDescent="0.25">
      <c r="A746" t="s">
        <v>743</v>
      </c>
    </row>
    <row r="747" spans="1:1" x14ac:dyDescent="0.25">
      <c r="A747" t="s">
        <v>744</v>
      </c>
    </row>
    <row r="748" spans="1:1" x14ac:dyDescent="0.25">
      <c r="A748" t="s">
        <v>745</v>
      </c>
    </row>
    <row r="749" spans="1:1" x14ac:dyDescent="0.25">
      <c r="A749" t="s">
        <v>746</v>
      </c>
    </row>
    <row r="750" spans="1:1" x14ac:dyDescent="0.25">
      <c r="A750" t="s">
        <v>747</v>
      </c>
    </row>
    <row r="751" spans="1:1" x14ac:dyDescent="0.25">
      <c r="A751" t="s">
        <v>748</v>
      </c>
    </row>
    <row r="752" spans="1:1" x14ac:dyDescent="0.25">
      <c r="A752" t="s">
        <v>749</v>
      </c>
    </row>
    <row r="753" spans="1:1" x14ac:dyDescent="0.25">
      <c r="A753" t="s">
        <v>750</v>
      </c>
    </row>
    <row r="754" spans="1:1" x14ac:dyDescent="0.25">
      <c r="A754" t="s">
        <v>751</v>
      </c>
    </row>
    <row r="755" spans="1:1" x14ac:dyDescent="0.25">
      <c r="A755" t="s">
        <v>752</v>
      </c>
    </row>
    <row r="756" spans="1:1" x14ac:dyDescent="0.25">
      <c r="A756" t="s">
        <v>753</v>
      </c>
    </row>
    <row r="757" spans="1:1" x14ac:dyDescent="0.25">
      <c r="A757" t="s">
        <v>754</v>
      </c>
    </row>
    <row r="758" spans="1:1" x14ac:dyDescent="0.25">
      <c r="A758" t="s">
        <v>755</v>
      </c>
    </row>
    <row r="759" spans="1:1" x14ac:dyDescent="0.25">
      <c r="A759" t="s">
        <v>756</v>
      </c>
    </row>
    <row r="760" spans="1:1" x14ac:dyDescent="0.25">
      <c r="A760" t="s">
        <v>757</v>
      </c>
    </row>
    <row r="761" spans="1:1" x14ac:dyDescent="0.25">
      <c r="A761" t="s">
        <v>758</v>
      </c>
    </row>
    <row r="762" spans="1:1" x14ac:dyDescent="0.25">
      <c r="A762" t="s">
        <v>759</v>
      </c>
    </row>
    <row r="763" spans="1:1" x14ac:dyDescent="0.25">
      <c r="A763" t="s">
        <v>760</v>
      </c>
    </row>
    <row r="764" spans="1:1" x14ac:dyDescent="0.25">
      <c r="A764" t="s">
        <v>761</v>
      </c>
    </row>
    <row r="765" spans="1:1" x14ac:dyDescent="0.25">
      <c r="A765" t="s">
        <v>762</v>
      </c>
    </row>
    <row r="766" spans="1:1" x14ac:dyDescent="0.25">
      <c r="A766" t="s">
        <v>763</v>
      </c>
    </row>
    <row r="767" spans="1:1" x14ac:dyDescent="0.25">
      <c r="A767" t="s">
        <v>764</v>
      </c>
    </row>
    <row r="768" spans="1:1" x14ac:dyDescent="0.25">
      <c r="A768" t="s">
        <v>765</v>
      </c>
    </row>
    <row r="769" spans="1:1" x14ac:dyDescent="0.25">
      <c r="A769" t="s">
        <v>766</v>
      </c>
    </row>
    <row r="770" spans="1:1" x14ac:dyDescent="0.25">
      <c r="A770" t="s">
        <v>767</v>
      </c>
    </row>
    <row r="771" spans="1:1" x14ac:dyDescent="0.25">
      <c r="A771" t="s">
        <v>768</v>
      </c>
    </row>
    <row r="772" spans="1:1" x14ac:dyDescent="0.25">
      <c r="A772" t="s">
        <v>769</v>
      </c>
    </row>
    <row r="773" spans="1:1" x14ac:dyDescent="0.25">
      <c r="A773" t="s">
        <v>770</v>
      </c>
    </row>
    <row r="774" spans="1:1" x14ac:dyDescent="0.25">
      <c r="A774" t="s">
        <v>771</v>
      </c>
    </row>
    <row r="775" spans="1:1" x14ac:dyDescent="0.25">
      <c r="A775" t="s">
        <v>772</v>
      </c>
    </row>
    <row r="776" spans="1:1" x14ac:dyDescent="0.25">
      <c r="A776" t="s">
        <v>773</v>
      </c>
    </row>
    <row r="777" spans="1:1" x14ac:dyDescent="0.25">
      <c r="A777" t="s">
        <v>774</v>
      </c>
    </row>
    <row r="778" spans="1:1" x14ac:dyDescent="0.25">
      <c r="A778" t="s">
        <v>775</v>
      </c>
    </row>
    <row r="779" spans="1:1" x14ac:dyDescent="0.25">
      <c r="A779" t="s">
        <v>776</v>
      </c>
    </row>
    <row r="780" spans="1:1" x14ac:dyDescent="0.25">
      <c r="A780" t="s">
        <v>777</v>
      </c>
    </row>
    <row r="781" spans="1:1" x14ac:dyDescent="0.25">
      <c r="A781" t="s">
        <v>778</v>
      </c>
    </row>
    <row r="782" spans="1:1" x14ac:dyDescent="0.25">
      <c r="A782" t="s">
        <v>779</v>
      </c>
    </row>
    <row r="783" spans="1:1" x14ac:dyDescent="0.25">
      <c r="A783" t="s">
        <v>780</v>
      </c>
    </row>
    <row r="784" spans="1:1" x14ac:dyDescent="0.25">
      <c r="A784" t="s">
        <v>781</v>
      </c>
    </row>
    <row r="785" spans="1:1" x14ac:dyDescent="0.25">
      <c r="A785" t="s">
        <v>782</v>
      </c>
    </row>
    <row r="786" spans="1:1" x14ac:dyDescent="0.25">
      <c r="A786" t="s">
        <v>783</v>
      </c>
    </row>
    <row r="787" spans="1:1" x14ac:dyDescent="0.25">
      <c r="A787" t="s">
        <v>784</v>
      </c>
    </row>
    <row r="788" spans="1:1" x14ac:dyDescent="0.25">
      <c r="A788" t="s">
        <v>785</v>
      </c>
    </row>
    <row r="789" spans="1:1" x14ac:dyDescent="0.25">
      <c r="A789" t="s">
        <v>786</v>
      </c>
    </row>
    <row r="790" spans="1:1" x14ac:dyDescent="0.25">
      <c r="A790" t="s">
        <v>787</v>
      </c>
    </row>
    <row r="791" spans="1:1" x14ac:dyDescent="0.25">
      <c r="A791" t="s">
        <v>788</v>
      </c>
    </row>
    <row r="792" spans="1:1" x14ac:dyDescent="0.25">
      <c r="A792" t="s">
        <v>789</v>
      </c>
    </row>
    <row r="793" spans="1:1" x14ac:dyDescent="0.25">
      <c r="A793" t="s">
        <v>790</v>
      </c>
    </row>
    <row r="794" spans="1:1" x14ac:dyDescent="0.25">
      <c r="A794" t="s">
        <v>791</v>
      </c>
    </row>
    <row r="795" spans="1:1" x14ac:dyDescent="0.25">
      <c r="A795" t="s">
        <v>792</v>
      </c>
    </row>
    <row r="796" spans="1:1" x14ac:dyDescent="0.25">
      <c r="A796" t="s">
        <v>793</v>
      </c>
    </row>
    <row r="797" spans="1:1" x14ac:dyDescent="0.25">
      <c r="A797" t="s">
        <v>794</v>
      </c>
    </row>
    <row r="798" spans="1:1" x14ac:dyDescent="0.25">
      <c r="A798" t="s">
        <v>795</v>
      </c>
    </row>
    <row r="799" spans="1:1" x14ac:dyDescent="0.25">
      <c r="A799" t="s">
        <v>796</v>
      </c>
    </row>
    <row r="800" spans="1:1" x14ac:dyDescent="0.25">
      <c r="A800" t="s">
        <v>797</v>
      </c>
    </row>
    <row r="801" spans="1:1" x14ac:dyDescent="0.25">
      <c r="A801" t="s">
        <v>798</v>
      </c>
    </row>
    <row r="802" spans="1:1" x14ac:dyDescent="0.25">
      <c r="A802" t="s">
        <v>799</v>
      </c>
    </row>
    <row r="803" spans="1:1" x14ac:dyDescent="0.25">
      <c r="A803" t="s">
        <v>800</v>
      </c>
    </row>
    <row r="804" spans="1:1" x14ac:dyDescent="0.25">
      <c r="A804" t="s">
        <v>801</v>
      </c>
    </row>
    <row r="805" spans="1:1" x14ac:dyDescent="0.25">
      <c r="A805" t="s">
        <v>802</v>
      </c>
    </row>
    <row r="806" spans="1:1" x14ac:dyDescent="0.25">
      <c r="A806" t="s">
        <v>803</v>
      </c>
    </row>
    <row r="807" spans="1:1" x14ac:dyDescent="0.25">
      <c r="A807" t="s">
        <v>804</v>
      </c>
    </row>
    <row r="808" spans="1:1" x14ac:dyDescent="0.25">
      <c r="A808" t="s">
        <v>805</v>
      </c>
    </row>
    <row r="809" spans="1:1" x14ac:dyDescent="0.25">
      <c r="A809" t="s">
        <v>806</v>
      </c>
    </row>
    <row r="810" spans="1:1" x14ac:dyDescent="0.25">
      <c r="A810" t="s">
        <v>807</v>
      </c>
    </row>
    <row r="811" spans="1:1" x14ac:dyDescent="0.25">
      <c r="A811" t="s">
        <v>808</v>
      </c>
    </row>
    <row r="812" spans="1:1" x14ac:dyDescent="0.25">
      <c r="A812" t="s">
        <v>809</v>
      </c>
    </row>
    <row r="813" spans="1:1" x14ac:dyDescent="0.25">
      <c r="A813" t="s">
        <v>810</v>
      </c>
    </row>
    <row r="814" spans="1:1" x14ac:dyDescent="0.25">
      <c r="A814" t="s">
        <v>811</v>
      </c>
    </row>
    <row r="815" spans="1:1" x14ac:dyDescent="0.25">
      <c r="A815" t="s">
        <v>812</v>
      </c>
    </row>
    <row r="816" spans="1:1" x14ac:dyDescent="0.25">
      <c r="A816" t="s">
        <v>813</v>
      </c>
    </row>
    <row r="817" spans="1:1" x14ac:dyDescent="0.25">
      <c r="A817" t="s">
        <v>814</v>
      </c>
    </row>
    <row r="818" spans="1:1" x14ac:dyDescent="0.25">
      <c r="A818" t="s">
        <v>815</v>
      </c>
    </row>
    <row r="819" spans="1:1" x14ac:dyDescent="0.25">
      <c r="A819" t="s">
        <v>816</v>
      </c>
    </row>
    <row r="820" spans="1:1" x14ac:dyDescent="0.25">
      <c r="A820" t="s">
        <v>817</v>
      </c>
    </row>
    <row r="821" spans="1:1" x14ac:dyDescent="0.25">
      <c r="A821" t="s">
        <v>818</v>
      </c>
    </row>
    <row r="822" spans="1:1" x14ac:dyDescent="0.25">
      <c r="A822" t="s">
        <v>819</v>
      </c>
    </row>
    <row r="823" spans="1:1" x14ac:dyDescent="0.25">
      <c r="A823" t="s">
        <v>820</v>
      </c>
    </row>
    <row r="824" spans="1:1" x14ac:dyDescent="0.25">
      <c r="A824" t="s">
        <v>821</v>
      </c>
    </row>
    <row r="825" spans="1:1" x14ac:dyDescent="0.25">
      <c r="A825" t="s">
        <v>822</v>
      </c>
    </row>
    <row r="826" spans="1:1" x14ac:dyDescent="0.25">
      <c r="A826" t="s">
        <v>823</v>
      </c>
    </row>
    <row r="827" spans="1:1" x14ac:dyDescent="0.25">
      <c r="A827" t="s">
        <v>824</v>
      </c>
    </row>
    <row r="828" spans="1:1" x14ac:dyDescent="0.25">
      <c r="A828" t="s">
        <v>825</v>
      </c>
    </row>
    <row r="829" spans="1:1" x14ac:dyDescent="0.25">
      <c r="A829" t="s">
        <v>826</v>
      </c>
    </row>
    <row r="830" spans="1:1" x14ac:dyDescent="0.25">
      <c r="A830" t="s">
        <v>827</v>
      </c>
    </row>
    <row r="831" spans="1:1" x14ac:dyDescent="0.25">
      <c r="A831" t="s">
        <v>828</v>
      </c>
    </row>
    <row r="832" spans="1:1" x14ac:dyDescent="0.25">
      <c r="A832" t="s">
        <v>829</v>
      </c>
    </row>
    <row r="833" spans="1:1" x14ac:dyDescent="0.25">
      <c r="A833" t="s">
        <v>830</v>
      </c>
    </row>
    <row r="834" spans="1:1" x14ac:dyDescent="0.25">
      <c r="A834" t="s">
        <v>831</v>
      </c>
    </row>
    <row r="835" spans="1:1" x14ac:dyDescent="0.25">
      <c r="A835" t="s">
        <v>832</v>
      </c>
    </row>
    <row r="836" spans="1:1" x14ac:dyDescent="0.25">
      <c r="A836" t="s">
        <v>833</v>
      </c>
    </row>
    <row r="837" spans="1:1" x14ac:dyDescent="0.25">
      <c r="A837" t="s">
        <v>834</v>
      </c>
    </row>
    <row r="838" spans="1:1" x14ac:dyDescent="0.25">
      <c r="A838" t="s">
        <v>835</v>
      </c>
    </row>
    <row r="839" spans="1:1" x14ac:dyDescent="0.25">
      <c r="A839" t="s">
        <v>836</v>
      </c>
    </row>
    <row r="840" spans="1:1" x14ac:dyDescent="0.25">
      <c r="A840" t="s">
        <v>837</v>
      </c>
    </row>
    <row r="841" spans="1:1" x14ac:dyDescent="0.25">
      <c r="A841" t="s">
        <v>838</v>
      </c>
    </row>
    <row r="842" spans="1:1" x14ac:dyDescent="0.25">
      <c r="A842" t="s">
        <v>839</v>
      </c>
    </row>
    <row r="843" spans="1:1" x14ac:dyDescent="0.25">
      <c r="A843" t="s">
        <v>840</v>
      </c>
    </row>
    <row r="844" spans="1:1" x14ac:dyDescent="0.25">
      <c r="A844" t="s">
        <v>841</v>
      </c>
    </row>
    <row r="845" spans="1:1" x14ac:dyDescent="0.25">
      <c r="A845" t="s">
        <v>842</v>
      </c>
    </row>
    <row r="846" spans="1:1" x14ac:dyDescent="0.25">
      <c r="A846" t="s">
        <v>843</v>
      </c>
    </row>
    <row r="847" spans="1:1" x14ac:dyDescent="0.25">
      <c r="A847" t="s">
        <v>844</v>
      </c>
    </row>
    <row r="848" spans="1:1" x14ac:dyDescent="0.25">
      <c r="A848" t="s">
        <v>845</v>
      </c>
    </row>
    <row r="849" spans="1:1" x14ac:dyDescent="0.25">
      <c r="A849" t="s">
        <v>846</v>
      </c>
    </row>
    <row r="850" spans="1:1" x14ac:dyDescent="0.25">
      <c r="A850" t="s">
        <v>847</v>
      </c>
    </row>
    <row r="851" spans="1:1" x14ac:dyDescent="0.25">
      <c r="A851" t="s">
        <v>848</v>
      </c>
    </row>
    <row r="852" spans="1:1" x14ac:dyDescent="0.25">
      <c r="A852" t="s">
        <v>849</v>
      </c>
    </row>
    <row r="853" spans="1:1" x14ac:dyDescent="0.25">
      <c r="A853" t="s">
        <v>850</v>
      </c>
    </row>
    <row r="854" spans="1:1" x14ac:dyDescent="0.25">
      <c r="A854" t="s">
        <v>851</v>
      </c>
    </row>
    <row r="855" spans="1:1" x14ac:dyDescent="0.25">
      <c r="A855" t="s">
        <v>852</v>
      </c>
    </row>
    <row r="856" spans="1:1" x14ac:dyDescent="0.25">
      <c r="A856" t="s">
        <v>853</v>
      </c>
    </row>
    <row r="857" spans="1:1" x14ac:dyDescent="0.25">
      <c r="A857" t="s">
        <v>854</v>
      </c>
    </row>
    <row r="858" spans="1:1" x14ac:dyDescent="0.25">
      <c r="A858" t="s">
        <v>855</v>
      </c>
    </row>
    <row r="859" spans="1:1" x14ac:dyDescent="0.25">
      <c r="A859" t="s">
        <v>856</v>
      </c>
    </row>
    <row r="860" spans="1:1" x14ac:dyDescent="0.25">
      <c r="A860" t="s">
        <v>857</v>
      </c>
    </row>
    <row r="861" spans="1:1" x14ac:dyDescent="0.25">
      <c r="A861" t="s">
        <v>858</v>
      </c>
    </row>
    <row r="862" spans="1:1" x14ac:dyDescent="0.25">
      <c r="A862" t="s">
        <v>859</v>
      </c>
    </row>
    <row r="863" spans="1:1" x14ac:dyDescent="0.25">
      <c r="A863" t="s">
        <v>860</v>
      </c>
    </row>
    <row r="864" spans="1:1" x14ac:dyDescent="0.25">
      <c r="A864" t="s">
        <v>861</v>
      </c>
    </row>
    <row r="865" spans="1:1" x14ac:dyDescent="0.25">
      <c r="A865" t="s">
        <v>862</v>
      </c>
    </row>
    <row r="866" spans="1:1" x14ac:dyDescent="0.25">
      <c r="A866" t="s">
        <v>863</v>
      </c>
    </row>
    <row r="867" spans="1:1" x14ac:dyDescent="0.25">
      <c r="A867" t="s">
        <v>864</v>
      </c>
    </row>
    <row r="868" spans="1:1" x14ac:dyDescent="0.25">
      <c r="A868" t="s">
        <v>865</v>
      </c>
    </row>
    <row r="869" spans="1:1" x14ac:dyDescent="0.25">
      <c r="A869" t="s">
        <v>866</v>
      </c>
    </row>
    <row r="870" spans="1:1" x14ac:dyDescent="0.25">
      <c r="A870" t="s">
        <v>867</v>
      </c>
    </row>
    <row r="871" spans="1:1" x14ac:dyDescent="0.25">
      <c r="A871" t="s">
        <v>868</v>
      </c>
    </row>
    <row r="872" spans="1:1" x14ac:dyDescent="0.25">
      <c r="A872" t="s">
        <v>869</v>
      </c>
    </row>
    <row r="873" spans="1:1" x14ac:dyDescent="0.25">
      <c r="A873" t="s">
        <v>870</v>
      </c>
    </row>
    <row r="874" spans="1:1" x14ac:dyDescent="0.25">
      <c r="A874" t="s">
        <v>871</v>
      </c>
    </row>
    <row r="875" spans="1:1" x14ac:dyDescent="0.25">
      <c r="A875" t="s">
        <v>872</v>
      </c>
    </row>
    <row r="876" spans="1:1" x14ac:dyDescent="0.25">
      <c r="A876" t="s">
        <v>873</v>
      </c>
    </row>
    <row r="877" spans="1:1" x14ac:dyDescent="0.25">
      <c r="A877" t="s">
        <v>874</v>
      </c>
    </row>
    <row r="878" spans="1:1" x14ac:dyDescent="0.25">
      <c r="A878" t="s">
        <v>875</v>
      </c>
    </row>
    <row r="879" spans="1:1" x14ac:dyDescent="0.25">
      <c r="A879" t="s">
        <v>876</v>
      </c>
    </row>
    <row r="880" spans="1:1" x14ac:dyDescent="0.25">
      <c r="A880" t="s">
        <v>877</v>
      </c>
    </row>
    <row r="881" spans="1:1" x14ac:dyDescent="0.25">
      <c r="A881" t="s">
        <v>878</v>
      </c>
    </row>
    <row r="882" spans="1:1" x14ac:dyDescent="0.25">
      <c r="A882" t="s">
        <v>879</v>
      </c>
    </row>
    <row r="883" spans="1:1" x14ac:dyDescent="0.25">
      <c r="A883" t="s">
        <v>880</v>
      </c>
    </row>
    <row r="884" spans="1:1" x14ac:dyDescent="0.25">
      <c r="A884" t="s">
        <v>881</v>
      </c>
    </row>
    <row r="885" spans="1:1" x14ac:dyDescent="0.25">
      <c r="A885" t="s">
        <v>882</v>
      </c>
    </row>
    <row r="886" spans="1:1" x14ac:dyDescent="0.25">
      <c r="A886" t="s">
        <v>883</v>
      </c>
    </row>
    <row r="887" spans="1:1" x14ac:dyDescent="0.25">
      <c r="A887" t="s">
        <v>884</v>
      </c>
    </row>
    <row r="888" spans="1:1" x14ac:dyDescent="0.25">
      <c r="A888" t="s">
        <v>885</v>
      </c>
    </row>
    <row r="889" spans="1:1" x14ac:dyDescent="0.25">
      <c r="A889" t="s">
        <v>886</v>
      </c>
    </row>
    <row r="890" spans="1:1" x14ac:dyDescent="0.25">
      <c r="A890" t="s">
        <v>887</v>
      </c>
    </row>
    <row r="891" spans="1:1" x14ac:dyDescent="0.25">
      <c r="A891" t="s">
        <v>888</v>
      </c>
    </row>
    <row r="892" spans="1:1" x14ac:dyDescent="0.25">
      <c r="A892" t="s">
        <v>889</v>
      </c>
    </row>
    <row r="893" spans="1:1" x14ac:dyDescent="0.25">
      <c r="A893" t="s">
        <v>890</v>
      </c>
    </row>
    <row r="894" spans="1:1" x14ac:dyDescent="0.25">
      <c r="A894" t="s">
        <v>891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F062-5DA1-4019-968C-F65D29D7B0B4}">
  <dimension ref="A1:AA894"/>
  <sheetViews>
    <sheetView showGridLines="0" workbookViewId="0">
      <selection activeCell="O18" sqref="O18"/>
    </sheetView>
  </sheetViews>
  <sheetFormatPr baseColWidth="10" defaultRowHeight="15" x14ac:dyDescent="0.25"/>
  <cols>
    <col min="1" max="1" width="14.85546875" bestFit="1" customWidth="1"/>
    <col min="2" max="2" width="11.140625" bestFit="1" customWidth="1"/>
    <col min="3" max="3" width="9" bestFit="1" customWidth="1"/>
    <col min="4" max="4" width="51.7109375" customWidth="1"/>
    <col min="5" max="5" width="7.5703125" bestFit="1" customWidth="1"/>
    <col min="6" max="6" width="17.140625" style="5" bestFit="1" customWidth="1"/>
    <col min="7" max="7" width="17.42578125" style="4" bestFit="1" customWidth="1"/>
    <col min="8" max="8" width="16.5703125" style="5" bestFit="1" customWidth="1"/>
    <col min="9" max="9" width="6.5703125" bestFit="1" customWidth="1"/>
    <col min="10" max="10" width="8.42578125" style="3" bestFit="1" customWidth="1"/>
    <col min="11" max="11" width="8.28515625" style="6" bestFit="1" customWidth="1"/>
    <col min="12" max="12" width="13.140625" customWidth="1"/>
    <col min="13" max="13" width="16.140625" bestFit="1" customWidth="1"/>
    <col min="14" max="14" width="9.140625" bestFit="1" customWidth="1"/>
    <col min="15" max="15" width="18" bestFit="1" customWidth="1"/>
    <col min="16" max="16" width="14.85546875" bestFit="1" customWidth="1"/>
    <col min="17" max="17" width="7.7109375" customWidth="1"/>
  </cols>
  <sheetData>
    <row r="1" spans="1:27" x14ac:dyDescent="0.25">
      <c r="A1" s="43"/>
      <c r="B1" s="43"/>
      <c r="C1" s="43"/>
      <c r="D1" s="43"/>
      <c r="E1" s="43"/>
      <c r="F1" s="46"/>
      <c r="G1" s="47"/>
      <c r="H1" s="46"/>
      <c r="I1" s="43"/>
      <c r="J1" s="44"/>
      <c r="K1" s="48"/>
      <c r="L1" s="43"/>
      <c r="M1" s="43"/>
      <c r="N1" s="43"/>
      <c r="O1" s="43"/>
      <c r="P1" s="43"/>
      <c r="Q1" s="43"/>
      <c r="R1" s="43"/>
      <c r="S1" s="43"/>
      <c r="T1" s="43"/>
      <c r="U1" s="43"/>
      <c r="V1" s="43"/>
      <c r="W1" s="43"/>
      <c r="X1" s="43"/>
      <c r="Y1" s="43"/>
      <c r="Z1" s="43"/>
      <c r="AA1" s="43"/>
    </row>
    <row r="2" spans="1:27" x14ac:dyDescent="0.25">
      <c r="A2" s="43"/>
      <c r="B2" s="43"/>
      <c r="C2" s="43"/>
      <c r="D2" s="43"/>
      <c r="E2" s="43"/>
      <c r="F2" s="46"/>
      <c r="G2" s="47"/>
      <c r="H2" s="46"/>
      <c r="I2" s="43"/>
      <c r="J2" s="44"/>
      <c r="K2" s="48"/>
      <c r="L2" s="43"/>
      <c r="M2" s="43"/>
      <c r="N2" s="43"/>
      <c r="O2" s="43"/>
      <c r="P2" s="43"/>
      <c r="Q2" s="43"/>
      <c r="R2" s="43"/>
      <c r="S2" s="43"/>
      <c r="T2" s="43"/>
      <c r="U2" s="43"/>
      <c r="V2" s="43"/>
      <c r="W2" s="43"/>
      <c r="X2" s="43"/>
      <c r="Y2" s="43"/>
      <c r="Z2" s="43"/>
      <c r="AA2" s="43"/>
    </row>
    <row r="3" spans="1:27" x14ac:dyDescent="0.25">
      <c r="A3" t="s">
        <v>2205</v>
      </c>
      <c r="B3" t="s">
        <v>892</v>
      </c>
      <c r="C3" t="s">
        <v>893</v>
      </c>
      <c r="D3" t="s">
        <v>2199</v>
      </c>
      <c r="E3" t="s">
        <v>2200</v>
      </c>
      <c r="F3" t="s">
        <v>2209</v>
      </c>
      <c r="G3" s="4" t="s">
        <v>2208</v>
      </c>
      <c r="H3" s="5" t="s">
        <v>2204</v>
      </c>
      <c r="I3" t="s">
        <v>894</v>
      </c>
      <c r="J3" t="s">
        <v>895</v>
      </c>
      <c r="K3" t="s">
        <v>896</v>
      </c>
      <c r="L3" s="3" t="s">
        <v>897</v>
      </c>
      <c r="M3" s="6" t="s">
        <v>2206</v>
      </c>
      <c r="N3" t="s">
        <v>898</v>
      </c>
      <c r="O3" t="s">
        <v>2203</v>
      </c>
      <c r="P3" t="s">
        <v>899</v>
      </c>
      <c r="Q3" t="s">
        <v>900</v>
      </c>
    </row>
    <row r="4" spans="1:27" x14ac:dyDescent="0.25">
      <c r="A4">
        <v>546</v>
      </c>
      <c r="B4">
        <v>0</v>
      </c>
      <c r="C4">
        <v>1</v>
      </c>
      <c r="D4" t="s">
        <v>1748</v>
      </c>
      <c r="E4" t="s">
        <v>902</v>
      </c>
      <c r="F4">
        <f>ROUNDUP(Titanic_DATASET[[#This Row],[Age Correción 2]],0)</f>
        <v>64</v>
      </c>
      <c r="G4" s="4">
        <f>VALUE(SUBSTITUTE(Titanic_DATASET[[#This Row],[Age Correción.]],".",","))</f>
        <v>64</v>
      </c>
      <c r="H4" s="5">
        <v>64</v>
      </c>
      <c r="I4">
        <v>64</v>
      </c>
      <c r="J4">
        <v>0</v>
      </c>
      <c r="K4">
        <v>0</v>
      </c>
      <c r="L4" s="3">
        <v>693</v>
      </c>
      <c r="M4" s="6">
        <f t="shared" ref="M4:M67" si="0">VALUE(SUBSTITUTE(N4,".",","))</f>
        <v>26</v>
      </c>
      <c r="N4">
        <v>26</v>
      </c>
      <c r="O4" t="str">
        <f t="shared" ref="O4:O67" si="1">IF(ISBLANK(P4),"Desconocido",P4)</f>
        <v>Desconocido</v>
      </c>
      <c r="Q4" t="s">
        <v>905</v>
      </c>
    </row>
    <row r="5" spans="1:27" x14ac:dyDescent="0.25">
      <c r="A5">
        <v>873</v>
      </c>
      <c r="B5">
        <v>0</v>
      </c>
      <c r="C5">
        <v>1</v>
      </c>
      <c r="D5" t="s">
        <v>2175</v>
      </c>
      <c r="E5" t="s">
        <v>902</v>
      </c>
      <c r="F5">
        <f>ROUNDUP(Titanic_DATASET[[#This Row],[Age Correción 2]],0)</f>
        <v>33</v>
      </c>
      <c r="G5" s="4">
        <f>VALUE(SUBSTITUTE(Titanic_DATASET[[#This Row],[Age Correción.]],".",","))</f>
        <v>33</v>
      </c>
      <c r="H5" s="5">
        <v>33</v>
      </c>
      <c r="I5">
        <v>33</v>
      </c>
      <c r="J5">
        <v>0</v>
      </c>
      <c r="K5">
        <v>0</v>
      </c>
      <c r="L5" s="3">
        <v>695</v>
      </c>
      <c r="M5" s="6">
        <f t="shared" si="0"/>
        <v>5</v>
      </c>
      <c r="N5">
        <v>5</v>
      </c>
      <c r="O5" t="str">
        <f t="shared" si="1"/>
        <v>B51 B53 B55</v>
      </c>
      <c r="P5" t="s">
        <v>1926</v>
      </c>
      <c r="Q5" t="s">
        <v>905</v>
      </c>
    </row>
    <row r="6" spans="1:27" x14ac:dyDescent="0.25">
      <c r="A6">
        <v>75</v>
      </c>
      <c r="B6">
        <v>1</v>
      </c>
      <c r="C6">
        <v>3</v>
      </c>
      <c r="D6" t="s">
        <v>1033</v>
      </c>
      <c r="E6" t="s">
        <v>902</v>
      </c>
      <c r="F6">
        <f>ROUNDUP(Titanic_DATASET[[#This Row],[Age Correción 2]],0)</f>
        <v>32</v>
      </c>
      <c r="G6" s="4">
        <f>VALUE(SUBSTITUTE(Titanic_DATASET[[#This Row],[Age Correción.]],".",","))</f>
        <v>32</v>
      </c>
      <c r="H6" s="5">
        <v>32</v>
      </c>
      <c r="I6">
        <v>32</v>
      </c>
      <c r="J6">
        <v>0</v>
      </c>
      <c r="K6">
        <v>0</v>
      </c>
      <c r="L6" s="3">
        <v>1601</v>
      </c>
      <c r="M6" s="6">
        <f t="shared" si="0"/>
        <v>564958</v>
      </c>
      <c r="N6" s="1">
        <v>564958</v>
      </c>
      <c r="O6" s="1" t="str">
        <f t="shared" si="1"/>
        <v>Desconocido</v>
      </c>
      <c r="Q6" t="s">
        <v>905</v>
      </c>
    </row>
    <row r="7" spans="1:27" x14ac:dyDescent="0.25">
      <c r="A7">
        <v>170</v>
      </c>
      <c r="B7">
        <v>0</v>
      </c>
      <c r="C7">
        <v>3</v>
      </c>
      <c r="D7" t="s">
        <v>1190</v>
      </c>
      <c r="E7" t="s">
        <v>902</v>
      </c>
      <c r="F7">
        <f>ROUNDUP(Titanic_DATASET[[#This Row],[Age Correción 2]],0)</f>
        <v>28</v>
      </c>
      <c r="G7" s="4">
        <f>VALUE(SUBSTITUTE(Titanic_DATASET[[#This Row],[Age Correción.]],".",","))</f>
        <v>28</v>
      </c>
      <c r="H7" s="5">
        <v>28</v>
      </c>
      <c r="I7">
        <v>28</v>
      </c>
      <c r="J7">
        <v>0</v>
      </c>
      <c r="K7">
        <v>0</v>
      </c>
      <c r="L7" s="3">
        <v>1601</v>
      </c>
      <c r="M7" s="6">
        <f t="shared" si="0"/>
        <v>564958</v>
      </c>
      <c r="N7" s="1">
        <v>564958</v>
      </c>
      <c r="O7" s="1" t="str">
        <f t="shared" si="1"/>
        <v>Desconocido</v>
      </c>
      <c r="Q7" t="s">
        <v>905</v>
      </c>
    </row>
    <row r="8" spans="1:27" x14ac:dyDescent="0.25">
      <c r="A8">
        <v>510</v>
      </c>
      <c r="B8">
        <v>1</v>
      </c>
      <c r="C8">
        <v>3</v>
      </c>
      <c r="D8" t="s">
        <v>1693</v>
      </c>
      <c r="E8" t="s">
        <v>902</v>
      </c>
      <c r="F8">
        <f>ROUNDUP(Titanic_DATASET[[#This Row],[Age Correción 2]],0)</f>
        <v>26</v>
      </c>
      <c r="G8" s="4">
        <f>VALUE(SUBSTITUTE(Titanic_DATASET[[#This Row],[Age Correción.]],".",","))</f>
        <v>26</v>
      </c>
      <c r="H8" s="5">
        <v>26</v>
      </c>
      <c r="I8">
        <v>26</v>
      </c>
      <c r="J8">
        <v>0</v>
      </c>
      <c r="K8">
        <v>0</v>
      </c>
      <c r="L8" s="3">
        <v>1601</v>
      </c>
      <c r="M8" s="6">
        <f t="shared" si="0"/>
        <v>564958</v>
      </c>
      <c r="N8" s="1">
        <v>564958</v>
      </c>
      <c r="O8" s="1" t="str">
        <f t="shared" si="1"/>
        <v>Desconocido</v>
      </c>
      <c r="Q8" t="s">
        <v>905</v>
      </c>
    </row>
    <row r="9" spans="1:27" x14ac:dyDescent="0.25">
      <c r="A9">
        <v>644</v>
      </c>
      <c r="B9">
        <v>1</v>
      </c>
      <c r="C9">
        <v>3</v>
      </c>
      <c r="D9" t="s">
        <v>1877</v>
      </c>
      <c r="E9" t="s">
        <v>902</v>
      </c>
      <c r="F9">
        <f>ROUNDUP(Titanic_DATASET[[#This Row],[Age Correción 2]],0)</f>
        <v>42</v>
      </c>
      <c r="G9" s="4">
        <f>VALUE(SUBSTITUTE(Titanic_DATASET[[#This Row],[Age Correción.]],".",","))</f>
        <v>42</v>
      </c>
      <c r="H9" s="5">
        <v>42</v>
      </c>
      <c r="J9">
        <v>0</v>
      </c>
      <c r="K9">
        <v>0</v>
      </c>
      <c r="L9" s="3">
        <v>1601</v>
      </c>
      <c r="M9" s="6">
        <f t="shared" si="0"/>
        <v>564958</v>
      </c>
      <c r="N9" s="1">
        <v>564958</v>
      </c>
      <c r="O9" s="1" t="str">
        <f t="shared" si="1"/>
        <v>Desconocido</v>
      </c>
      <c r="Q9" t="s">
        <v>905</v>
      </c>
    </row>
    <row r="10" spans="1:27" x14ac:dyDescent="0.25">
      <c r="A10">
        <v>693</v>
      </c>
      <c r="B10">
        <v>1</v>
      </c>
      <c r="C10">
        <v>3</v>
      </c>
      <c r="D10" t="s">
        <v>1942</v>
      </c>
      <c r="E10" t="s">
        <v>902</v>
      </c>
      <c r="F10">
        <f>ROUNDUP(Titanic_DATASET[[#This Row],[Age Correción 2]],0)</f>
        <v>58</v>
      </c>
      <c r="G10" s="4">
        <f>VALUE(SUBSTITUTE(Titanic_DATASET[[#This Row],[Age Correción.]],".",","))</f>
        <v>58</v>
      </c>
      <c r="H10" s="5">
        <v>58</v>
      </c>
      <c r="J10">
        <v>0</v>
      </c>
      <c r="K10">
        <v>0</v>
      </c>
      <c r="L10" s="3">
        <v>1601</v>
      </c>
      <c r="M10" s="6">
        <f t="shared" si="0"/>
        <v>564958</v>
      </c>
      <c r="N10" s="1">
        <v>564958</v>
      </c>
      <c r="O10" s="1" t="str">
        <f t="shared" si="1"/>
        <v>Desconocido</v>
      </c>
      <c r="Q10" t="s">
        <v>905</v>
      </c>
    </row>
    <row r="11" spans="1:27" x14ac:dyDescent="0.25">
      <c r="A11">
        <v>827</v>
      </c>
      <c r="B11">
        <v>0</v>
      </c>
      <c r="C11">
        <v>3</v>
      </c>
      <c r="D11" t="s">
        <v>2115</v>
      </c>
      <c r="E11" t="s">
        <v>902</v>
      </c>
      <c r="F11">
        <f>ROUNDUP(Titanic_DATASET[[#This Row],[Age Correción 2]],0)</f>
        <v>57</v>
      </c>
      <c r="G11" s="4">
        <f>VALUE(SUBSTITUTE(Titanic_DATASET[[#This Row],[Age Correción.]],".",","))</f>
        <v>57</v>
      </c>
      <c r="H11" s="5">
        <v>57</v>
      </c>
      <c r="J11">
        <v>0</v>
      </c>
      <c r="K11">
        <v>0</v>
      </c>
      <c r="L11" s="3">
        <v>1601</v>
      </c>
      <c r="M11" s="6">
        <f t="shared" si="0"/>
        <v>564958</v>
      </c>
      <c r="N11" s="1">
        <v>564958</v>
      </c>
      <c r="O11" s="1" t="str">
        <f t="shared" si="1"/>
        <v>Desconocido</v>
      </c>
      <c r="Q11" t="s">
        <v>905</v>
      </c>
    </row>
    <row r="12" spans="1:27" x14ac:dyDescent="0.25">
      <c r="A12">
        <v>839</v>
      </c>
      <c r="B12">
        <v>1</v>
      </c>
      <c r="C12">
        <v>3</v>
      </c>
      <c r="D12" t="s">
        <v>2130</v>
      </c>
      <c r="E12" t="s">
        <v>902</v>
      </c>
      <c r="F12">
        <f>ROUNDUP(Titanic_DATASET[[#This Row],[Age Correción 2]],0)</f>
        <v>32</v>
      </c>
      <c r="G12" s="4">
        <f>VALUE(SUBSTITUTE(Titanic_DATASET[[#This Row],[Age Correción.]],".",","))</f>
        <v>32</v>
      </c>
      <c r="H12" s="5">
        <v>32</v>
      </c>
      <c r="I12">
        <v>32</v>
      </c>
      <c r="J12">
        <v>0</v>
      </c>
      <c r="K12">
        <v>0</v>
      </c>
      <c r="L12" s="3">
        <v>1601</v>
      </c>
      <c r="M12" s="6">
        <f t="shared" si="0"/>
        <v>564958</v>
      </c>
      <c r="N12" s="1">
        <v>564958</v>
      </c>
      <c r="O12" s="1" t="str">
        <f t="shared" si="1"/>
        <v>Desconocido</v>
      </c>
      <c r="Q12" t="s">
        <v>905</v>
      </c>
    </row>
    <row r="13" spans="1:27" x14ac:dyDescent="0.25">
      <c r="A13">
        <v>427</v>
      </c>
      <c r="B13">
        <v>1</v>
      </c>
      <c r="C13">
        <v>2</v>
      </c>
      <c r="D13" t="s">
        <v>1575</v>
      </c>
      <c r="E13" t="s">
        <v>907</v>
      </c>
      <c r="F13">
        <f>ROUNDUP(Titanic_DATASET[[#This Row],[Age Correción 2]],0)</f>
        <v>28</v>
      </c>
      <c r="G13" s="4">
        <f>VALUE(SUBSTITUTE(Titanic_DATASET[[#This Row],[Age Correción.]],".",","))</f>
        <v>28</v>
      </c>
      <c r="H13" s="5">
        <v>28</v>
      </c>
      <c r="I13">
        <v>28</v>
      </c>
      <c r="J13">
        <v>1</v>
      </c>
      <c r="K13">
        <v>0</v>
      </c>
      <c r="L13" s="3">
        <v>2003</v>
      </c>
      <c r="M13" s="6">
        <f t="shared" si="0"/>
        <v>26</v>
      </c>
      <c r="N13">
        <v>26</v>
      </c>
      <c r="O13" t="str">
        <f t="shared" si="1"/>
        <v>Desconocido</v>
      </c>
      <c r="Q13" t="s">
        <v>905</v>
      </c>
    </row>
    <row r="14" spans="1:27" x14ac:dyDescent="0.25">
      <c r="A14">
        <v>835</v>
      </c>
      <c r="B14">
        <v>0</v>
      </c>
      <c r="C14">
        <v>3</v>
      </c>
      <c r="D14" t="s">
        <v>2123</v>
      </c>
      <c r="E14" t="s">
        <v>902</v>
      </c>
      <c r="F14">
        <f>ROUNDUP(Titanic_DATASET[[#This Row],[Age Correción 2]],0)</f>
        <v>18</v>
      </c>
      <c r="G14" s="4">
        <f>VALUE(SUBSTITUTE(Titanic_DATASET[[#This Row],[Age Correción.]],".",","))</f>
        <v>18</v>
      </c>
      <c r="H14" s="5">
        <v>18</v>
      </c>
      <c r="I14">
        <v>18</v>
      </c>
      <c r="J14">
        <v>0</v>
      </c>
      <c r="K14">
        <v>0</v>
      </c>
      <c r="L14" s="3">
        <v>2223</v>
      </c>
      <c r="M14" s="6">
        <f t="shared" si="0"/>
        <v>8.3000000000000007</v>
      </c>
      <c r="N14" t="s">
        <v>2124</v>
      </c>
      <c r="O14" t="str">
        <f t="shared" si="1"/>
        <v>Desconocido</v>
      </c>
      <c r="Q14" t="s">
        <v>905</v>
      </c>
    </row>
    <row r="15" spans="1:27" x14ac:dyDescent="0.25">
      <c r="A15">
        <v>554</v>
      </c>
      <c r="B15">
        <v>1</v>
      </c>
      <c r="C15">
        <v>3</v>
      </c>
      <c r="D15" t="s">
        <v>1758</v>
      </c>
      <c r="E15" t="s">
        <v>902</v>
      </c>
      <c r="F15">
        <f>ROUNDUP(Titanic_DATASET[[#This Row],[Age Correción 2]],0)</f>
        <v>22</v>
      </c>
      <c r="G15" s="4">
        <f>VALUE(SUBSTITUTE(Titanic_DATASET[[#This Row],[Age Correción.]],".",","))</f>
        <v>22</v>
      </c>
      <c r="H15" s="5">
        <v>22</v>
      </c>
      <c r="I15">
        <v>22</v>
      </c>
      <c r="J15">
        <v>0</v>
      </c>
      <c r="K15">
        <v>0</v>
      </c>
      <c r="L15" s="3">
        <v>2620</v>
      </c>
      <c r="M15" s="6">
        <f t="shared" si="0"/>
        <v>7225</v>
      </c>
      <c r="N15" s="1">
        <v>7225</v>
      </c>
      <c r="O15" s="1" t="str">
        <f t="shared" si="1"/>
        <v>Desconocido</v>
      </c>
      <c r="Q15" t="s">
        <v>910</v>
      </c>
    </row>
    <row r="16" spans="1:27" x14ac:dyDescent="0.25">
      <c r="A16">
        <v>662</v>
      </c>
      <c r="B16">
        <v>0</v>
      </c>
      <c r="C16">
        <v>3</v>
      </c>
      <c r="D16" t="s">
        <v>1899</v>
      </c>
      <c r="E16" t="s">
        <v>902</v>
      </c>
      <c r="F16">
        <f>ROUNDUP(Titanic_DATASET[[#This Row],[Age Correción 2]],0)</f>
        <v>40</v>
      </c>
      <c r="G16" s="4">
        <f>VALUE(SUBSTITUTE(Titanic_DATASET[[#This Row],[Age Correción.]],".",","))</f>
        <v>40</v>
      </c>
      <c r="H16" s="5">
        <v>40</v>
      </c>
      <c r="I16">
        <v>40</v>
      </c>
      <c r="J16">
        <v>0</v>
      </c>
      <c r="K16">
        <v>0</v>
      </c>
      <c r="L16" s="3">
        <v>2623</v>
      </c>
      <c r="M16" s="6">
        <f t="shared" si="0"/>
        <v>7225</v>
      </c>
      <c r="N16" s="1">
        <v>7225</v>
      </c>
      <c r="O16" s="1" t="str">
        <f t="shared" si="1"/>
        <v>Desconocido</v>
      </c>
      <c r="Q16" t="s">
        <v>910</v>
      </c>
    </row>
    <row r="17" spans="1:17" x14ac:dyDescent="0.25">
      <c r="A17">
        <v>523</v>
      </c>
      <c r="B17">
        <v>0</v>
      </c>
      <c r="C17">
        <v>3</v>
      </c>
      <c r="D17" t="s">
        <v>1715</v>
      </c>
      <c r="E17" t="s">
        <v>902</v>
      </c>
      <c r="F17">
        <f>ROUNDUP(Titanic_DATASET[[#This Row],[Age Correción 2]],0)</f>
        <v>59</v>
      </c>
      <c r="G17" s="4">
        <f>VALUE(SUBSTITUTE(Titanic_DATASET[[#This Row],[Age Correción.]],".",","))</f>
        <v>59</v>
      </c>
      <c r="H17" s="5">
        <v>59</v>
      </c>
      <c r="J17">
        <v>0</v>
      </c>
      <c r="K17">
        <v>0</v>
      </c>
      <c r="L17" s="3">
        <v>2624</v>
      </c>
      <c r="M17" s="6">
        <f t="shared" si="0"/>
        <v>7225</v>
      </c>
      <c r="N17" s="1">
        <v>7225</v>
      </c>
      <c r="O17" s="1" t="str">
        <f t="shared" si="1"/>
        <v>Desconocido</v>
      </c>
      <c r="Q17" t="s">
        <v>910</v>
      </c>
    </row>
    <row r="18" spans="1:17" x14ac:dyDescent="0.25">
      <c r="A18">
        <v>804</v>
      </c>
      <c r="B18">
        <v>1</v>
      </c>
      <c r="C18">
        <v>3</v>
      </c>
      <c r="D18" t="s">
        <v>2083</v>
      </c>
      <c r="E18" t="s">
        <v>902</v>
      </c>
      <c r="F18">
        <f>ROUNDUP(Titanic_DATASET[[#This Row],[Age Correción 2]],0)</f>
        <v>1</v>
      </c>
      <c r="G18" s="4">
        <f>VALUE(SUBSTITUTE(Titanic_DATASET[[#This Row],[Age Correción.]],".",","))</f>
        <v>0.42</v>
      </c>
      <c r="H18" s="5" t="s">
        <v>2084</v>
      </c>
      <c r="I18" t="s">
        <v>2084</v>
      </c>
      <c r="J18">
        <v>0</v>
      </c>
      <c r="K18">
        <v>1</v>
      </c>
      <c r="L18" s="3">
        <v>2625</v>
      </c>
      <c r="M18" s="6">
        <f t="shared" si="0"/>
        <v>85167</v>
      </c>
      <c r="N18" s="1">
        <v>85167</v>
      </c>
      <c r="O18" s="1" t="str">
        <f t="shared" si="1"/>
        <v>Desconocido</v>
      </c>
      <c r="Q18" t="s">
        <v>910</v>
      </c>
    </row>
    <row r="19" spans="1:17" x14ac:dyDescent="0.25">
      <c r="A19">
        <v>368</v>
      </c>
      <c r="B19">
        <v>1</v>
      </c>
      <c r="C19">
        <v>3</v>
      </c>
      <c r="D19" t="s">
        <v>1498</v>
      </c>
      <c r="E19" t="s">
        <v>907</v>
      </c>
      <c r="F19">
        <f>ROUNDUP(Titanic_DATASET[[#This Row],[Age Correción 2]],0)</f>
        <v>45</v>
      </c>
      <c r="G19" s="4">
        <f>VALUE(SUBSTITUTE(Titanic_DATASET[[#This Row],[Age Correción.]],".",","))</f>
        <v>45</v>
      </c>
      <c r="H19" s="5">
        <v>45</v>
      </c>
      <c r="J19">
        <v>0</v>
      </c>
      <c r="K19">
        <v>0</v>
      </c>
      <c r="L19" s="3">
        <v>2626</v>
      </c>
      <c r="M19" s="6">
        <f t="shared" si="0"/>
        <v>72292</v>
      </c>
      <c r="N19" s="1">
        <v>72292</v>
      </c>
      <c r="O19" s="1" t="str">
        <f t="shared" si="1"/>
        <v>Desconocido</v>
      </c>
      <c r="Q19" t="s">
        <v>910</v>
      </c>
    </row>
    <row r="20" spans="1:17" x14ac:dyDescent="0.25">
      <c r="A20">
        <v>115</v>
      </c>
      <c r="B20">
        <v>0</v>
      </c>
      <c r="C20">
        <v>3</v>
      </c>
      <c r="D20" t="s">
        <v>1093</v>
      </c>
      <c r="E20" t="s">
        <v>907</v>
      </c>
      <c r="F20">
        <f>ROUNDUP(Titanic_DATASET[[#This Row],[Age Correción 2]],0)</f>
        <v>17</v>
      </c>
      <c r="G20" s="4">
        <f>VALUE(SUBSTITUTE(Titanic_DATASET[[#This Row],[Age Correción.]],".",","))</f>
        <v>17</v>
      </c>
      <c r="H20" s="5">
        <v>17</v>
      </c>
      <c r="I20">
        <v>17</v>
      </c>
      <c r="J20">
        <v>0</v>
      </c>
      <c r="K20">
        <v>0</v>
      </c>
      <c r="L20" s="3">
        <v>2627</v>
      </c>
      <c r="M20" s="6">
        <f t="shared" si="0"/>
        <v>144583</v>
      </c>
      <c r="N20" s="1">
        <v>144583</v>
      </c>
      <c r="O20" s="1" t="str">
        <f t="shared" si="1"/>
        <v>Desconocido</v>
      </c>
      <c r="Q20" t="s">
        <v>910</v>
      </c>
    </row>
    <row r="21" spans="1:17" x14ac:dyDescent="0.25">
      <c r="A21">
        <v>496</v>
      </c>
      <c r="B21">
        <v>0</v>
      </c>
      <c r="C21">
        <v>3</v>
      </c>
      <c r="D21" t="s">
        <v>1674</v>
      </c>
      <c r="E21" t="s">
        <v>902</v>
      </c>
      <c r="F21">
        <f>ROUNDUP(Titanic_DATASET[[#This Row],[Age Correción 2]],0)</f>
        <v>80</v>
      </c>
      <c r="G21" s="4">
        <f>VALUE(SUBSTITUTE(Titanic_DATASET[[#This Row],[Age Correción.]],".",","))</f>
        <v>80</v>
      </c>
      <c r="H21" s="5">
        <v>80</v>
      </c>
      <c r="J21">
        <v>0</v>
      </c>
      <c r="K21">
        <v>0</v>
      </c>
      <c r="L21" s="3">
        <v>2627</v>
      </c>
      <c r="M21" s="6">
        <f t="shared" si="0"/>
        <v>144583</v>
      </c>
      <c r="N21" s="1">
        <v>144583</v>
      </c>
      <c r="O21" s="1" t="str">
        <f t="shared" si="1"/>
        <v>Desconocido</v>
      </c>
      <c r="Q21" t="s">
        <v>910</v>
      </c>
    </row>
    <row r="22" spans="1:17" x14ac:dyDescent="0.25">
      <c r="A22">
        <v>204</v>
      </c>
      <c r="B22">
        <v>0</v>
      </c>
      <c r="C22">
        <v>3</v>
      </c>
      <c r="D22" t="s">
        <v>1238</v>
      </c>
      <c r="E22" t="s">
        <v>902</v>
      </c>
      <c r="F22">
        <f>ROUNDUP(Titanic_DATASET[[#This Row],[Age Correción 2]],0)</f>
        <v>46</v>
      </c>
      <c r="G22" s="4">
        <f>VALUE(SUBSTITUTE(Titanic_DATASET[[#This Row],[Age Correción.]],".",","))</f>
        <v>45.5</v>
      </c>
      <c r="H22" s="5" t="s">
        <v>1239</v>
      </c>
      <c r="I22" t="s">
        <v>1239</v>
      </c>
      <c r="J22">
        <v>0</v>
      </c>
      <c r="K22">
        <v>0</v>
      </c>
      <c r="L22" s="3">
        <v>2628</v>
      </c>
      <c r="M22" s="6">
        <f t="shared" si="0"/>
        <v>7225</v>
      </c>
      <c r="N22" s="1">
        <v>7225</v>
      </c>
      <c r="O22" s="1" t="str">
        <f t="shared" si="1"/>
        <v>Desconocido</v>
      </c>
      <c r="Q22" t="s">
        <v>910</v>
      </c>
    </row>
    <row r="23" spans="1:17" x14ac:dyDescent="0.25">
      <c r="A23">
        <v>860</v>
      </c>
      <c r="B23">
        <v>0</v>
      </c>
      <c r="C23">
        <v>3</v>
      </c>
      <c r="D23" t="s">
        <v>2159</v>
      </c>
      <c r="E23" t="s">
        <v>902</v>
      </c>
      <c r="F23">
        <f>ROUNDUP(Titanic_DATASET[[#This Row],[Age Correción 2]],0)</f>
        <v>33</v>
      </c>
      <c r="G23" s="4">
        <f>VALUE(SUBSTITUTE(Titanic_DATASET[[#This Row],[Age Correción.]],".",","))</f>
        <v>33</v>
      </c>
      <c r="H23" s="5">
        <v>33</v>
      </c>
      <c r="J23">
        <v>0</v>
      </c>
      <c r="K23">
        <v>0</v>
      </c>
      <c r="L23" s="3">
        <v>2629</v>
      </c>
      <c r="M23" s="6">
        <f t="shared" si="0"/>
        <v>72292</v>
      </c>
      <c r="N23" s="1">
        <v>72292</v>
      </c>
      <c r="O23" s="1" t="str">
        <f t="shared" si="1"/>
        <v>Desconocido</v>
      </c>
      <c r="Q23" t="s">
        <v>910</v>
      </c>
    </row>
    <row r="24" spans="1:17" x14ac:dyDescent="0.25">
      <c r="A24">
        <v>27</v>
      </c>
      <c r="B24">
        <v>0</v>
      </c>
      <c r="C24">
        <v>3</v>
      </c>
      <c r="D24" t="s">
        <v>950</v>
      </c>
      <c r="E24" t="s">
        <v>902</v>
      </c>
      <c r="F24">
        <f>ROUNDUP(Titanic_DATASET[[#This Row],[Age Correción 2]],0)</f>
        <v>75</v>
      </c>
      <c r="G24" s="4">
        <f>VALUE(SUBSTITUTE(Titanic_DATASET[[#This Row],[Age Correción.]],".",","))</f>
        <v>75</v>
      </c>
      <c r="H24" s="5">
        <v>75</v>
      </c>
      <c r="J24">
        <v>0</v>
      </c>
      <c r="K24">
        <v>0</v>
      </c>
      <c r="L24" s="3">
        <v>2631</v>
      </c>
      <c r="M24" s="6">
        <f t="shared" si="0"/>
        <v>7225</v>
      </c>
      <c r="N24" s="1">
        <v>7225</v>
      </c>
      <c r="O24" s="1" t="str">
        <f t="shared" si="1"/>
        <v>Desconocido</v>
      </c>
      <c r="Q24" t="s">
        <v>910</v>
      </c>
    </row>
    <row r="25" spans="1:17" x14ac:dyDescent="0.25">
      <c r="A25">
        <v>532</v>
      </c>
      <c r="B25">
        <v>0</v>
      </c>
      <c r="C25">
        <v>3</v>
      </c>
      <c r="D25" t="s">
        <v>1727</v>
      </c>
      <c r="E25" t="s">
        <v>902</v>
      </c>
      <c r="F25">
        <f>ROUNDUP(Titanic_DATASET[[#This Row],[Age Correción 2]],0)</f>
        <v>52</v>
      </c>
      <c r="G25" s="4">
        <f>VALUE(SUBSTITUTE(Titanic_DATASET[[#This Row],[Age Correción.]],".",","))</f>
        <v>52</v>
      </c>
      <c r="H25" s="5">
        <v>52</v>
      </c>
      <c r="J25">
        <v>0</v>
      </c>
      <c r="K25">
        <v>0</v>
      </c>
      <c r="L25" s="3">
        <v>2641</v>
      </c>
      <c r="M25" s="6">
        <f t="shared" si="0"/>
        <v>72292</v>
      </c>
      <c r="N25" s="1">
        <v>72292</v>
      </c>
      <c r="O25" s="1" t="str">
        <f t="shared" si="1"/>
        <v>Desconocido</v>
      </c>
      <c r="Q25" t="s">
        <v>910</v>
      </c>
    </row>
    <row r="26" spans="1:17" x14ac:dyDescent="0.25">
      <c r="A26">
        <v>355</v>
      </c>
      <c r="B26">
        <v>0</v>
      </c>
      <c r="C26">
        <v>3</v>
      </c>
      <c r="D26" t="s">
        <v>1480</v>
      </c>
      <c r="E26" t="s">
        <v>902</v>
      </c>
      <c r="F26">
        <f>ROUNDUP(Titanic_DATASET[[#This Row],[Age Correción 2]],0)</f>
        <v>4</v>
      </c>
      <c r="G26" s="4">
        <f>VALUE(SUBSTITUTE(Titanic_DATASET[[#This Row],[Age Correción.]],".",","))</f>
        <v>4</v>
      </c>
      <c r="H26" s="5">
        <v>4</v>
      </c>
      <c r="J26">
        <v>0</v>
      </c>
      <c r="K26">
        <v>0</v>
      </c>
      <c r="L26" s="3">
        <v>2647</v>
      </c>
      <c r="M26" s="6">
        <f t="shared" si="0"/>
        <v>7225</v>
      </c>
      <c r="N26" s="1">
        <v>7225</v>
      </c>
      <c r="O26" s="1" t="str">
        <f t="shared" si="1"/>
        <v>Desconocido</v>
      </c>
      <c r="Q26" t="s">
        <v>910</v>
      </c>
    </row>
    <row r="27" spans="1:17" x14ac:dyDescent="0.25">
      <c r="A27">
        <v>379</v>
      </c>
      <c r="B27">
        <v>0</v>
      </c>
      <c r="C27">
        <v>3</v>
      </c>
      <c r="D27" t="s">
        <v>1516</v>
      </c>
      <c r="E27" t="s">
        <v>902</v>
      </c>
      <c r="F27">
        <f>ROUNDUP(Titanic_DATASET[[#This Row],[Age Correción 2]],0)</f>
        <v>20</v>
      </c>
      <c r="G27" s="4">
        <f>VALUE(SUBSTITUTE(Titanic_DATASET[[#This Row],[Age Correción.]],".",","))</f>
        <v>20</v>
      </c>
      <c r="H27" s="5">
        <v>20</v>
      </c>
      <c r="I27">
        <v>20</v>
      </c>
      <c r="J27">
        <v>0</v>
      </c>
      <c r="K27">
        <v>0</v>
      </c>
      <c r="L27" s="3">
        <v>2648</v>
      </c>
      <c r="M27" s="6">
        <f t="shared" si="0"/>
        <v>40125</v>
      </c>
      <c r="N27" s="1">
        <v>40125</v>
      </c>
      <c r="O27" s="1" t="str">
        <f t="shared" si="1"/>
        <v>Desconocido</v>
      </c>
      <c r="Q27" t="s">
        <v>910</v>
      </c>
    </row>
    <row r="28" spans="1:17" x14ac:dyDescent="0.25">
      <c r="A28">
        <v>20</v>
      </c>
      <c r="B28">
        <v>1</v>
      </c>
      <c r="C28">
        <v>3</v>
      </c>
      <c r="D28" t="s">
        <v>940</v>
      </c>
      <c r="E28" t="s">
        <v>907</v>
      </c>
      <c r="F28">
        <f>ROUNDUP(Titanic_DATASET[[#This Row],[Age Correción 2]],0)</f>
        <v>38</v>
      </c>
      <c r="G28" s="4">
        <f>VALUE(SUBSTITUTE(Titanic_DATASET[[#This Row],[Age Correción.]],".",","))</f>
        <v>38</v>
      </c>
      <c r="H28" s="5">
        <v>38</v>
      </c>
      <c r="J28">
        <v>0</v>
      </c>
      <c r="K28">
        <v>0</v>
      </c>
      <c r="L28" s="3">
        <v>2649</v>
      </c>
      <c r="M28" s="6">
        <f t="shared" si="0"/>
        <v>7225</v>
      </c>
      <c r="N28" s="1">
        <v>7225</v>
      </c>
      <c r="O28" s="1" t="str">
        <f t="shared" si="1"/>
        <v>Desconocido</v>
      </c>
      <c r="Q28" t="s">
        <v>910</v>
      </c>
    </row>
    <row r="29" spans="1:17" x14ac:dyDescent="0.25">
      <c r="A29">
        <v>256</v>
      </c>
      <c r="B29">
        <v>1</v>
      </c>
      <c r="C29">
        <v>3</v>
      </c>
      <c r="D29" t="s">
        <v>1320</v>
      </c>
      <c r="E29" t="s">
        <v>907</v>
      </c>
      <c r="F29">
        <f>ROUNDUP(Titanic_DATASET[[#This Row],[Age Correción 2]],0)</f>
        <v>29</v>
      </c>
      <c r="G29" s="4">
        <f>VALUE(SUBSTITUTE(Titanic_DATASET[[#This Row],[Age Correción.]],".",","))</f>
        <v>29</v>
      </c>
      <c r="H29" s="5">
        <v>29</v>
      </c>
      <c r="I29">
        <v>29</v>
      </c>
      <c r="J29">
        <v>0</v>
      </c>
      <c r="K29">
        <v>2</v>
      </c>
      <c r="L29" s="3">
        <v>2650</v>
      </c>
      <c r="M29" s="6">
        <f t="shared" si="0"/>
        <v>152458</v>
      </c>
      <c r="N29" s="1">
        <v>152458</v>
      </c>
      <c r="O29" s="1" t="str">
        <f t="shared" si="1"/>
        <v>Desconocido</v>
      </c>
      <c r="Q29" t="s">
        <v>910</v>
      </c>
    </row>
    <row r="30" spans="1:17" x14ac:dyDescent="0.25">
      <c r="A30">
        <v>40</v>
      </c>
      <c r="B30">
        <v>1</v>
      </c>
      <c r="C30">
        <v>3</v>
      </c>
      <c r="D30" t="s">
        <v>972</v>
      </c>
      <c r="E30" t="s">
        <v>907</v>
      </c>
      <c r="F30">
        <f>ROUNDUP(Titanic_DATASET[[#This Row],[Age Correción 2]],0)</f>
        <v>14</v>
      </c>
      <c r="G30" s="4">
        <f>VALUE(SUBSTITUTE(Titanic_DATASET[[#This Row],[Age Correción.]],".",","))</f>
        <v>14</v>
      </c>
      <c r="H30" s="5">
        <v>14</v>
      </c>
      <c r="I30">
        <v>14</v>
      </c>
      <c r="J30">
        <v>1</v>
      </c>
      <c r="K30">
        <v>0</v>
      </c>
      <c r="L30" s="3">
        <v>2651</v>
      </c>
      <c r="M30" s="6">
        <f t="shared" si="0"/>
        <v>112417</v>
      </c>
      <c r="N30" s="1">
        <v>112417</v>
      </c>
      <c r="O30" s="1" t="str">
        <f t="shared" si="1"/>
        <v>Desconocido</v>
      </c>
      <c r="Q30" t="s">
        <v>910</v>
      </c>
    </row>
    <row r="31" spans="1:17" x14ac:dyDescent="0.25">
      <c r="A31">
        <v>126</v>
      </c>
      <c r="B31">
        <v>1</v>
      </c>
      <c r="C31">
        <v>3</v>
      </c>
      <c r="D31" t="s">
        <v>1111</v>
      </c>
      <c r="E31" t="s">
        <v>902</v>
      </c>
      <c r="F31">
        <f>ROUNDUP(Titanic_DATASET[[#This Row],[Age Correción 2]],0)</f>
        <v>12</v>
      </c>
      <c r="G31" s="4">
        <f>VALUE(SUBSTITUTE(Titanic_DATASET[[#This Row],[Age Correción.]],".",","))</f>
        <v>12</v>
      </c>
      <c r="H31" s="5">
        <v>12</v>
      </c>
      <c r="I31">
        <v>12</v>
      </c>
      <c r="J31">
        <v>1</v>
      </c>
      <c r="K31">
        <v>0</v>
      </c>
      <c r="L31" s="3">
        <v>2651</v>
      </c>
      <c r="M31" s="6">
        <f t="shared" si="0"/>
        <v>112417</v>
      </c>
      <c r="N31" s="1">
        <v>112417</v>
      </c>
      <c r="O31" s="1" t="str">
        <f t="shared" si="1"/>
        <v>Desconocido</v>
      </c>
      <c r="Q31" t="s">
        <v>910</v>
      </c>
    </row>
    <row r="32" spans="1:17" x14ac:dyDescent="0.25">
      <c r="A32">
        <v>382</v>
      </c>
      <c r="B32">
        <v>1</v>
      </c>
      <c r="C32">
        <v>3</v>
      </c>
      <c r="D32" t="s">
        <v>1520</v>
      </c>
      <c r="E32" t="s">
        <v>907</v>
      </c>
      <c r="F32">
        <f>ROUNDUP(Titanic_DATASET[[#This Row],[Age Correción 2]],0)</f>
        <v>1</v>
      </c>
      <c r="G32" s="4">
        <f>VALUE(SUBSTITUTE(Titanic_DATASET[[#This Row],[Age Correción.]],".",","))</f>
        <v>1</v>
      </c>
      <c r="H32" s="5">
        <v>1</v>
      </c>
      <c r="I32">
        <v>1</v>
      </c>
      <c r="J32">
        <v>0</v>
      </c>
      <c r="K32">
        <v>2</v>
      </c>
      <c r="L32" s="3">
        <v>2653</v>
      </c>
      <c r="M32" s="6">
        <f t="shared" si="0"/>
        <v>157417</v>
      </c>
      <c r="N32" s="1">
        <v>157417</v>
      </c>
      <c r="O32" s="1" t="str">
        <f t="shared" si="1"/>
        <v>Desconocido</v>
      </c>
      <c r="Q32" t="s">
        <v>910</v>
      </c>
    </row>
    <row r="33" spans="1:17" x14ac:dyDescent="0.25">
      <c r="A33">
        <v>623</v>
      </c>
      <c r="B33">
        <v>1</v>
      </c>
      <c r="C33">
        <v>3</v>
      </c>
      <c r="D33" t="s">
        <v>1851</v>
      </c>
      <c r="E33" t="s">
        <v>902</v>
      </c>
      <c r="F33">
        <f>ROUNDUP(Titanic_DATASET[[#This Row],[Age Correción 2]],0)</f>
        <v>20</v>
      </c>
      <c r="G33" s="4">
        <f>VALUE(SUBSTITUTE(Titanic_DATASET[[#This Row],[Age Correción.]],".",","))</f>
        <v>20</v>
      </c>
      <c r="H33" s="5">
        <v>20</v>
      </c>
      <c r="I33">
        <v>20</v>
      </c>
      <c r="J33">
        <v>1</v>
      </c>
      <c r="K33">
        <v>1</v>
      </c>
      <c r="L33" s="3">
        <v>2653</v>
      </c>
      <c r="M33" s="6">
        <f t="shared" si="0"/>
        <v>157417</v>
      </c>
      <c r="N33" s="1">
        <v>157417</v>
      </c>
      <c r="O33" s="1" t="str">
        <f t="shared" si="1"/>
        <v>Desconocido</v>
      </c>
      <c r="Q33" t="s">
        <v>910</v>
      </c>
    </row>
    <row r="34" spans="1:17" x14ac:dyDescent="0.25">
      <c r="A34">
        <v>621</v>
      </c>
      <c r="B34">
        <v>0</v>
      </c>
      <c r="C34">
        <v>3</v>
      </c>
      <c r="D34" t="s">
        <v>1848</v>
      </c>
      <c r="E34" t="s">
        <v>902</v>
      </c>
      <c r="F34">
        <f>ROUNDUP(Titanic_DATASET[[#This Row],[Age Correción 2]],0)</f>
        <v>27</v>
      </c>
      <c r="G34" s="4">
        <f>VALUE(SUBSTITUTE(Titanic_DATASET[[#This Row],[Age Correción.]],".",","))</f>
        <v>27</v>
      </c>
      <c r="H34" s="5">
        <v>27</v>
      </c>
      <c r="I34">
        <v>27</v>
      </c>
      <c r="J34">
        <v>1</v>
      </c>
      <c r="K34">
        <v>0</v>
      </c>
      <c r="L34" s="3">
        <v>2659</v>
      </c>
      <c r="M34" s="6">
        <f t="shared" si="0"/>
        <v>144542</v>
      </c>
      <c r="N34" s="1">
        <v>144542</v>
      </c>
      <c r="O34" s="1" t="str">
        <f t="shared" si="1"/>
        <v>Desconocido</v>
      </c>
      <c r="Q34" t="s">
        <v>910</v>
      </c>
    </row>
    <row r="35" spans="1:17" x14ac:dyDescent="0.25">
      <c r="A35">
        <v>831</v>
      </c>
      <c r="B35">
        <v>1</v>
      </c>
      <c r="C35">
        <v>3</v>
      </c>
      <c r="D35" t="s">
        <v>2119</v>
      </c>
      <c r="E35" t="s">
        <v>907</v>
      </c>
      <c r="F35">
        <f>ROUNDUP(Titanic_DATASET[[#This Row],[Age Correción 2]],0)</f>
        <v>15</v>
      </c>
      <c r="G35" s="4">
        <f>VALUE(SUBSTITUTE(Titanic_DATASET[[#This Row],[Age Correción.]],".",","))</f>
        <v>15</v>
      </c>
      <c r="H35" s="5">
        <v>15</v>
      </c>
      <c r="I35">
        <v>15</v>
      </c>
      <c r="J35">
        <v>1</v>
      </c>
      <c r="K35">
        <v>0</v>
      </c>
      <c r="L35" s="3">
        <v>2659</v>
      </c>
      <c r="M35" s="6">
        <f t="shared" si="0"/>
        <v>144542</v>
      </c>
      <c r="N35" s="1">
        <v>144542</v>
      </c>
      <c r="O35" s="1" t="str">
        <f t="shared" si="1"/>
        <v>Desconocido</v>
      </c>
      <c r="Q35" t="s">
        <v>910</v>
      </c>
    </row>
    <row r="36" spans="1:17" x14ac:dyDescent="0.25">
      <c r="A36">
        <v>66</v>
      </c>
      <c r="B36">
        <v>1</v>
      </c>
      <c r="C36">
        <v>3</v>
      </c>
      <c r="D36" t="s">
        <v>1018</v>
      </c>
      <c r="E36" t="s">
        <v>902</v>
      </c>
      <c r="F36">
        <f>ROUNDUP(Titanic_DATASET[[#This Row],[Age Correción 2]],0)</f>
        <v>38</v>
      </c>
      <c r="G36" s="4">
        <f>VALUE(SUBSTITUTE(Titanic_DATASET[[#This Row],[Age Correción.]],".",","))</f>
        <v>38</v>
      </c>
      <c r="H36" s="5">
        <v>38</v>
      </c>
      <c r="J36">
        <v>1</v>
      </c>
      <c r="K36">
        <v>1</v>
      </c>
      <c r="L36" s="3">
        <v>2661</v>
      </c>
      <c r="M36" s="6">
        <f t="shared" si="0"/>
        <v>152458</v>
      </c>
      <c r="N36" s="1">
        <v>152458</v>
      </c>
      <c r="O36" s="1" t="str">
        <f t="shared" si="1"/>
        <v>Desconocido</v>
      </c>
      <c r="Q36" t="s">
        <v>910</v>
      </c>
    </row>
    <row r="37" spans="1:17" x14ac:dyDescent="0.25">
      <c r="A37">
        <v>710</v>
      </c>
      <c r="B37">
        <v>1</v>
      </c>
      <c r="C37">
        <v>3</v>
      </c>
      <c r="D37" t="s">
        <v>1964</v>
      </c>
      <c r="E37" t="s">
        <v>902</v>
      </c>
      <c r="F37">
        <f>ROUNDUP(Titanic_DATASET[[#This Row],[Age Correción 2]],0)</f>
        <v>36</v>
      </c>
      <c r="G37" s="4">
        <f>VALUE(SUBSTITUTE(Titanic_DATASET[[#This Row],[Age Correción.]],".",","))</f>
        <v>36</v>
      </c>
      <c r="H37" s="5">
        <v>36</v>
      </c>
      <c r="J37">
        <v>1</v>
      </c>
      <c r="K37">
        <v>1</v>
      </c>
      <c r="L37" s="3">
        <v>2661</v>
      </c>
      <c r="M37" s="6">
        <f t="shared" si="0"/>
        <v>152458</v>
      </c>
      <c r="N37" s="1">
        <v>152458</v>
      </c>
      <c r="O37" s="1" t="str">
        <f t="shared" si="1"/>
        <v>Desconocido</v>
      </c>
      <c r="Q37" t="s">
        <v>910</v>
      </c>
    </row>
    <row r="38" spans="1:17" x14ac:dyDescent="0.25">
      <c r="A38">
        <v>49</v>
      </c>
      <c r="B38">
        <v>0</v>
      </c>
      <c r="C38">
        <v>3</v>
      </c>
      <c r="D38" t="s">
        <v>984</v>
      </c>
      <c r="E38" t="s">
        <v>902</v>
      </c>
      <c r="F38">
        <f>ROUNDUP(Titanic_DATASET[[#This Row],[Age Correción 2]],0)</f>
        <v>78</v>
      </c>
      <c r="G38" s="4">
        <f>VALUE(SUBSTITUTE(Titanic_DATASET[[#This Row],[Age Correción.]],".",","))</f>
        <v>78</v>
      </c>
      <c r="H38" s="5">
        <v>78</v>
      </c>
      <c r="J38">
        <v>2</v>
      </c>
      <c r="K38">
        <v>0</v>
      </c>
      <c r="L38" s="3">
        <v>2662</v>
      </c>
      <c r="M38" s="6">
        <f t="shared" si="0"/>
        <v>216792</v>
      </c>
      <c r="N38" s="1">
        <v>216792</v>
      </c>
      <c r="O38" s="1" t="str">
        <f t="shared" si="1"/>
        <v>Desconocido</v>
      </c>
      <c r="Q38" t="s">
        <v>910</v>
      </c>
    </row>
    <row r="39" spans="1:17" x14ac:dyDescent="0.25">
      <c r="A39">
        <v>763</v>
      </c>
      <c r="B39">
        <v>1</v>
      </c>
      <c r="C39">
        <v>3</v>
      </c>
      <c r="D39" t="s">
        <v>2030</v>
      </c>
      <c r="E39" t="s">
        <v>902</v>
      </c>
      <c r="F39">
        <f>ROUNDUP(Titanic_DATASET[[#This Row],[Age Correción 2]],0)</f>
        <v>20</v>
      </c>
      <c r="G39" s="4">
        <f>VALUE(SUBSTITUTE(Titanic_DATASET[[#This Row],[Age Correción.]],".",","))</f>
        <v>20</v>
      </c>
      <c r="H39" s="5">
        <v>20</v>
      </c>
      <c r="I39">
        <v>20</v>
      </c>
      <c r="J39">
        <v>0</v>
      </c>
      <c r="K39">
        <v>0</v>
      </c>
      <c r="L39" s="3">
        <v>2663</v>
      </c>
      <c r="M39" s="6">
        <f t="shared" si="0"/>
        <v>72292</v>
      </c>
      <c r="N39" s="1">
        <v>72292</v>
      </c>
      <c r="O39" s="1" t="str">
        <f t="shared" si="1"/>
        <v>Desconocido</v>
      </c>
      <c r="Q39" t="s">
        <v>910</v>
      </c>
    </row>
    <row r="40" spans="1:17" x14ac:dyDescent="0.25">
      <c r="A40">
        <v>599</v>
      </c>
      <c r="B40">
        <v>0</v>
      </c>
      <c r="C40">
        <v>3</v>
      </c>
      <c r="D40" t="s">
        <v>1822</v>
      </c>
      <c r="E40" t="s">
        <v>902</v>
      </c>
      <c r="F40">
        <f>ROUNDUP(Titanic_DATASET[[#This Row],[Age Correción 2]],0)</f>
        <v>5</v>
      </c>
      <c r="G40" s="4">
        <f>VALUE(SUBSTITUTE(Titanic_DATASET[[#This Row],[Age Correción.]],".",","))</f>
        <v>5</v>
      </c>
      <c r="H40" s="5">
        <v>5</v>
      </c>
      <c r="J40">
        <v>0</v>
      </c>
      <c r="K40">
        <v>0</v>
      </c>
      <c r="L40" s="3">
        <v>2664</v>
      </c>
      <c r="M40" s="6">
        <f t="shared" si="0"/>
        <v>7225</v>
      </c>
      <c r="N40" s="1">
        <v>7225</v>
      </c>
      <c r="O40" s="1" t="str">
        <f t="shared" si="1"/>
        <v>Desconocido</v>
      </c>
      <c r="Q40" t="s">
        <v>910</v>
      </c>
    </row>
    <row r="41" spans="1:17" x14ac:dyDescent="0.25">
      <c r="A41">
        <v>112</v>
      </c>
      <c r="B41">
        <v>0</v>
      </c>
      <c r="C41">
        <v>3</v>
      </c>
      <c r="D41" t="s">
        <v>1089</v>
      </c>
      <c r="E41" t="s">
        <v>907</v>
      </c>
      <c r="F41">
        <f>ROUNDUP(Titanic_DATASET[[#This Row],[Age Correción 2]],0)</f>
        <v>15</v>
      </c>
      <c r="G41" s="4">
        <f>VALUE(SUBSTITUTE(Titanic_DATASET[[#This Row],[Age Correción.]],".",","))</f>
        <v>14.5</v>
      </c>
      <c r="H41" s="5" t="s">
        <v>1090</v>
      </c>
      <c r="I41" t="s">
        <v>1090</v>
      </c>
      <c r="J41">
        <v>1</v>
      </c>
      <c r="K41">
        <v>0</v>
      </c>
      <c r="L41" s="3">
        <v>2665</v>
      </c>
      <c r="M41" s="6">
        <f t="shared" si="0"/>
        <v>144542</v>
      </c>
      <c r="N41" s="1">
        <v>144542</v>
      </c>
      <c r="O41" s="1" t="str">
        <f t="shared" si="1"/>
        <v>Desconocido</v>
      </c>
      <c r="Q41" t="s">
        <v>910</v>
      </c>
    </row>
    <row r="42" spans="1:17" x14ac:dyDescent="0.25">
      <c r="A42">
        <v>241</v>
      </c>
      <c r="B42">
        <v>0</v>
      </c>
      <c r="C42">
        <v>3</v>
      </c>
      <c r="D42" t="s">
        <v>1299</v>
      </c>
      <c r="E42" t="s">
        <v>907</v>
      </c>
      <c r="F42">
        <f>ROUNDUP(Titanic_DATASET[[#This Row],[Age Correción 2]],0)</f>
        <v>29</v>
      </c>
      <c r="G42" s="4">
        <f>VALUE(SUBSTITUTE(Titanic_DATASET[[#This Row],[Age Correción.]],".",","))</f>
        <v>29</v>
      </c>
      <c r="H42" s="5">
        <v>29</v>
      </c>
      <c r="J42">
        <v>1</v>
      </c>
      <c r="K42">
        <v>0</v>
      </c>
      <c r="L42" s="3">
        <v>2665</v>
      </c>
      <c r="M42" s="6">
        <f t="shared" si="0"/>
        <v>144542</v>
      </c>
      <c r="N42" s="1">
        <v>144542</v>
      </c>
      <c r="O42" s="1" t="str">
        <f t="shared" si="1"/>
        <v>Desconocido</v>
      </c>
      <c r="Q42" t="s">
        <v>910</v>
      </c>
    </row>
    <row r="43" spans="1:17" x14ac:dyDescent="0.25">
      <c r="A43">
        <v>449</v>
      </c>
      <c r="B43">
        <v>1</v>
      </c>
      <c r="C43">
        <v>3</v>
      </c>
      <c r="D43" t="s">
        <v>1605</v>
      </c>
      <c r="E43" t="s">
        <v>907</v>
      </c>
      <c r="F43">
        <f>ROUNDUP(Titanic_DATASET[[#This Row],[Age Correción 2]],0)</f>
        <v>5</v>
      </c>
      <c r="G43" s="4">
        <f>VALUE(SUBSTITUTE(Titanic_DATASET[[#This Row],[Age Correción.]],".",","))</f>
        <v>5</v>
      </c>
      <c r="H43" s="5">
        <v>5</v>
      </c>
      <c r="I43">
        <v>5</v>
      </c>
      <c r="J43">
        <v>2</v>
      </c>
      <c r="K43">
        <v>1</v>
      </c>
      <c r="L43" s="3">
        <v>2666</v>
      </c>
      <c r="M43" s="6">
        <f t="shared" si="0"/>
        <v>192583</v>
      </c>
      <c r="N43" s="1">
        <v>192583</v>
      </c>
      <c r="O43" s="1" t="str">
        <f t="shared" si="1"/>
        <v>Desconocido</v>
      </c>
      <c r="Q43" t="s">
        <v>910</v>
      </c>
    </row>
    <row r="44" spans="1:17" x14ac:dyDescent="0.25">
      <c r="A44">
        <v>470</v>
      </c>
      <c r="B44">
        <v>1</v>
      </c>
      <c r="C44">
        <v>3</v>
      </c>
      <c r="D44" t="s">
        <v>1638</v>
      </c>
      <c r="E44" t="s">
        <v>907</v>
      </c>
      <c r="F44">
        <f>ROUNDUP(Titanic_DATASET[[#This Row],[Age Correción 2]],0)</f>
        <v>1</v>
      </c>
      <c r="G44" s="4">
        <f>VALUE(SUBSTITUTE(Titanic_DATASET[[#This Row],[Age Correción.]],".",","))</f>
        <v>0.75</v>
      </c>
      <c r="H44" s="5" t="s">
        <v>1639</v>
      </c>
      <c r="I44" t="s">
        <v>1639</v>
      </c>
      <c r="J44">
        <v>2</v>
      </c>
      <c r="K44">
        <v>1</v>
      </c>
      <c r="L44" s="3">
        <v>2666</v>
      </c>
      <c r="M44" s="6">
        <f t="shared" si="0"/>
        <v>192583</v>
      </c>
      <c r="N44" s="1">
        <v>192583</v>
      </c>
      <c r="O44" s="1" t="str">
        <f t="shared" si="1"/>
        <v>Desconocido</v>
      </c>
      <c r="Q44" t="s">
        <v>910</v>
      </c>
    </row>
    <row r="45" spans="1:17" x14ac:dyDescent="0.25">
      <c r="A45">
        <v>645</v>
      </c>
      <c r="B45">
        <v>1</v>
      </c>
      <c r="C45">
        <v>3</v>
      </c>
      <c r="D45" t="s">
        <v>1878</v>
      </c>
      <c r="E45" t="s">
        <v>907</v>
      </c>
      <c r="F45">
        <f>ROUNDUP(Titanic_DATASET[[#This Row],[Age Correción 2]],0)</f>
        <v>1</v>
      </c>
      <c r="G45" s="4">
        <f>VALUE(SUBSTITUTE(Titanic_DATASET[[#This Row],[Age Correción.]],".",","))</f>
        <v>0.75</v>
      </c>
      <c r="H45" s="5" t="s">
        <v>1639</v>
      </c>
      <c r="I45" t="s">
        <v>1639</v>
      </c>
      <c r="J45">
        <v>2</v>
      </c>
      <c r="K45">
        <v>1</v>
      </c>
      <c r="L45" s="3">
        <v>2666</v>
      </c>
      <c r="M45" s="6">
        <f t="shared" si="0"/>
        <v>192583</v>
      </c>
      <c r="N45" s="1">
        <v>192583</v>
      </c>
      <c r="O45" s="1" t="str">
        <f t="shared" si="1"/>
        <v>Desconocido</v>
      </c>
      <c r="Q45" t="s">
        <v>910</v>
      </c>
    </row>
    <row r="46" spans="1:17" x14ac:dyDescent="0.25">
      <c r="A46">
        <v>859</v>
      </c>
      <c r="B46">
        <v>1</v>
      </c>
      <c r="C46">
        <v>3</v>
      </c>
      <c r="D46" t="s">
        <v>2158</v>
      </c>
      <c r="E46" t="s">
        <v>907</v>
      </c>
      <c r="F46">
        <f>ROUNDUP(Titanic_DATASET[[#This Row],[Age Correción 2]],0)</f>
        <v>24</v>
      </c>
      <c r="G46" s="4">
        <f>VALUE(SUBSTITUTE(Titanic_DATASET[[#This Row],[Age Correción.]],".",","))</f>
        <v>24</v>
      </c>
      <c r="H46" s="5">
        <v>24</v>
      </c>
      <c r="I46">
        <v>24</v>
      </c>
      <c r="J46">
        <v>0</v>
      </c>
      <c r="K46">
        <v>3</v>
      </c>
      <c r="L46" s="3">
        <v>2666</v>
      </c>
      <c r="M46" s="6">
        <f t="shared" si="0"/>
        <v>192583</v>
      </c>
      <c r="N46" s="1">
        <v>192583</v>
      </c>
      <c r="O46" s="1" t="str">
        <f t="shared" si="1"/>
        <v>Desconocido</v>
      </c>
      <c r="Q46" t="s">
        <v>910</v>
      </c>
    </row>
    <row r="47" spans="1:17" x14ac:dyDescent="0.25">
      <c r="A47">
        <v>876</v>
      </c>
      <c r="B47">
        <v>1</v>
      </c>
      <c r="C47">
        <v>3</v>
      </c>
      <c r="D47" t="s">
        <v>2178</v>
      </c>
      <c r="E47" t="s">
        <v>907</v>
      </c>
      <c r="F47">
        <f>ROUNDUP(Titanic_DATASET[[#This Row],[Age Correción 2]],0)</f>
        <v>15</v>
      </c>
      <c r="G47" s="4">
        <f>VALUE(SUBSTITUTE(Titanic_DATASET[[#This Row],[Age Correción.]],".",","))</f>
        <v>15</v>
      </c>
      <c r="H47" s="5">
        <v>15</v>
      </c>
      <c r="I47">
        <v>15</v>
      </c>
      <c r="J47">
        <v>0</v>
      </c>
      <c r="K47">
        <v>0</v>
      </c>
      <c r="L47" s="3">
        <v>2667</v>
      </c>
      <c r="M47" s="6">
        <f t="shared" si="0"/>
        <v>7225</v>
      </c>
      <c r="N47" s="1">
        <v>7225</v>
      </c>
      <c r="O47" s="1" t="str">
        <f t="shared" si="1"/>
        <v>Desconocido</v>
      </c>
      <c r="Q47" t="s">
        <v>910</v>
      </c>
    </row>
    <row r="48" spans="1:17" x14ac:dyDescent="0.25">
      <c r="A48">
        <v>129</v>
      </c>
      <c r="B48">
        <v>1</v>
      </c>
      <c r="C48">
        <v>3</v>
      </c>
      <c r="D48" t="s">
        <v>1115</v>
      </c>
      <c r="E48" t="s">
        <v>907</v>
      </c>
      <c r="F48">
        <f>ROUNDUP(Titanic_DATASET[[#This Row],[Age Correción 2]],0)</f>
        <v>8</v>
      </c>
      <c r="G48" s="4">
        <f>VALUE(SUBSTITUTE(Titanic_DATASET[[#This Row],[Age Correción.]],".",","))</f>
        <v>8</v>
      </c>
      <c r="H48" s="5">
        <v>8</v>
      </c>
      <c r="J48">
        <v>1</v>
      </c>
      <c r="K48">
        <v>1</v>
      </c>
      <c r="L48" s="3">
        <v>2668</v>
      </c>
      <c r="M48" s="6">
        <f t="shared" si="0"/>
        <v>223583</v>
      </c>
      <c r="N48" s="1">
        <v>223583</v>
      </c>
      <c r="O48" s="1" t="str">
        <f t="shared" si="1"/>
        <v>F E69</v>
      </c>
      <c r="P48" t="s">
        <v>1116</v>
      </c>
      <c r="Q48" t="s">
        <v>910</v>
      </c>
    </row>
    <row r="49" spans="1:17" x14ac:dyDescent="0.25">
      <c r="A49">
        <v>534</v>
      </c>
      <c r="B49">
        <v>1</v>
      </c>
      <c r="C49">
        <v>3</v>
      </c>
      <c r="D49" t="s">
        <v>1729</v>
      </c>
      <c r="E49" t="s">
        <v>907</v>
      </c>
      <c r="F49">
        <f>ROUNDUP(Titanic_DATASET[[#This Row],[Age Correción 2]],0)</f>
        <v>7</v>
      </c>
      <c r="G49" s="4">
        <f>VALUE(SUBSTITUTE(Titanic_DATASET[[#This Row],[Age Correción.]],".",","))</f>
        <v>7</v>
      </c>
      <c r="H49" s="5">
        <v>7</v>
      </c>
      <c r="J49">
        <v>0</v>
      </c>
      <c r="K49">
        <v>2</v>
      </c>
      <c r="L49" s="3">
        <v>2668</v>
      </c>
      <c r="M49" s="6">
        <f t="shared" si="0"/>
        <v>223583</v>
      </c>
      <c r="N49" s="1">
        <v>223583</v>
      </c>
      <c r="O49" s="1" t="str">
        <f t="shared" si="1"/>
        <v>Desconocido</v>
      </c>
      <c r="Q49" t="s">
        <v>910</v>
      </c>
    </row>
    <row r="50" spans="1:17" x14ac:dyDescent="0.25">
      <c r="A50">
        <v>61</v>
      </c>
      <c r="B50">
        <v>0</v>
      </c>
      <c r="C50">
        <v>3</v>
      </c>
      <c r="D50" t="s">
        <v>1009</v>
      </c>
      <c r="E50" t="s">
        <v>902</v>
      </c>
      <c r="F50">
        <f>ROUNDUP(Titanic_DATASET[[#This Row],[Age Correción 2]],0)</f>
        <v>22</v>
      </c>
      <c r="G50" s="4">
        <f>VALUE(SUBSTITUTE(Titanic_DATASET[[#This Row],[Age Correción.]],".",","))</f>
        <v>22</v>
      </c>
      <c r="H50" s="5">
        <v>22</v>
      </c>
      <c r="I50">
        <v>22</v>
      </c>
      <c r="J50">
        <v>0</v>
      </c>
      <c r="K50">
        <v>0</v>
      </c>
      <c r="L50" s="3">
        <v>2669</v>
      </c>
      <c r="M50" s="6">
        <f t="shared" si="0"/>
        <v>72292</v>
      </c>
      <c r="N50" s="1">
        <v>72292</v>
      </c>
      <c r="O50" s="1" t="str">
        <f t="shared" si="1"/>
        <v>Desconocido</v>
      </c>
      <c r="Q50" t="s">
        <v>910</v>
      </c>
    </row>
    <row r="51" spans="1:17" x14ac:dyDescent="0.25">
      <c r="A51">
        <v>833</v>
      </c>
      <c r="B51">
        <v>0</v>
      </c>
      <c r="C51">
        <v>3</v>
      </c>
      <c r="D51" t="s">
        <v>2121</v>
      </c>
      <c r="E51" t="s">
        <v>902</v>
      </c>
      <c r="F51">
        <f>ROUNDUP(Titanic_DATASET[[#This Row],[Age Correción 2]],0)</f>
        <v>38</v>
      </c>
      <c r="G51" s="4">
        <f>VALUE(SUBSTITUTE(Titanic_DATASET[[#This Row],[Age Correción.]],".",","))</f>
        <v>38</v>
      </c>
      <c r="H51" s="5">
        <v>38</v>
      </c>
      <c r="J51">
        <v>0</v>
      </c>
      <c r="K51">
        <v>0</v>
      </c>
      <c r="L51" s="3">
        <v>2671</v>
      </c>
      <c r="M51" s="6">
        <f t="shared" si="0"/>
        <v>72292</v>
      </c>
      <c r="N51" s="1">
        <v>72292</v>
      </c>
      <c r="O51" s="1" t="str">
        <f t="shared" si="1"/>
        <v>Desconocido</v>
      </c>
      <c r="Q51" t="s">
        <v>910</v>
      </c>
    </row>
    <row r="52" spans="1:17" x14ac:dyDescent="0.25">
      <c r="A52">
        <v>694</v>
      </c>
      <c r="B52">
        <v>0</v>
      </c>
      <c r="C52">
        <v>3</v>
      </c>
      <c r="D52" t="s">
        <v>1943</v>
      </c>
      <c r="E52" t="s">
        <v>902</v>
      </c>
      <c r="F52">
        <f>ROUNDUP(Titanic_DATASET[[#This Row],[Age Correción 2]],0)</f>
        <v>25</v>
      </c>
      <c r="G52" s="4">
        <f>VALUE(SUBSTITUTE(Titanic_DATASET[[#This Row],[Age Correción.]],".",","))</f>
        <v>25</v>
      </c>
      <c r="H52" s="5">
        <v>25</v>
      </c>
      <c r="I52">
        <v>25</v>
      </c>
      <c r="J52">
        <v>0</v>
      </c>
      <c r="K52">
        <v>0</v>
      </c>
      <c r="L52" s="3">
        <v>2672</v>
      </c>
      <c r="M52" s="6">
        <f t="shared" si="0"/>
        <v>7225</v>
      </c>
      <c r="N52" s="1">
        <v>7225</v>
      </c>
      <c r="O52" s="1" t="str">
        <f t="shared" si="1"/>
        <v>Desconocido</v>
      </c>
      <c r="Q52" t="s">
        <v>910</v>
      </c>
    </row>
    <row r="53" spans="1:17" x14ac:dyDescent="0.25">
      <c r="A53">
        <v>774</v>
      </c>
      <c r="B53">
        <v>0</v>
      </c>
      <c r="C53">
        <v>3</v>
      </c>
      <c r="D53" t="s">
        <v>2044</v>
      </c>
      <c r="E53" t="s">
        <v>902</v>
      </c>
      <c r="F53">
        <f>ROUNDUP(Titanic_DATASET[[#This Row],[Age Correción 2]],0)</f>
        <v>51</v>
      </c>
      <c r="G53" s="4">
        <f>VALUE(SUBSTITUTE(Titanic_DATASET[[#This Row],[Age Correción.]],".",","))</f>
        <v>51</v>
      </c>
      <c r="H53" s="5">
        <v>51</v>
      </c>
      <c r="J53">
        <v>0</v>
      </c>
      <c r="K53">
        <v>0</v>
      </c>
      <c r="L53" s="3">
        <v>2674</v>
      </c>
      <c r="M53" s="6">
        <f t="shared" si="0"/>
        <v>7225</v>
      </c>
      <c r="N53" s="1">
        <v>7225</v>
      </c>
      <c r="O53" s="1" t="str">
        <f t="shared" si="1"/>
        <v>Desconocido</v>
      </c>
      <c r="Q53" t="s">
        <v>910</v>
      </c>
    </row>
    <row r="54" spans="1:17" x14ac:dyDescent="0.25">
      <c r="A54">
        <v>37</v>
      </c>
      <c r="B54">
        <v>1</v>
      </c>
      <c r="C54">
        <v>3</v>
      </c>
      <c r="D54" t="s">
        <v>968</v>
      </c>
      <c r="E54" t="s">
        <v>902</v>
      </c>
      <c r="F54">
        <f>ROUNDUP(Titanic_DATASET[[#This Row],[Age Correción 2]],0)</f>
        <v>69</v>
      </c>
      <c r="G54" s="4">
        <f>VALUE(SUBSTITUTE(Titanic_DATASET[[#This Row],[Age Correción.]],".",","))</f>
        <v>69</v>
      </c>
      <c r="H54" s="5">
        <v>69</v>
      </c>
      <c r="J54">
        <v>0</v>
      </c>
      <c r="K54">
        <v>0</v>
      </c>
      <c r="L54" s="3">
        <v>2677</v>
      </c>
      <c r="M54" s="6">
        <f t="shared" si="0"/>
        <v>72292</v>
      </c>
      <c r="N54" s="1">
        <v>72292</v>
      </c>
      <c r="O54" s="1" t="str">
        <f t="shared" si="1"/>
        <v>Desconocido</v>
      </c>
      <c r="Q54" t="s">
        <v>910</v>
      </c>
    </row>
    <row r="55" spans="1:17" x14ac:dyDescent="0.25">
      <c r="A55">
        <v>141</v>
      </c>
      <c r="B55">
        <v>0</v>
      </c>
      <c r="C55">
        <v>3</v>
      </c>
      <c r="D55" t="s">
        <v>1137</v>
      </c>
      <c r="E55" t="s">
        <v>907</v>
      </c>
      <c r="F55">
        <f>ROUNDUP(Titanic_DATASET[[#This Row],[Age Correción 2]],0)</f>
        <v>74</v>
      </c>
      <c r="G55" s="4">
        <f>VALUE(SUBSTITUTE(Titanic_DATASET[[#This Row],[Age Correción.]],".",","))</f>
        <v>74</v>
      </c>
      <c r="H55" s="5">
        <v>74</v>
      </c>
      <c r="J55">
        <v>0</v>
      </c>
      <c r="K55">
        <v>2</v>
      </c>
      <c r="L55" s="3">
        <v>2678</v>
      </c>
      <c r="M55" s="6">
        <f t="shared" si="0"/>
        <v>152458</v>
      </c>
      <c r="N55" s="1">
        <v>152458</v>
      </c>
      <c r="O55" s="1" t="str">
        <f t="shared" si="1"/>
        <v>Desconocido</v>
      </c>
      <c r="Q55" t="s">
        <v>910</v>
      </c>
    </row>
    <row r="56" spans="1:17" x14ac:dyDescent="0.25">
      <c r="A56">
        <v>853</v>
      </c>
      <c r="B56">
        <v>0</v>
      </c>
      <c r="C56">
        <v>3</v>
      </c>
      <c r="D56" t="s">
        <v>2148</v>
      </c>
      <c r="E56" t="s">
        <v>907</v>
      </c>
      <c r="F56">
        <f>ROUNDUP(Titanic_DATASET[[#This Row],[Age Correción 2]],0)</f>
        <v>9</v>
      </c>
      <c r="G56" s="4">
        <f>VALUE(SUBSTITUTE(Titanic_DATASET[[#This Row],[Age Correción.]],".",","))</f>
        <v>9</v>
      </c>
      <c r="H56" s="5">
        <v>9</v>
      </c>
      <c r="I56">
        <v>9</v>
      </c>
      <c r="J56">
        <v>1</v>
      </c>
      <c r="K56">
        <v>1</v>
      </c>
      <c r="L56" s="3">
        <v>2678</v>
      </c>
      <c r="M56" s="6">
        <f t="shared" si="0"/>
        <v>152458</v>
      </c>
      <c r="N56" s="1">
        <v>152458</v>
      </c>
      <c r="O56" s="1" t="str">
        <f t="shared" si="1"/>
        <v>Desconocido</v>
      </c>
      <c r="Q56" t="s">
        <v>910</v>
      </c>
    </row>
    <row r="57" spans="1:17" x14ac:dyDescent="0.25">
      <c r="A57">
        <v>74</v>
      </c>
      <c r="B57">
        <v>0</v>
      </c>
      <c r="C57">
        <v>3</v>
      </c>
      <c r="D57" t="s">
        <v>1032</v>
      </c>
      <c r="E57" t="s">
        <v>902</v>
      </c>
      <c r="F57">
        <f>ROUNDUP(Titanic_DATASET[[#This Row],[Age Correción 2]],0)</f>
        <v>26</v>
      </c>
      <c r="G57" s="4">
        <f>VALUE(SUBSTITUTE(Titanic_DATASET[[#This Row],[Age Correción.]],".",","))</f>
        <v>26</v>
      </c>
      <c r="H57" s="5">
        <v>26</v>
      </c>
      <c r="I57">
        <v>26</v>
      </c>
      <c r="J57">
        <v>1</v>
      </c>
      <c r="K57">
        <v>0</v>
      </c>
      <c r="L57" s="3">
        <v>2680</v>
      </c>
      <c r="M57" s="6">
        <f t="shared" si="0"/>
        <v>144542</v>
      </c>
      <c r="N57" s="1">
        <v>144542</v>
      </c>
      <c r="O57" s="1" t="str">
        <f t="shared" si="1"/>
        <v>Desconocido</v>
      </c>
      <c r="Q57" t="s">
        <v>910</v>
      </c>
    </row>
    <row r="58" spans="1:17" x14ac:dyDescent="0.25">
      <c r="A58">
        <v>844</v>
      </c>
      <c r="B58">
        <v>0</v>
      </c>
      <c r="C58">
        <v>3</v>
      </c>
      <c r="D58" t="s">
        <v>2137</v>
      </c>
      <c r="E58" t="s">
        <v>902</v>
      </c>
      <c r="F58">
        <f>ROUNDUP(Titanic_DATASET[[#This Row],[Age Correción 2]],0)</f>
        <v>35</v>
      </c>
      <c r="G58" s="4">
        <f>VALUE(SUBSTITUTE(Titanic_DATASET[[#This Row],[Age Correción.]],".",","))</f>
        <v>34.5</v>
      </c>
      <c r="H58" s="5" t="s">
        <v>2138</v>
      </c>
      <c r="I58" t="s">
        <v>2138</v>
      </c>
      <c r="J58">
        <v>0</v>
      </c>
      <c r="K58">
        <v>0</v>
      </c>
      <c r="L58" s="3">
        <v>2683</v>
      </c>
      <c r="M58" s="6">
        <f t="shared" si="0"/>
        <v>64375</v>
      </c>
      <c r="N58" s="1">
        <v>64375</v>
      </c>
      <c r="O58" s="1" t="str">
        <f t="shared" si="1"/>
        <v>Desconocido</v>
      </c>
      <c r="Q58" t="s">
        <v>910</v>
      </c>
    </row>
    <row r="59" spans="1:17" x14ac:dyDescent="0.25">
      <c r="A59">
        <v>799</v>
      </c>
      <c r="B59">
        <v>0</v>
      </c>
      <c r="C59">
        <v>3</v>
      </c>
      <c r="D59" t="s">
        <v>2078</v>
      </c>
      <c r="E59" t="s">
        <v>902</v>
      </c>
      <c r="F59">
        <f>ROUNDUP(Titanic_DATASET[[#This Row],[Age Correción 2]],0)</f>
        <v>30</v>
      </c>
      <c r="G59" s="4">
        <f>VALUE(SUBSTITUTE(Titanic_DATASET[[#This Row],[Age Correción.]],".",","))</f>
        <v>30</v>
      </c>
      <c r="H59" s="5">
        <v>30</v>
      </c>
      <c r="I59">
        <v>30</v>
      </c>
      <c r="J59">
        <v>0</v>
      </c>
      <c r="K59">
        <v>0</v>
      </c>
      <c r="L59" s="3">
        <v>2685</v>
      </c>
      <c r="M59" s="6">
        <f t="shared" si="0"/>
        <v>72292</v>
      </c>
      <c r="N59" s="1">
        <v>72292</v>
      </c>
      <c r="O59" s="1" t="str">
        <f t="shared" si="1"/>
        <v>Desconocido</v>
      </c>
      <c r="Q59" t="s">
        <v>910</v>
      </c>
    </row>
    <row r="60" spans="1:17" x14ac:dyDescent="0.25">
      <c r="A60">
        <v>569</v>
      </c>
      <c r="B60">
        <v>0</v>
      </c>
      <c r="C60">
        <v>3</v>
      </c>
      <c r="D60" t="s">
        <v>1779</v>
      </c>
      <c r="E60" t="s">
        <v>902</v>
      </c>
      <c r="F60">
        <f>ROUNDUP(Titanic_DATASET[[#This Row],[Age Correción 2]],0)</f>
        <v>11</v>
      </c>
      <c r="G60" s="4">
        <f>VALUE(SUBSTITUTE(Titanic_DATASET[[#This Row],[Age Correción.]],".",","))</f>
        <v>11</v>
      </c>
      <c r="H60" s="5">
        <v>11</v>
      </c>
      <c r="J60">
        <v>0</v>
      </c>
      <c r="K60">
        <v>0</v>
      </c>
      <c r="L60" s="3">
        <v>2686</v>
      </c>
      <c r="M60" s="6">
        <f t="shared" si="0"/>
        <v>72292</v>
      </c>
      <c r="N60" s="1">
        <v>72292</v>
      </c>
      <c r="O60" s="1" t="str">
        <f t="shared" si="1"/>
        <v>Desconocido</v>
      </c>
      <c r="Q60" t="s">
        <v>910</v>
      </c>
    </row>
    <row r="61" spans="1:17" x14ac:dyDescent="0.25">
      <c r="A61">
        <v>781</v>
      </c>
      <c r="B61">
        <v>1</v>
      </c>
      <c r="C61">
        <v>3</v>
      </c>
      <c r="D61" t="s">
        <v>2053</v>
      </c>
      <c r="E61" t="s">
        <v>907</v>
      </c>
      <c r="F61">
        <f>ROUNDUP(Titanic_DATASET[[#This Row],[Age Correción 2]],0)</f>
        <v>13</v>
      </c>
      <c r="G61" s="4">
        <f>VALUE(SUBSTITUTE(Titanic_DATASET[[#This Row],[Age Correción.]],".",","))</f>
        <v>13</v>
      </c>
      <c r="H61" s="5">
        <v>13</v>
      </c>
      <c r="I61">
        <v>13</v>
      </c>
      <c r="J61">
        <v>0</v>
      </c>
      <c r="K61">
        <v>0</v>
      </c>
      <c r="L61" s="3">
        <v>2687</v>
      </c>
      <c r="M61" s="6">
        <f t="shared" si="0"/>
        <v>72292</v>
      </c>
      <c r="N61" s="1">
        <v>72292</v>
      </c>
      <c r="O61" s="1" t="str">
        <f t="shared" si="1"/>
        <v>Desconocido</v>
      </c>
      <c r="Q61" t="s">
        <v>910</v>
      </c>
    </row>
    <row r="62" spans="1:17" x14ac:dyDescent="0.25">
      <c r="A62">
        <v>579</v>
      </c>
      <c r="B62">
        <v>0</v>
      </c>
      <c r="C62">
        <v>3</v>
      </c>
      <c r="D62" t="s">
        <v>1793</v>
      </c>
      <c r="E62" t="s">
        <v>907</v>
      </c>
      <c r="F62">
        <f>ROUNDUP(Titanic_DATASET[[#This Row],[Age Correción 2]],0)</f>
        <v>13</v>
      </c>
      <c r="G62" s="4">
        <f>VALUE(SUBSTITUTE(Titanic_DATASET[[#This Row],[Age Correción.]],".",","))</f>
        <v>13</v>
      </c>
      <c r="H62" s="5">
        <v>13</v>
      </c>
      <c r="J62">
        <v>1</v>
      </c>
      <c r="K62">
        <v>0</v>
      </c>
      <c r="L62" s="3">
        <v>2689</v>
      </c>
      <c r="M62" s="6">
        <f t="shared" si="0"/>
        <v>144583</v>
      </c>
      <c r="N62" s="1">
        <v>144583</v>
      </c>
      <c r="O62" s="1" t="str">
        <f t="shared" si="1"/>
        <v>Desconocido</v>
      </c>
      <c r="Q62" t="s">
        <v>910</v>
      </c>
    </row>
    <row r="63" spans="1:17" x14ac:dyDescent="0.25">
      <c r="A63">
        <v>533</v>
      </c>
      <c r="B63">
        <v>0</v>
      </c>
      <c r="C63">
        <v>3</v>
      </c>
      <c r="D63" t="s">
        <v>1728</v>
      </c>
      <c r="E63" t="s">
        <v>902</v>
      </c>
      <c r="F63">
        <f>ROUNDUP(Titanic_DATASET[[#This Row],[Age Correción 2]],0)</f>
        <v>17</v>
      </c>
      <c r="G63" s="4">
        <f>VALUE(SUBSTITUTE(Titanic_DATASET[[#This Row],[Age Correción.]],".",","))</f>
        <v>17</v>
      </c>
      <c r="H63" s="5">
        <v>17</v>
      </c>
      <c r="I63">
        <v>17</v>
      </c>
      <c r="J63">
        <v>1</v>
      </c>
      <c r="K63">
        <v>1</v>
      </c>
      <c r="L63" s="3">
        <v>2690</v>
      </c>
      <c r="M63" s="6">
        <f t="shared" si="0"/>
        <v>72292</v>
      </c>
      <c r="N63" s="1">
        <v>72292</v>
      </c>
      <c r="O63" s="1" t="str">
        <f t="shared" si="1"/>
        <v>Desconocido</v>
      </c>
      <c r="Q63" t="s">
        <v>910</v>
      </c>
    </row>
    <row r="64" spans="1:17" x14ac:dyDescent="0.25">
      <c r="A64">
        <v>363</v>
      </c>
      <c r="B64">
        <v>0</v>
      </c>
      <c r="C64">
        <v>3</v>
      </c>
      <c r="D64" t="s">
        <v>1489</v>
      </c>
      <c r="E64" t="s">
        <v>907</v>
      </c>
      <c r="F64">
        <f>ROUNDUP(Titanic_DATASET[[#This Row],[Age Correción 2]],0)</f>
        <v>45</v>
      </c>
      <c r="G64" s="4">
        <f>VALUE(SUBSTITUTE(Titanic_DATASET[[#This Row],[Age Correción.]],".",","))</f>
        <v>45</v>
      </c>
      <c r="H64" s="5">
        <v>45</v>
      </c>
      <c r="I64">
        <v>45</v>
      </c>
      <c r="J64">
        <v>0</v>
      </c>
      <c r="K64">
        <v>1</v>
      </c>
      <c r="L64" s="3">
        <v>2691</v>
      </c>
      <c r="M64" s="6">
        <f t="shared" si="0"/>
        <v>144542</v>
      </c>
      <c r="N64" s="1">
        <v>144542</v>
      </c>
      <c r="O64" s="1" t="str">
        <f t="shared" si="1"/>
        <v>Desconocido</v>
      </c>
      <c r="Q64" t="s">
        <v>910</v>
      </c>
    </row>
    <row r="65" spans="1:17" x14ac:dyDescent="0.25">
      <c r="A65">
        <v>703</v>
      </c>
      <c r="B65">
        <v>0</v>
      </c>
      <c r="C65">
        <v>3</v>
      </c>
      <c r="D65" t="s">
        <v>1956</v>
      </c>
      <c r="E65" t="s">
        <v>907</v>
      </c>
      <c r="F65">
        <f>ROUNDUP(Titanic_DATASET[[#This Row],[Age Correción 2]],0)</f>
        <v>18</v>
      </c>
      <c r="G65" s="4">
        <f>VALUE(SUBSTITUTE(Titanic_DATASET[[#This Row],[Age Correción.]],".",","))</f>
        <v>18</v>
      </c>
      <c r="H65" s="5">
        <v>18</v>
      </c>
      <c r="I65">
        <v>18</v>
      </c>
      <c r="J65">
        <v>0</v>
      </c>
      <c r="K65">
        <v>1</v>
      </c>
      <c r="L65" s="3">
        <v>2691</v>
      </c>
      <c r="M65" s="6">
        <f t="shared" si="0"/>
        <v>144542</v>
      </c>
      <c r="N65" s="1">
        <v>144542</v>
      </c>
      <c r="O65" s="1" t="str">
        <f t="shared" si="1"/>
        <v>Desconocido</v>
      </c>
      <c r="Q65" t="s">
        <v>910</v>
      </c>
    </row>
    <row r="66" spans="1:17" x14ac:dyDescent="0.25">
      <c r="A66">
        <v>297</v>
      </c>
      <c r="B66">
        <v>0</v>
      </c>
      <c r="C66">
        <v>3</v>
      </c>
      <c r="D66" t="s">
        <v>1388</v>
      </c>
      <c r="E66" t="s">
        <v>902</v>
      </c>
      <c r="F66">
        <f>ROUNDUP(Titanic_DATASET[[#This Row],[Age Correción 2]],0)</f>
        <v>24</v>
      </c>
      <c r="G66" s="4">
        <f>VALUE(SUBSTITUTE(Titanic_DATASET[[#This Row],[Age Correción.]],".",","))</f>
        <v>23.5</v>
      </c>
      <c r="H66" s="5" t="s">
        <v>1389</v>
      </c>
      <c r="I66" t="s">
        <v>1389</v>
      </c>
      <c r="J66">
        <v>0</v>
      </c>
      <c r="K66">
        <v>0</v>
      </c>
      <c r="L66" s="3">
        <v>2693</v>
      </c>
      <c r="M66" s="6">
        <f t="shared" si="0"/>
        <v>72292</v>
      </c>
      <c r="N66" s="1">
        <v>72292</v>
      </c>
      <c r="O66" s="1" t="str">
        <f t="shared" si="1"/>
        <v>Desconocido</v>
      </c>
      <c r="Q66" t="s">
        <v>910</v>
      </c>
    </row>
    <row r="67" spans="1:17" x14ac:dyDescent="0.25">
      <c r="A67">
        <v>245</v>
      </c>
      <c r="B67">
        <v>0</v>
      </c>
      <c r="C67">
        <v>3</v>
      </c>
      <c r="D67" t="s">
        <v>1305</v>
      </c>
      <c r="E67" t="s">
        <v>902</v>
      </c>
      <c r="F67">
        <f>ROUNDUP(Titanic_DATASET[[#This Row],[Age Correción 2]],0)</f>
        <v>30</v>
      </c>
      <c r="G67" s="4">
        <f>VALUE(SUBSTITUTE(Titanic_DATASET[[#This Row],[Age Correción.]],".",","))</f>
        <v>30</v>
      </c>
      <c r="H67" s="5">
        <v>30</v>
      </c>
      <c r="I67">
        <v>30</v>
      </c>
      <c r="J67">
        <v>0</v>
      </c>
      <c r="K67">
        <v>0</v>
      </c>
      <c r="L67" s="3">
        <v>2694</v>
      </c>
      <c r="M67" s="6">
        <f t="shared" si="0"/>
        <v>7225</v>
      </c>
      <c r="N67" s="1">
        <v>7225</v>
      </c>
      <c r="O67" s="1" t="str">
        <f t="shared" si="1"/>
        <v>Desconocido</v>
      </c>
      <c r="Q67" t="s">
        <v>910</v>
      </c>
    </row>
    <row r="68" spans="1:17" x14ac:dyDescent="0.25">
      <c r="A68">
        <v>353</v>
      </c>
      <c r="B68">
        <v>0</v>
      </c>
      <c r="C68">
        <v>3</v>
      </c>
      <c r="D68" t="s">
        <v>1478</v>
      </c>
      <c r="E68" t="s">
        <v>902</v>
      </c>
      <c r="F68">
        <f>ROUNDUP(Titanic_DATASET[[#This Row],[Age Correción 2]],0)</f>
        <v>15</v>
      </c>
      <c r="G68" s="4">
        <f>VALUE(SUBSTITUTE(Titanic_DATASET[[#This Row],[Age Correción.]],".",","))</f>
        <v>15</v>
      </c>
      <c r="H68" s="5">
        <v>15</v>
      </c>
      <c r="I68">
        <v>15</v>
      </c>
      <c r="J68">
        <v>1</v>
      </c>
      <c r="K68">
        <v>1</v>
      </c>
      <c r="L68" s="3">
        <v>2695</v>
      </c>
      <c r="M68" s="6">
        <f t="shared" ref="M68:M131" si="2">VALUE(SUBSTITUTE(N68,".",","))</f>
        <v>72292</v>
      </c>
      <c r="N68" s="1">
        <v>72292</v>
      </c>
      <c r="O68" s="1" t="str">
        <f t="shared" ref="O68:O131" si="3">IF(ISBLANK(P68),"Desconocido",P68)</f>
        <v>Desconocido</v>
      </c>
      <c r="Q68" t="s">
        <v>910</v>
      </c>
    </row>
    <row r="69" spans="1:17" x14ac:dyDescent="0.25">
      <c r="A69">
        <v>58</v>
      </c>
      <c r="B69">
        <v>0</v>
      </c>
      <c r="C69">
        <v>3</v>
      </c>
      <c r="D69" t="s">
        <v>1001</v>
      </c>
      <c r="E69" t="s">
        <v>902</v>
      </c>
      <c r="F69">
        <f>ROUNDUP(Titanic_DATASET[[#This Row],[Age Correción 2]],0)</f>
        <v>29</v>
      </c>
      <c r="G69" s="4">
        <f>VALUE(SUBSTITUTE(Titanic_DATASET[[#This Row],[Age Correción.]],".",","))</f>
        <v>28.5</v>
      </c>
      <c r="H69" s="5" t="s">
        <v>1002</v>
      </c>
      <c r="I69" t="s">
        <v>1002</v>
      </c>
      <c r="J69">
        <v>0</v>
      </c>
      <c r="K69">
        <v>0</v>
      </c>
      <c r="L69" s="3">
        <v>2697</v>
      </c>
      <c r="M69" s="6">
        <f t="shared" si="2"/>
        <v>72292</v>
      </c>
      <c r="N69" s="1">
        <v>72292</v>
      </c>
      <c r="O69" s="1" t="str">
        <f t="shared" si="3"/>
        <v>Desconocido</v>
      </c>
      <c r="Q69" t="s">
        <v>910</v>
      </c>
    </row>
    <row r="70" spans="1:17" x14ac:dyDescent="0.25">
      <c r="A70">
        <v>208</v>
      </c>
      <c r="B70">
        <v>1</v>
      </c>
      <c r="C70">
        <v>3</v>
      </c>
      <c r="D70" t="s">
        <v>1244</v>
      </c>
      <c r="E70" t="s">
        <v>902</v>
      </c>
      <c r="F70">
        <f>ROUNDUP(Titanic_DATASET[[#This Row],[Age Correción 2]],0)</f>
        <v>26</v>
      </c>
      <c r="G70" s="4">
        <f>VALUE(SUBSTITUTE(Titanic_DATASET[[#This Row],[Age Correción.]],".",","))</f>
        <v>26</v>
      </c>
      <c r="H70" s="5">
        <v>26</v>
      </c>
      <c r="I70">
        <v>26</v>
      </c>
      <c r="J70">
        <v>0</v>
      </c>
      <c r="K70">
        <v>0</v>
      </c>
      <c r="L70" s="3">
        <v>2699</v>
      </c>
      <c r="M70" s="6">
        <f t="shared" si="2"/>
        <v>187875</v>
      </c>
      <c r="N70" s="1">
        <v>187875</v>
      </c>
      <c r="O70" s="1" t="str">
        <f t="shared" si="3"/>
        <v>Desconocido</v>
      </c>
      <c r="Q70" t="s">
        <v>910</v>
      </c>
    </row>
    <row r="71" spans="1:17" x14ac:dyDescent="0.25">
      <c r="A71">
        <v>732</v>
      </c>
      <c r="B71">
        <v>0</v>
      </c>
      <c r="C71">
        <v>3</v>
      </c>
      <c r="D71" t="s">
        <v>1991</v>
      </c>
      <c r="E71" t="s">
        <v>902</v>
      </c>
      <c r="F71">
        <f>ROUNDUP(Titanic_DATASET[[#This Row],[Age Correción 2]],0)</f>
        <v>11</v>
      </c>
      <c r="G71" s="4">
        <f>VALUE(SUBSTITUTE(Titanic_DATASET[[#This Row],[Age Correción.]],".",","))</f>
        <v>11</v>
      </c>
      <c r="H71" s="5">
        <v>11</v>
      </c>
      <c r="I71">
        <v>11</v>
      </c>
      <c r="J71">
        <v>0</v>
      </c>
      <c r="K71">
        <v>0</v>
      </c>
      <c r="L71" s="3">
        <v>2699</v>
      </c>
      <c r="M71" s="6">
        <f t="shared" si="2"/>
        <v>187875</v>
      </c>
      <c r="N71" s="1">
        <v>187875</v>
      </c>
      <c r="O71" s="1" t="str">
        <f t="shared" si="3"/>
        <v>Desconocido</v>
      </c>
      <c r="Q71" t="s">
        <v>910</v>
      </c>
    </row>
    <row r="72" spans="1:17" x14ac:dyDescent="0.25">
      <c r="A72">
        <v>525</v>
      </c>
      <c r="B72">
        <v>0</v>
      </c>
      <c r="C72">
        <v>3</v>
      </c>
      <c r="D72" t="s">
        <v>1717</v>
      </c>
      <c r="E72" t="s">
        <v>902</v>
      </c>
      <c r="F72">
        <f>ROUNDUP(Titanic_DATASET[[#This Row],[Age Correción 2]],0)</f>
        <v>41</v>
      </c>
      <c r="G72" s="4">
        <f>VALUE(SUBSTITUTE(Titanic_DATASET[[#This Row],[Age Correción.]],".",","))</f>
        <v>41</v>
      </c>
      <c r="H72" s="5">
        <v>41</v>
      </c>
      <c r="J72">
        <v>0</v>
      </c>
      <c r="K72">
        <v>0</v>
      </c>
      <c r="L72" s="3">
        <v>2700</v>
      </c>
      <c r="M72" s="6">
        <f t="shared" si="2"/>
        <v>72292</v>
      </c>
      <c r="N72" s="1">
        <v>72292</v>
      </c>
      <c r="O72" s="1" t="str">
        <f t="shared" si="3"/>
        <v>Desconocido</v>
      </c>
      <c r="Q72" t="s">
        <v>910</v>
      </c>
    </row>
    <row r="73" spans="1:17" x14ac:dyDescent="0.25">
      <c r="A73">
        <v>544</v>
      </c>
      <c r="B73">
        <v>1</v>
      </c>
      <c r="C73">
        <v>2</v>
      </c>
      <c r="D73" t="s">
        <v>1745</v>
      </c>
      <c r="E73" t="s">
        <v>902</v>
      </c>
      <c r="F73">
        <f>ROUNDUP(Titanic_DATASET[[#This Row],[Age Correción 2]],0)</f>
        <v>32</v>
      </c>
      <c r="G73" s="4">
        <f>VALUE(SUBSTITUTE(Titanic_DATASET[[#This Row],[Age Correción.]],".",","))</f>
        <v>32</v>
      </c>
      <c r="H73" s="5">
        <v>32</v>
      </c>
      <c r="I73">
        <v>32</v>
      </c>
      <c r="J73">
        <v>1</v>
      </c>
      <c r="K73">
        <v>0</v>
      </c>
      <c r="L73" s="3">
        <v>2908</v>
      </c>
      <c r="M73" s="6">
        <f t="shared" si="2"/>
        <v>26</v>
      </c>
      <c r="N73">
        <v>26</v>
      </c>
      <c r="O73" t="str">
        <f t="shared" si="3"/>
        <v>Desconocido</v>
      </c>
      <c r="Q73" t="s">
        <v>905</v>
      </c>
    </row>
    <row r="74" spans="1:17" x14ac:dyDescent="0.25">
      <c r="A74">
        <v>547</v>
      </c>
      <c r="B74">
        <v>1</v>
      </c>
      <c r="C74">
        <v>2</v>
      </c>
      <c r="D74" t="s">
        <v>1749</v>
      </c>
      <c r="E74" t="s">
        <v>907</v>
      </c>
      <c r="F74">
        <f>ROUNDUP(Titanic_DATASET[[#This Row],[Age Correción 2]],0)</f>
        <v>19</v>
      </c>
      <c r="G74" s="4">
        <f>VALUE(SUBSTITUTE(Titanic_DATASET[[#This Row],[Age Correción.]],".",","))</f>
        <v>19</v>
      </c>
      <c r="H74" s="5">
        <v>19</v>
      </c>
      <c r="I74">
        <v>19</v>
      </c>
      <c r="J74">
        <v>1</v>
      </c>
      <c r="K74">
        <v>0</v>
      </c>
      <c r="L74" s="3">
        <v>2908</v>
      </c>
      <c r="M74" s="6">
        <f t="shared" si="2"/>
        <v>26</v>
      </c>
      <c r="N74">
        <v>26</v>
      </c>
      <c r="O74" t="str">
        <f t="shared" si="3"/>
        <v>Desconocido</v>
      </c>
      <c r="Q74" t="s">
        <v>905</v>
      </c>
    </row>
    <row r="75" spans="1:17" x14ac:dyDescent="0.25">
      <c r="A75">
        <v>54</v>
      </c>
      <c r="B75">
        <v>1</v>
      </c>
      <c r="C75">
        <v>2</v>
      </c>
      <c r="D75" t="s">
        <v>994</v>
      </c>
      <c r="E75" t="s">
        <v>907</v>
      </c>
      <c r="F75">
        <f>ROUNDUP(Titanic_DATASET[[#This Row],[Age Correción 2]],0)</f>
        <v>29</v>
      </c>
      <c r="G75" s="4">
        <f>VALUE(SUBSTITUTE(Titanic_DATASET[[#This Row],[Age Correción.]],".",","))</f>
        <v>29</v>
      </c>
      <c r="H75" s="5">
        <v>29</v>
      </c>
      <c r="I75">
        <v>29</v>
      </c>
      <c r="J75">
        <v>1</v>
      </c>
      <c r="K75">
        <v>0</v>
      </c>
      <c r="L75" s="3">
        <v>2926</v>
      </c>
      <c r="M75" s="6">
        <f t="shared" si="2"/>
        <v>26</v>
      </c>
      <c r="N75">
        <v>26</v>
      </c>
      <c r="O75" t="str">
        <f t="shared" si="3"/>
        <v>Desconocido</v>
      </c>
      <c r="Q75" t="s">
        <v>905</v>
      </c>
    </row>
    <row r="76" spans="1:17" x14ac:dyDescent="0.25">
      <c r="A76">
        <v>585</v>
      </c>
      <c r="B76">
        <v>0</v>
      </c>
      <c r="C76">
        <v>3</v>
      </c>
      <c r="D76" t="s">
        <v>1802</v>
      </c>
      <c r="E76" t="s">
        <v>902</v>
      </c>
      <c r="F76">
        <f>ROUNDUP(Titanic_DATASET[[#This Row],[Age Correción 2]],0)</f>
        <v>41</v>
      </c>
      <c r="G76" s="4">
        <f>VALUE(SUBSTITUTE(Titanic_DATASET[[#This Row],[Age Correción.]],".",","))</f>
        <v>41</v>
      </c>
      <c r="H76" s="5">
        <v>41</v>
      </c>
      <c r="J76">
        <v>0</v>
      </c>
      <c r="K76">
        <v>0</v>
      </c>
      <c r="L76" s="3">
        <v>3411</v>
      </c>
      <c r="M76" s="6">
        <f t="shared" si="2"/>
        <v>87125</v>
      </c>
      <c r="N76" s="1">
        <v>87125</v>
      </c>
      <c r="O76" s="1" t="str">
        <f t="shared" si="3"/>
        <v>Desconocido</v>
      </c>
      <c r="Q76" t="s">
        <v>910</v>
      </c>
    </row>
    <row r="77" spans="1:17" x14ac:dyDescent="0.25">
      <c r="A77">
        <v>478</v>
      </c>
      <c r="B77">
        <v>0</v>
      </c>
      <c r="C77">
        <v>3</v>
      </c>
      <c r="D77" t="s">
        <v>1649</v>
      </c>
      <c r="E77" t="s">
        <v>902</v>
      </c>
      <c r="F77">
        <f>ROUNDUP(Titanic_DATASET[[#This Row],[Age Correción 2]],0)</f>
        <v>29</v>
      </c>
      <c r="G77" s="4">
        <f>VALUE(SUBSTITUTE(Titanic_DATASET[[#This Row],[Age Correción.]],".",","))</f>
        <v>29</v>
      </c>
      <c r="H77" s="5">
        <v>29</v>
      </c>
      <c r="I77">
        <v>29</v>
      </c>
      <c r="J77">
        <v>1</v>
      </c>
      <c r="K77">
        <v>0</v>
      </c>
      <c r="L77" s="3">
        <v>3460</v>
      </c>
      <c r="M77" s="6">
        <f t="shared" si="2"/>
        <v>70458</v>
      </c>
      <c r="N77" s="1">
        <v>70458</v>
      </c>
      <c r="O77" s="1" t="str">
        <f t="shared" si="3"/>
        <v>Desconocido</v>
      </c>
      <c r="Q77" t="s">
        <v>905</v>
      </c>
    </row>
    <row r="78" spans="1:17" x14ac:dyDescent="0.25">
      <c r="A78">
        <v>811</v>
      </c>
      <c r="B78">
        <v>0</v>
      </c>
      <c r="C78">
        <v>3</v>
      </c>
      <c r="D78" t="s">
        <v>2092</v>
      </c>
      <c r="E78" t="s">
        <v>902</v>
      </c>
      <c r="F78">
        <f>ROUNDUP(Titanic_DATASET[[#This Row],[Age Correción 2]],0)</f>
        <v>26</v>
      </c>
      <c r="G78" s="4">
        <f>VALUE(SUBSTITUTE(Titanic_DATASET[[#This Row],[Age Correción.]],".",","))</f>
        <v>26</v>
      </c>
      <c r="H78" s="5">
        <v>26</v>
      </c>
      <c r="I78">
        <v>26</v>
      </c>
      <c r="J78">
        <v>0</v>
      </c>
      <c r="K78">
        <v>0</v>
      </c>
      <c r="L78" s="3">
        <v>3474</v>
      </c>
      <c r="M78" s="6">
        <f t="shared" si="2"/>
        <v>78875</v>
      </c>
      <c r="N78" s="1">
        <v>78875</v>
      </c>
      <c r="O78" s="1" t="str">
        <f t="shared" si="3"/>
        <v>Desconocido</v>
      </c>
      <c r="Q78" t="s">
        <v>905</v>
      </c>
    </row>
    <row r="79" spans="1:17" x14ac:dyDescent="0.25">
      <c r="A79">
        <v>177</v>
      </c>
      <c r="B79">
        <v>0</v>
      </c>
      <c r="C79">
        <v>3</v>
      </c>
      <c r="D79" t="s">
        <v>1201</v>
      </c>
      <c r="E79" t="s">
        <v>902</v>
      </c>
      <c r="F79">
        <f>ROUNDUP(Titanic_DATASET[[#This Row],[Age Correción 2]],0)</f>
        <v>36</v>
      </c>
      <c r="G79" s="4">
        <f>VALUE(SUBSTITUTE(Titanic_DATASET[[#This Row],[Age Correción.]],".",","))</f>
        <v>36</v>
      </c>
      <c r="H79" s="5">
        <v>36</v>
      </c>
      <c r="J79">
        <v>3</v>
      </c>
      <c r="K79">
        <v>1</v>
      </c>
      <c r="L79" s="3">
        <v>4133</v>
      </c>
      <c r="M79" s="6">
        <f t="shared" si="2"/>
        <v>254667</v>
      </c>
      <c r="N79" s="1">
        <v>254667</v>
      </c>
      <c r="O79" s="1" t="str">
        <f t="shared" si="3"/>
        <v>Desconocido</v>
      </c>
      <c r="Q79" t="s">
        <v>905</v>
      </c>
    </row>
    <row r="80" spans="1:17" x14ac:dyDescent="0.25">
      <c r="A80">
        <v>230</v>
      </c>
      <c r="B80">
        <v>0</v>
      </c>
      <c r="C80">
        <v>3</v>
      </c>
      <c r="D80" t="s">
        <v>1281</v>
      </c>
      <c r="E80" t="s">
        <v>907</v>
      </c>
      <c r="F80">
        <f>ROUNDUP(Titanic_DATASET[[#This Row],[Age Correción 2]],0)</f>
        <v>45</v>
      </c>
      <c r="G80" s="4">
        <f>VALUE(SUBSTITUTE(Titanic_DATASET[[#This Row],[Age Correción.]],".",","))</f>
        <v>45</v>
      </c>
      <c r="H80" s="5">
        <v>45</v>
      </c>
      <c r="J80">
        <v>3</v>
      </c>
      <c r="K80">
        <v>1</v>
      </c>
      <c r="L80" s="3">
        <v>4133</v>
      </c>
      <c r="M80" s="6">
        <f t="shared" si="2"/>
        <v>254667</v>
      </c>
      <c r="N80" s="1">
        <v>254667</v>
      </c>
      <c r="O80" s="1" t="str">
        <f t="shared" si="3"/>
        <v>Desconocido</v>
      </c>
      <c r="Q80" t="s">
        <v>905</v>
      </c>
    </row>
    <row r="81" spans="1:17" x14ac:dyDescent="0.25">
      <c r="A81">
        <v>410</v>
      </c>
      <c r="B81">
        <v>0</v>
      </c>
      <c r="C81">
        <v>3</v>
      </c>
      <c r="D81" t="s">
        <v>1554</v>
      </c>
      <c r="E81" t="s">
        <v>907</v>
      </c>
      <c r="F81">
        <f>ROUNDUP(Titanic_DATASET[[#This Row],[Age Correción 2]],0)</f>
        <v>65</v>
      </c>
      <c r="G81" s="4">
        <f>VALUE(SUBSTITUTE(Titanic_DATASET[[#This Row],[Age Correción.]],".",","))</f>
        <v>65</v>
      </c>
      <c r="H81" s="5">
        <v>65</v>
      </c>
      <c r="J81">
        <v>3</v>
      </c>
      <c r="K81">
        <v>1</v>
      </c>
      <c r="L81" s="3">
        <v>4133</v>
      </c>
      <c r="M81" s="6">
        <f t="shared" si="2"/>
        <v>254667</v>
      </c>
      <c r="N81" s="1">
        <v>254667</v>
      </c>
      <c r="O81" s="1" t="str">
        <f t="shared" si="3"/>
        <v>Desconocido</v>
      </c>
      <c r="Q81" t="s">
        <v>905</v>
      </c>
    </row>
    <row r="82" spans="1:17" x14ac:dyDescent="0.25">
      <c r="A82">
        <v>486</v>
      </c>
      <c r="B82">
        <v>0</v>
      </c>
      <c r="C82">
        <v>3</v>
      </c>
      <c r="D82" t="s">
        <v>1658</v>
      </c>
      <c r="E82" t="s">
        <v>907</v>
      </c>
      <c r="F82">
        <f>ROUNDUP(Titanic_DATASET[[#This Row],[Age Correción 2]],0)</f>
        <v>60</v>
      </c>
      <c r="G82" s="4">
        <f>VALUE(SUBSTITUTE(Titanic_DATASET[[#This Row],[Age Correción.]],".",","))</f>
        <v>60</v>
      </c>
      <c r="H82" s="5">
        <v>60</v>
      </c>
      <c r="J82">
        <v>3</v>
      </c>
      <c r="K82">
        <v>1</v>
      </c>
      <c r="L82" s="3">
        <v>4133</v>
      </c>
      <c r="M82" s="6">
        <f t="shared" si="2"/>
        <v>254667</v>
      </c>
      <c r="N82" s="1">
        <v>254667</v>
      </c>
      <c r="O82" s="1" t="str">
        <f t="shared" si="3"/>
        <v>Desconocido</v>
      </c>
      <c r="Q82" t="s">
        <v>905</v>
      </c>
    </row>
    <row r="83" spans="1:17" x14ac:dyDescent="0.25">
      <c r="A83">
        <v>484</v>
      </c>
      <c r="B83">
        <v>1</v>
      </c>
      <c r="C83">
        <v>3</v>
      </c>
      <c r="D83" t="s">
        <v>1656</v>
      </c>
      <c r="E83" t="s">
        <v>907</v>
      </c>
      <c r="F83">
        <f>ROUNDUP(Titanic_DATASET[[#This Row],[Age Correción 2]],0)</f>
        <v>63</v>
      </c>
      <c r="G83" s="4">
        <f>VALUE(SUBSTITUTE(Titanic_DATASET[[#This Row],[Age Correción.]],".",","))</f>
        <v>63</v>
      </c>
      <c r="H83" s="5">
        <v>63</v>
      </c>
      <c r="I83">
        <v>63</v>
      </c>
      <c r="J83">
        <v>0</v>
      </c>
      <c r="K83">
        <v>0</v>
      </c>
      <c r="L83" s="3">
        <v>4134</v>
      </c>
      <c r="M83" s="6">
        <f t="shared" si="2"/>
        <v>95875</v>
      </c>
      <c r="N83" s="1">
        <v>95875</v>
      </c>
      <c r="O83" s="1" t="str">
        <f t="shared" si="3"/>
        <v>Desconocido</v>
      </c>
      <c r="Q83" t="s">
        <v>905</v>
      </c>
    </row>
    <row r="84" spans="1:17" x14ac:dyDescent="0.25">
      <c r="A84">
        <v>504</v>
      </c>
      <c r="B84">
        <v>0</v>
      </c>
      <c r="C84">
        <v>3</v>
      </c>
      <c r="D84" t="s">
        <v>1685</v>
      </c>
      <c r="E84" t="s">
        <v>907</v>
      </c>
      <c r="F84">
        <f>ROUNDUP(Titanic_DATASET[[#This Row],[Age Correción 2]],0)</f>
        <v>37</v>
      </c>
      <c r="G84" s="4">
        <f>VALUE(SUBSTITUTE(Titanic_DATASET[[#This Row],[Age Correción.]],".",","))</f>
        <v>37</v>
      </c>
      <c r="H84" s="5">
        <v>37</v>
      </c>
      <c r="I84">
        <v>37</v>
      </c>
      <c r="J84">
        <v>0</v>
      </c>
      <c r="K84">
        <v>0</v>
      </c>
      <c r="L84" s="3">
        <v>4135</v>
      </c>
      <c r="M84" s="6">
        <f t="shared" si="2"/>
        <v>95875</v>
      </c>
      <c r="N84" s="1">
        <v>95875</v>
      </c>
      <c r="O84" s="1" t="str">
        <f t="shared" si="3"/>
        <v>Desconocido</v>
      </c>
      <c r="Q84" t="s">
        <v>905</v>
      </c>
    </row>
    <row r="85" spans="1:17" x14ac:dyDescent="0.25">
      <c r="A85">
        <v>114</v>
      </c>
      <c r="B85">
        <v>0</v>
      </c>
      <c r="C85">
        <v>3</v>
      </c>
      <c r="D85" t="s">
        <v>1092</v>
      </c>
      <c r="E85" t="s">
        <v>907</v>
      </c>
      <c r="F85">
        <f>ROUNDUP(Titanic_DATASET[[#This Row],[Age Correción 2]],0)</f>
        <v>20</v>
      </c>
      <c r="G85" s="4">
        <f>VALUE(SUBSTITUTE(Titanic_DATASET[[#This Row],[Age Correción.]],".",","))</f>
        <v>20</v>
      </c>
      <c r="H85" s="5">
        <v>20</v>
      </c>
      <c r="I85">
        <v>20</v>
      </c>
      <c r="J85">
        <v>1</v>
      </c>
      <c r="K85">
        <v>0</v>
      </c>
      <c r="L85" s="3">
        <v>4136</v>
      </c>
      <c r="M85" s="6">
        <f t="shared" si="2"/>
        <v>9825</v>
      </c>
      <c r="N85" s="1">
        <v>9825</v>
      </c>
      <c r="O85" s="1" t="str">
        <f t="shared" si="3"/>
        <v>Desconocido</v>
      </c>
      <c r="Q85" t="s">
        <v>905</v>
      </c>
    </row>
    <row r="86" spans="1:17" x14ac:dyDescent="0.25">
      <c r="A86">
        <v>403</v>
      </c>
      <c r="B86">
        <v>0</v>
      </c>
      <c r="C86">
        <v>3</v>
      </c>
      <c r="D86" t="s">
        <v>1546</v>
      </c>
      <c r="E86" t="s">
        <v>907</v>
      </c>
      <c r="F86">
        <f>ROUNDUP(Titanic_DATASET[[#This Row],[Age Correción 2]],0)</f>
        <v>21</v>
      </c>
      <c r="G86" s="4">
        <f>VALUE(SUBSTITUTE(Titanic_DATASET[[#This Row],[Age Correción.]],".",","))</f>
        <v>21</v>
      </c>
      <c r="H86" s="5">
        <v>21</v>
      </c>
      <c r="I86">
        <v>21</v>
      </c>
      <c r="J86">
        <v>1</v>
      </c>
      <c r="K86">
        <v>0</v>
      </c>
      <c r="L86" s="3">
        <v>4137</v>
      </c>
      <c r="M86" s="6">
        <f t="shared" si="2"/>
        <v>9825</v>
      </c>
      <c r="N86" s="1">
        <v>9825</v>
      </c>
      <c r="O86" s="1" t="str">
        <f t="shared" si="3"/>
        <v>Desconocido</v>
      </c>
      <c r="Q86" t="s">
        <v>905</v>
      </c>
    </row>
    <row r="87" spans="1:17" x14ac:dyDescent="0.25">
      <c r="A87">
        <v>678</v>
      </c>
      <c r="B87">
        <v>1</v>
      </c>
      <c r="C87">
        <v>3</v>
      </c>
      <c r="D87" t="s">
        <v>1923</v>
      </c>
      <c r="E87" t="s">
        <v>907</v>
      </c>
      <c r="F87">
        <f>ROUNDUP(Titanic_DATASET[[#This Row],[Age Correción 2]],0)</f>
        <v>18</v>
      </c>
      <c r="G87" s="4">
        <f>VALUE(SUBSTITUTE(Titanic_DATASET[[#This Row],[Age Correción.]],".",","))</f>
        <v>18</v>
      </c>
      <c r="H87" s="5">
        <v>18</v>
      </c>
      <c r="I87">
        <v>18</v>
      </c>
      <c r="J87">
        <v>0</v>
      </c>
      <c r="K87">
        <v>0</v>
      </c>
      <c r="L87" s="3">
        <v>4138</v>
      </c>
      <c r="M87" s="6">
        <f t="shared" si="2"/>
        <v>98417</v>
      </c>
      <c r="N87" s="1">
        <v>98417</v>
      </c>
      <c r="O87" s="1" t="str">
        <f t="shared" si="3"/>
        <v>Desconocido</v>
      </c>
      <c r="Q87" t="s">
        <v>905</v>
      </c>
    </row>
    <row r="88" spans="1:17" x14ac:dyDescent="0.25">
      <c r="A88">
        <v>198</v>
      </c>
      <c r="B88">
        <v>0</v>
      </c>
      <c r="C88">
        <v>3</v>
      </c>
      <c r="D88" t="s">
        <v>1232</v>
      </c>
      <c r="E88" t="s">
        <v>902</v>
      </c>
      <c r="F88">
        <f>ROUNDUP(Titanic_DATASET[[#This Row],[Age Correción 2]],0)</f>
        <v>42</v>
      </c>
      <c r="G88" s="4">
        <f>VALUE(SUBSTITUTE(Titanic_DATASET[[#This Row],[Age Correción.]],".",","))</f>
        <v>42</v>
      </c>
      <c r="H88" s="5">
        <v>42</v>
      </c>
      <c r="I88">
        <v>42</v>
      </c>
      <c r="J88">
        <v>0</v>
      </c>
      <c r="K88">
        <v>1</v>
      </c>
      <c r="L88" s="3">
        <v>4579</v>
      </c>
      <c r="M88" s="6">
        <f t="shared" si="2"/>
        <v>84042</v>
      </c>
      <c r="N88" s="1">
        <v>84042</v>
      </c>
      <c r="O88" s="1" t="str">
        <f t="shared" si="3"/>
        <v>Desconocido</v>
      </c>
      <c r="Q88" t="s">
        <v>905</v>
      </c>
    </row>
    <row r="89" spans="1:17" x14ac:dyDescent="0.25">
      <c r="A89">
        <v>663</v>
      </c>
      <c r="B89">
        <v>0</v>
      </c>
      <c r="C89">
        <v>1</v>
      </c>
      <c r="D89" t="s">
        <v>1900</v>
      </c>
      <c r="E89" t="s">
        <v>902</v>
      </c>
      <c r="F89">
        <f>ROUNDUP(Titanic_DATASET[[#This Row],[Age Correción 2]],0)</f>
        <v>47</v>
      </c>
      <c r="G89" s="4">
        <f>VALUE(SUBSTITUTE(Titanic_DATASET[[#This Row],[Age Correción.]],".",","))</f>
        <v>47</v>
      </c>
      <c r="H89" s="5">
        <v>47</v>
      </c>
      <c r="I89">
        <v>47</v>
      </c>
      <c r="J89">
        <v>0</v>
      </c>
      <c r="K89">
        <v>0</v>
      </c>
      <c r="L89" s="3">
        <v>5727</v>
      </c>
      <c r="M89" s="6">
        <f t="shared" si="2"/>
        <v>255875</v>
      </c>
      <c r="N89" s="1">
        <v>255875</v>
      </c>
      <c r="O89" s="1" t="str">
        <f t="shared" si="3"/>
        <v>E58</v>
      </c>
      <c r="P89" t="s">
        <v>1901</v>
      </c>
      <c r="Q89" t="s">
        <v>905</v>
      </c>
    </row>
    <row r="90" spans="1:17" x14ac:dyDescent="0.25">
      <c r="A90">
        <v>683</v>
      </c>
      <c r="B90">
        <v>0</v>
      </c>
      <c r="C90">
        <v>3</v>
      </c>
      <c r="D90" t="s">
        <v>1930</v>
      </c>
      <c r="E90" t="s">
        <v>902</v>
      </c>
      <c r="F90">
        <f>ROUNDUP(Titanic_DATASET[[#This Row],[Age Correción 2]],0)</f>
        <v>20</v>
      </c>
      <c r="G90" s="4">
        <f>VALUE(SUBSTITUTE(Titanic_DATASET[[#This Row],[Age Correción.]],".",","))</f>
        <v>20</v>
      </c>
      <c r="H90" s="5">
        <v>20</v>
      </c>
      <c r="I90">
        <v>20</v>
      </c>
      <c r="J90">
        <v>0</v>
      </c>
      <c r="K90">
        <v>0</v>
      </c>
      <c r="L90" s="3">
        <v>6563</v>
      </c>
      <c r="M90" s="6">
        <f t="shared" si="2"/>
        <v>9225</v>
      </c>
      <c r="N90" s="1">
        <v>9225</v>
      </c>
      <c r="O90" s="1" t="str">
        <f t="shared" si="3"/>
        <v>Desconocido</v>
      </c>
      <c r="Q90" t="s">
        <v>905</v>
      </c>
    </row>
    <row r="91" spans="1:17" x14ac:dyDescent="0.25">
      <c r="A91">
        <v>351</v>
      </c>
      <c r="B91">
        <v>0</v>
      </c>
      <c r="C91">
        <v>3</v>
      </c>
      <c r="D91" t="s">
        <v>1475</v>
      </c>
      <c r="E91" t="s">
        <v>902</v>
      </c>
      <c r="F91">
        <f>ROUNDUP(Titanic_DATASET[[#This Row],[Age Correción 2]],0)</f>
        <v>23</v>
      </c>
      <c r="G91" s="4">
        <f>VALUE(SUBSTITUTE(Titanic_DATASET[[#This Row],[Age Correción.]],".",","))</f>
        <v>23</v>
      </c>
      <c r="H91" s="5">
        <v>23</v>
      </c>
      <c r="I91">
        <v>23</v>
      </c>
      <c r="J91">
        <v>0</v>
      </c>
      <c r="K91">
        <v>0</v>
      </c>
      <c r="L91" s="3">
        <v>7267</v>
      </c>
      <c r="M91" s="6">
        <f t="shared" si="2"/>
        <v>9225</v>
      </c>
      <c r="N91" s="1">
        <v>9225</v>
      </c>
      <c r="O91" s="1" t="str">
        <f t="shared" si="3"/>
        <v>Desconocido</v>
      </c>
      <c r="Q91" t="s">
        <v>905</v>
      </c>
    </row>
    <row r="92" spans="1:17" x14ac:dyDescent="0.25">
      <c r="A92">
        <v>139</v>
      </c>
      <c r="B92">
        <v>0</v>
      </c>
      <c r="C92">
        <v>3</v>
      </c>
      <c r="D92" t="s">
        <v>1132</v>
      </c>
      <c r="E92" t="s">
        <v>902</v>
      </c>
      <c r="F92">
        <f>ROUNDUP(Titanic_DATASET[[#This Row],[Age Correción 2]],0)</f>
        <v>16</v>
      </c>
      <c r="G92" s="4">
        <f>VALUE(SUBSTITUTE(Titanic_DATASET[[#This Row],[Age Correción.]],".",","))</f>
        <v>16</v>
      </c>
      <c r="H92" s="5">
        <v>16</v>
      </c>
      <c r="I92">
        <v>16</v>
      </c>
      <c r="J92">
        <v>0</v>
      </c>
      <c r="K92">
        <v>0</v>
      </c>
      <c r="L92" s="3">
        <v>7534</v>
      </c>
      <c r="M92" s="6">
        <f t="shared" si="2"/>
        <v>92167</v>
      </c>
      <c r="N92" s="1">
        <v>92167</v>
      </c>
      <c r="O92" s="1" t="str">
        <f t="shared" si="3"/>
        <v>Desconocido</v>
      </c>
      <c r="Q92" t="s">
        <v>905</v>
      </c>
    </row>
    <row r="93" spans="1:17" x14ac:dyDescent="0.25">
      <c r="A93">
        <v>877</v>
      </c>
      <c r="B93">
        <v>0</v>
      </c>
      <c r="C93">
        <v>3</v>
      </c>
      <c r="D93" t="s">
        <v>2179</v>
      </c>
      <c r="E93" t="s">
        <v>902</v>
      </c>
      <c r="F93">
        <f>ROUNDUP(Titanic_DATASET[[#This Row],[Age Correción 2]],0)</f>
        <v>20</v>
      </c>
      <c r="G93" s="4">
        <f>VALUE(SUBSTITUTE(Titanic_DATASET[[#This Row],[Age Correción.]],".",","))</f>
        <v>20</v>
      </c>
      <c r="H93" s="5">
        <v>20</v>
      </c>
      <c r="I93">
        <v>20</v>
      </c>
      <c r="J93">
        <v>0</v>
      </c>
      <c r="K93">
        <v>0</v>
      </c>
      <c r="L93" s="3">
        <v>7534</v>
      </c>
      <c r="M93" s="6">
        <f t="shared" si="2"/>
        <v>98458</v>
      </c>
      <c r="N93" s="1">
        <v>98458</v>
      </c>
      <c r="O93" s="1" t="str">
        <f t="shared" si="3"/>
        <v>Desconocido</v>
      </c>
      <c r="Q93" t="s">
        <v>905</v>
      </c>
    </row>
    <row r="94" spans="1:17" x14ac:dyDescent="0.25">
      <c r="A94">
        <v>104</v>
      </c>
      <c r="B94">
        <v>0</v>
      </c>
      <c r="C94">
        <v>3</v>
      </c>
      <c r="D94" t="s">
        <v>1079</v>
      </c>
      <c r="E94" t="s">
        <v>902</v>
      </c>
      <c r="F94">
        <f>ROUNDUP(Titanic_DATASET[[#This Row],[Age Correción 2]],0)</f>
        <v>33</v>
      </c>
      <c r="G94" s="4">
        <f>VALUE(SUBSTITUTE(Titanic_DATASET[[#This Row],[Age Correción.]],".",","))</f>
        <v>33</v>
      </c>
      <c r="H94" s="5">
        <v>33</v>
      </c>
      <c r="I94">
        <v>33</v>
      </c>
      <c r="J94">
        <v>0</v>
      </c>
      <c r="K94">
        <v>0</v>
      </c>
      <c r="L94" s="3">
        <v>7540</v>
      </c>
      <c r="M94" s="6">
        <f t="shared" si="2"/>
        <v>86542</v>
      </c>
      <c r="N94" s="1">
        <v>86542</v>
      </c>
      <c r="O94" s="1" t="str">
        <f t="shared" si="3"/>
        <v>Desconocido</v>
      </c>
      <c r="Q94" t="s">
        <v>905</v>
      </c>
    </row>
    <row r="95" spans="1:17" x14ac:dyDescent="0.25">
      <c r="A95">
        <v>714</v>
      </c>
      <c r="B95">
        <v>0</v>
      </c>
      <c r="C95">
        <v>3</v>
      </c>
      <c r="D95" t="s">
        <v>1970</v>
      </c>
      <c r="E95" t="s">
        <v>902</v>
      </c>
      <c r="F95">
        <f>ROUNDUP(Titanic_DATASET[[#This Row],[Age Correción 2]],0)</f>
        <v>29</v>
      </c>
      <c r="G95" s="4">
        <f>VALUE(SUBSTITUTE(Titanic_DATASET[[#This Row],[Age Correción.]],".",","))</f>
        <v>29</v>
      </c>
      <c r="H95" s="5">
        <v>29</v>
      </c>
      <c r="I95">
        <v>29</v>
      </c>
      <c r="J95">
        <v>0</v>
      </c>
      <c r="K95">
        <v>0</v>
      </c>
      <c r="L95" s="3">
        <v>7545</v>
      </c>
      <c r="M95" s="6">
        <f t="shared" si="2"/>
        <v>94833</v>
      </c>
      <c r="N95" s="1">
        <v>94833</v>
      </c>
      <c r="O95" s="1" t="str">
        <f t="shared" si="3"/>
        <v>Desconocido</v>
      </c>
      <c r="Q95" t="s">
        <v>905</v>
      </c>
    </row>
    <row r="96" spans="1:17" x14ac:dyDescent="0.25">
      <c r="A96">
        <v>41</v>
      </c>
      <c r="B96">
        <v>0</v>
      </c>
      <c r="C96">
        <v>3</v>
      </c>
      <c r="D96" t="s">
        <v>973</v>
      </c>
      <c r="E96" t="s">
        <v>907</v>
      </c>
      <c r="F96">
        <f>ROUNDUP(Titanic_DATASET[[#This Row],[Age Correción 2]],0)</f>
        <v>40</v>
      </c>
      <c r="G96" s="4">
        <f>VALUE(SUBSTITUTE(Titanic_DATASET[[#This Row],[Age Correción.]],".",","))</f>
        <v>40</v>
      </c>
      <c r="H96" s="5">
        <v>40</v>
      </c>
      <c r="I96">
        <v>40</v>
      </c>
      <c r="J96">
        <v>1</v>
      </c>
      <c r="K96">
        <v>0</v>
      </c>
      <c r="L96" s="3">
        <v>7546</v>
      </c>
      <c r="M96" s="6">
        <f t="shared" si="2"/>
        <v>9475</v>
      </c>
      <c r="N96" s="1">
        <v>9475</v>
      </c>
      <c r="O96" s="1" t="str">
        <f t="shared" si="3"/>
        <v>Desconocido</v>
      </c>
      <c r="Q96" t="s">
        <v>905</v>
      </c>
    </row>
    <row r="97" spans="1:17" x14ac:dyDescent="0.25">
      <c r="A97">
        <v>883</v>
      </c>
      <c r="B97">
        <v>0</v>
      </c>
      <c r="C97">
        <v>3</v>
      </c>
      <c r="D97" t="s">
        <v>2186</v>
      </c>
      <c r="E97" t="s">
        <v>907</v>
      </c>
      <c r="F97">
        <f>ROUNDUP(Titanic_DATASET[[#This Row],[Age Correción 2]],0)</f>
        <v>22</v>
      </c>
      <c r="G97" s="4">
        <f>VALUE(SUBSTITUTE(Titanic_DATASET[[#This Row],[Age Correción.]],".",","))</f>
        <v>22</v>
      </c>
      <c r="H97" s="5">
        <v>22</v>
      </c>
      <c r="I97">
        <v>22</v>
      </c>
      <c r="J97">
        <v>0</v>
      </c>
      <c r="K97">
        <v>0</v>
      </c>
      <c r="L97" s="3">
        <v>7552</v>
      </c>
      <c r="M97" s="6">
        <f t="shared" si="2"/>
        <v>105167</v>
      </c>
      <c r="N97" s="1">
        <v>105167</v>
      </c>
      <c r="O97" s="1" t="str">
        <f t="shared" si="3"/>
        <v>Desconocido</v>
      </c>
      <c r="Q97" t="s">
        <v>905</v>
      </c>
    </row>
    <row r="98" spans="1:17" x14ac:dyDescent="0.25">
      <c r="A98">
        <v>475</v>
      </c>
      <c r="B98">
        <v>0</v>
      </c>
      <c r="C98">
        <v>3</v>
      </c>
      <c r="D98" t="s">
        <v>1645</v>
      </c>
      <c r="E98" t="s">
        <v>907</v>
      </c>
      <c r="F98">
        <f>ROUNDUP(Titanic_DATASET[[#This Row],[Age Correción 2]],0)</f>
        <v>22</v>
      </c>
      <c r="G98" s="4">
        <f>VALUE(SUBSTITUTE(Titanic_DATASET[[#This Row],[Age Correción.]],".",","))</f>
        <v>22</v>
      </c>
      <c r="H98" s="5">
        <v>22</v>
      </c>
      <c r="I98">
        <v>22</v>
      </c>
      <c r="J98">
        <v>0</v>
      </c>
      <c r="K98">
        <v>0</v>
      </c>
      <c r="L98" s="3">
        <v>7553</v>
      </c>
      <c r="M98" s="6">
        <f t="shared" si="2"/>
        <v>98375</v>
      </c>
      <c r="N98" s="1">
        <v>98375</v>
      </c>
      <c r="O98" s="1" t="str">
        <f t="shared" si="3"/>
        <v>Desconocido</v>
      </c>
      <c r="Q98" t="s">
        <v>905</v>
      </c>
    </row>
    <row r="99" spans="1:17" x14ac:dyDescent="0.25">
      <c r="A99">
        <v>339</v>
      </c>
      <c r="B99">
        <v>1</v>
      </c>
      <c r="C99">
        <v>3</v>
      </c>
      <c r="D99" t="s">
        <v>1460</v>
      </c>
      <c r="E99" t="s">
        <v>902</v>
      </c>
      <c r="F99">
        <f>ROUNDUP(Titanic_DATASET[[#This Row],[Age Correción 2]],0)</f>
        <v>45</v>
      </c>
      <c r="G99" s="4">
        <f>VALUE(SUBSTITUTE(Titanic_DATASET[[#This Row],[Age Correción.]],".",","))</f>
        <v>45</v>
      </c>
      <c r="H99" s="5">
        <v>45</v>
      </c>
      <c r="I99">
        <v>45</v>
      </c>
      <c r="J99">
        <v>0</v>
      </c>
      <c r="K99">
        <v>0</v>
      </c>
      <c r="L99" s="3">
        <v>7598</v>
      </c>
      <c r="M99" s="6">
        <f t="shared" si="2"/>
        <v>8.0500000000000007</v>
      </c>
      <c r="N99" t="s">
        <v>917</v>
      </c>
      <c r="O99" t="str">
        <f t="shared" si="3"/>
        <v>Desconocido</v>
      </c>
      <c r="Q99" t="s">
        <v>905</v>
      </c>
    </row>
    <row r="100" spans="1:17" x14ac:dyDescent="0.25">
      <c r="A100">
        <v>770</v>
      </c>
      <c r="B100">
        <v>0</v>
      </c>
      <c r="C100">
        <v>3</v>
      </c>
      <c r="D100" t="s">
        <v>2038</v>
      </c>
      <c r="E100" t="s">
        <v>902</v>
      </c>
      <c r="F100">
        <f>ROUNDUP(Titanic_DATASET[[#This Row],[Age Correción 2]],0)</f>
        <v>32</v>
      </c>
      <c r="G100" s="4">
        <f>VALUE(SUBSTITUTE(Titanic_DATASET[[#This Row],[Age Correción.]],".",","))</f>
        <v>32</v>
      </c>
      <c r="H100" s="5">
        <v>32</v>
      </c>
      <c r="I100">
        <v>32</v>
      </c>
      <c r="J100">
        <v>0</v>
      </c>
      <c r="K100">
        <v>0</v>
      </c>
      <c r="L100" s="3">
        <v>8471</v>
      </c>
      <c r="M100" s="6">
        <f t="shared" si="2"/>
        <v>83625</v>
      </c>
      <c r="N100" s="1">
        <v>83625</v>
      </c>
      <c r="O100" s="1" t="str">
        <f t="shared" si="3"/>
        <v>Desconocido</v>
      </c>
      <c r="Q100" t="s">
        <v>905</v>
      </c>
    </row>
    <row r="101" spans="1:17" x14ac:dyDescent="0.25">
      <c r="A101">
        <v>653</v>
      </c>
      <c r="B101">
        <v>0</v>
      </c>
      <c r="C101">
        <v>3</v>
      </c>
      <c r="D101" t="s">
        <v>1889</v>
      </c>
      <c r="E101" t="s">
        <v>902</v>
      </c>
      <c r="F101">
        <f>ROUNDUP(Titanic_DATASET[[#This Row],[Age Correción 2]],0)</f>
        <v>21</v>
      </c>
      <c r="G101" s="4">
        <f>VALUE(SUBSTITUTE(Titanic_DATASET[[#This Row],[Age Correción.]],".",","))</f>
        <v>21</v>
      </c>
      <c r="H101" s="5">
        <v>21</v>
      </c>
      <c r="I101">
        <v>21</v>
      </c>
      <c r="J101">
        <v>0</v>
      </c>
      <c r="K101">
        <v>0</v>
      </c>
      <c r="L101" s="3">
        <v>8475</v>
      </c>
      <c r="M101" s="6">
        <f t="shared" si="2"/>
        <v>84333</v>
      </c>
      <c r="N101" s="1">
        <v>84333</v>
      </c>
      <c r="O101" s="1" t="str">
        <f t="shared" si="3"/>
        <v>Desconocido</v>
      </c>
      <c r="Q101" t="s">
        <v>905</v>
      </c>
    </row>
    <row r="102" spans="1:17" x14ac:dyDescent="0.25">
      <c r="A102">
        <v>301</v>
      </c>
      <c r="B102">
        <v>1</v>
      </c>
      <c r="C102">
        <v>3</v>
      </c>
      <c r="D102" t="s">
        <v>1397</v>
      </c>
      <c r="E102" t="s">
        <v>907</v>
      </c>
      <c r="F102">
        <f>ROUNDUP(Titanic_DATASET[[#This Row],[Age Correción 2]],0)</f>
        <v>43</v>
      </c>
      <c r="G102" s="4">
        <f>VALUE(SUBSTITUTE(Titanic_DATASET[[#This Row],[Age Correción.]],".",","))</f>
        <v>43</v>
      </c>
      <c r="H102" s="5">
        <v>43</v>
      </c>
      <c r="J102">
        <v>0</v>
      </c>
      <c r="K102">
        <v>0</v>
      </c>
      <c r="L102" s="3">
        <v>9234</v>
      </c>
      <c r="M102" s="6">
        <f t="shared" si="2"/>
        <v>7.75</v>
      </c>
      <c r="N102" t="s">
        <v>961</v>
      </c>
      <c r="O102" t="str">
        <f t="shared" si="3"/>
        <v>Desconocido</v>
      </c>
      <c r="Q102" t="s">
        <v>919</v>
      </c>
    </row>
    <row r="103" spans="1:17" x14ac:dyDescent="0.25">
      <c r="A103">
        <v>42</v>
      </c>
      <c r="B103">
        <v>0</v>
      </c>
      <c r="C103">
        <v>2</v>
      </c>
      <c r="D103" t="s">
        <v>974</v>
      </c>
      <c r="E103" t="s">
        <v>907</v>
      </c>
      <c r="F103">
        <f>ROUNDUP(Titanic_DATASET[[#This Row],[Age Correción 2]],0)</f>
        <v>27</v>
      </c>
      <c r="G103" s="4">
        <f>VALUE(SUBSTITUTE(Titanic_DATASET[[#This Row],[Age Correción.]],".",","))</f>
        <v>27</v>
      </c>
      <c r="H103" s="5">
        <v>27</v>
      </c>
      <c r="I103">
        <v>27</v>
      </c>
      <c r="J103">
        <v>1</v>
      </c>
      <c r="K103">
        <v>0</v>
      </c>
      <c r="L103" s="3">
        <v>11668</v>
      </c>
      <c r="M103" s="6">
        <f t="shared" si="2"/>
        <v>21</v>
      </c>
      <c r="N103">
        <v>21</v>
      </c>
      <c r="O103" t="str">
        <f t="shared" si="3"/>
        <v>Desconocido</v>
      </c>
      <c r="Q103" t="s">
        <v>905</v>
      </c>
    </row>
    <row r="104" spans="1:17" x14ac:dyDescent="0.25">
      <c r="A104">
        <v>118</v>
      </c>
      <c r="B104">
        <v>0</v>
      </c>
      <c r="C104">
        <v>2</v>
      </c>
      <c r="D104" t="s">
        <v>1098</v>
      </c>
      <c r="E104" t="s">
        <v>902</v>
      </c>
      <c r="F104">
        <f>ROUNDUP(Titanic_DATASET[[#This Row],[Age Correción 2]],0)</f>
        <v>29</v>
      </c>
      <c r="G104" s="4">
        <f>VALUE(SUBSTITUTE(Titanic_DATASET[[#This Row],[Age Correción.]],".",","))</f>
        <v>29</v>
      </c>
      <c r="H104" s="5">
        <v>29</v>
      </c>
      <c r="I104">
        <v>29</v>
      </c>
      <c r="J104">
        <v>1</v>
      </c>
      <c r="K104">
        <v>0</v>
      </c>
      <c r="L104" s="3">
        <v>11668</v>
      </c>
      <c r="M104" s="6">
        <f t="shared" si="2"/>
        <v>21</v>
      </c>
      <c r="N104">
        <v>21</v>
      </c>
      <c r="O104" t="str">
        <f t="shared" si="3"/>
        <v>Desconocido</v>
      </c>
      <c r="Q104" t="s">
        <v>905</v>
      </c>
    </row>
    <row r="105" spans="1:17" x14ac:dyDescent="0.25">
      <c r="A105">
        <v>249</v>
      </c>
      <c r="B105">
        <v>1</v>
      </c>
      <c r="C105">
        <v>1</v>
      </c>
      <c r="D105" t="s">
        <v>1310</v>
      </c>
      <c r="E105" t="s">
        <v>902</v>
      </c>
      <c r="F105">
        <f>ROUNDUP(Titanic_DATASET[[#This Row],[Age Correción 2]],0)</f>
        <v>37</v>
      </c>
      <c r="G105" s="4">
        <f>VALUE(SUBSTITUTE(Titanic_DATASET[[#This Row],[Age Correción.]],".",","))</f>
        <v>37</v>
      </c>
      <c r="H105" s="5">
        <v>37</v>
      </c>
      <c r="I105">
        <v>37</v>
      </c>
      <c r="J105">
        <v>1</v>
      </c>
      <c r="K105">
        <v>1</v>
      </c>
      <c r="L105" s="3">
        <v>11751</v>
      </c>
      <c r="M105" s="6">
        <f t="shared" si="2"/>
        <v>525542</v>
      </c>
      <c r="N105" s="1">
        <v>525542</v>
      </c>
      <c r="O105" s="1" t="str">
        <f t="shared" si="3"/>
        <v>D35</v>
      </c>
      <c r="P105" t="s">
        <v>1311</v>
      </c>
      <c r="Q105" t="s">
        <v>905</v>
      </c>
    </row>
    <row r="106" spans="1:17" x14ac:dyDescent="0.25">
      <c r="A106">
        <v>872</v>
      </c>
      <c r="B106">
        <v>1</v>
      </c>
      <c r="C106">
        <v>1</v>
      </c>
      <c r="D106" t="s">
        <v>2174</v>
      </c>
      <c r="E106" t="s">
        <v>907</v>
      </c>
      <c r="F106">
        <f>ROUNDUP(Titanic_DATASET[[#This Row],[Age Correción 2]],0)</f>
        <v>47</v>
      </c>
      <c r="G106" s="4">
        <f>VALUE(SUBSTITUTE(Titanic_DATASET[[#This Row],[Age Correción.]],".",","))</f>
        <v>47</v>
      </c>
      <c r="H106" s="5">
        <v>47</v>
      </c>
      <c r="I106">
        <v>47</v>
      </c>
      <c r="J106">
        <v>1</v>
      </c>
      <c r="K106">
        <v>1</v>
      </c>
      <c r="L106" s="3">
        <v>11751</v>
      </c>
      <c r="M106" s="6">
        <f t="shared" si="2"/>
        <v>525542</v>
      </c>
      <c r="N106" s="1">
        <v>525542</v>
      </c>
      <c r="O106" s="1" t="str">
        <f t="shared" si="3"/>
        <v>D35</v>
      </c>
      <c r="P106" t="s">
        <v>1311</v>
      </c>
      <c r="Q106" t="s">
        <v>905</v>
      </c>
    </row>
    <row r="107" spans="1:17" x14ac:dyDescent="0.25">
      <c r="A107">
        <v>137</v>
      </c>
      <c r="B107">
        <v>1</v>
      </c>
      <c r="C107">
        <v>1</v>
      </c>
      <c r="D107" t="s">
        <v>1129</v>
      </c>
      <c r="E107" t="s">
        <v>907</v>
      </c>
      <c r="F107">
        <f>ROUNDUP(Titanic_DATASET[[#This Row],[Age Correción 2]],0)</f>
        <v>19</v>
      </c>
      <c r="G107" s="4">
        <f>VALUE(SUBSTITUTE(Titanic_DATASET[[#This Row],[Age Correción.]],".",","))</f>
        <v>19</v>
      </c>
      <c r="H107" s="5">
        <v>19</v>
      </c>
      <c r="I107">
        <v>19</v>
      </c>
      <c r="J107">
        <v>0</v>
      </c>
      <c r="K107">
        <v>2</v>
      </c>
      <c r="L107" s="3">
        <v>11752</v>
      </c>
      <c r="M107" s="6">
        <f t="shared" si="2"/>
        <v>262833</v>
      </c>
      <c r="N107" s="1">
        <v>262833</v>
      </c>
      <c r="O107" s="1" t="str">
        <f t="shared" si="3"/>
        <v>D47</v>
      </c>
      <c r="P107" t="s">
        <v>1130</v>
      </c>
      <c r="Q107" t="s">
        <v>905</v>
      </c>
    </row>
    <row r="108" spans="1:17" x14ac:dyDescent="0.25">
      <c r="A108">
        <v>622</v>
      </c>
      <c r="B108">
        <v>1</v>
      </c>
      <c r="C108">
        <v>1</v>
      </c>
      <c r="D108" t="s">
        <v>1849</v>
      </c>
      <c r="E108" t="s">
        <v>902</v>
      </c>
      <c r="F108">
        <f>ROUNDUP(Titanic_DATASET[[#This Row],[Age Correción 2]],0)</f>
        <v>42</v>
      </c>
      <c r="G108" s="4">
        <f>VALUE(SUBSTITUTE(Titanic_DATASET[[#This Row],[Age Correción.]],".",","))</f>
        <v>42</v>
      </c>
      <c r="H108" s="5">
        <v>42</v>
      </c>
      <c r="I108">
        <v>42</v>
      </c>
      <c r="J108">
        <v>1</v>
      </c>
      <c r="K108">
        <v>0</v>
      </c>
      <c r="L108" s="3">
        <v>11753</v>
      </c>
      <c r="M108" s="6">
        <f t="shared" si="2"/>
        <v>525542</v>
      </c>
      <c r="N108" s="1">
        <v>525542</v>
      </c>
      <c r="O108" s="1" t="str">
        <f t="shared" si="3"/>
        <v>D19</v>
      </c>
      <c r="P108" t="s">
        <v>1850</v>
      </c>
      <c r="Q108" t="s">
        <v>905</v>
      </c>
    </row>
    <row r="109" spans="1:17" x14ac:dyDescent="0.25">
      <c r="A109">
        <v>557</v>
      </c>
      <c r="B109">
        <v>1</v>
      </c>
      <c r="C109">
        <v>1</v>
      </c>
      <c r="D109" t="s">
        <v>1761</v>
      </c>
      <c r="E109" t="s">
        <v>907</v>
      </c>
      <c r="F109">
        <f>ROUNDUP(Titanic_DATASET[[#This Row],[Age Correción 2]],0)</f>
        <v>48</v>
      </c>
      <c r="G109" s="4">
        <f>VALUE(SUBSTITUTE(Titanic_DATASET[[#This Row],[Age Correción.]],".",","))</f>
        <v>48</v>
      </c>
      <c r="H109" s="5">
        <v>48</v>
      </c>
      <c r="I109">
        <v>48</v>
      </c>
      <c r="J109">
        <v>1</v>
      </c>
      <c r="K109">
        <v>0</v>
      </c>
      <c r="L109" s="3">
        <v>11755</v>
      </c>
      <c r="M109" s="6">
        <f t="shared" si="2"/>
        <v>39.6</v>
      </c>
      <c r="N109" t="s">
        <v>1762</v>
      </c>
      <c r="O109" t="str">
        <f t="shared" si="3"/>
        <v>A16</v>
      </c>
      <c r="P109" t="s">
        <v>1763</v>
      </c>
      <c r="Q109" t="s">
        <v>910</v>
      </c>
    </row>
    <row r="110" spans="1:17" x14ac:dyDescent="0.25">
      <c r="A110">
        <v>371</v>
      </c>
      <c r="B110">
        <v>1</v>
      </c>
      <c r="C110">
        <v>1</v>
      </c>
      <c r="D110" t="s">
        <v>1504</v>
      </c>
      <c r="E110" t="s">
        <v>902</v>
      </c>
      <c r="F110">
        <f>ROUNDUP(Titanic_DATASET[[#This Row],[Age Correción 2]],0)</f>
        <v>25</v>
      </c>
      <c r="G110" s="4">
        <f>VALUE(SUBSTITUTE(Titanic_DATASET[[#This Row],[Age Correción.]],".",","))</f>
        <v>25</v>
      </c>
      <c r="H110" s="5">
        <v>25</v>
      </c>
      <c r="I110">
        <v>25</v>
      </c>
      <c r="J110">
        <v>1</v>
      </c>
      <c r="K110">
        <v>0</v>
      </c>
      <c r="L110" s="3">
        <v>11765</v>
      </c>
      <c r="M110" s="6">
        <f t="shared" si="2"/>
        <v>554417</v>
      </c>
      <c r="N110" s="1">
        <v>554417</v>
      </c>
      <c r="O110" s="1" t="str">
        <f t="shared" si="3"/>
        <v>E50</v>
      </c>
      <c r="P110" t="s">
        <v>1505</v>
      </c>
      <c r="Q110" t="s">
        <v>910</v>
      </c>
    </row>
    <row r="111" spans="1:17" x14ac:dyDescent="0.25">
      <c r="A111">
        <v>311</v>
      </c>
      <c r="B111">
        <v>1</v>
      </c>
      <c r="C111">
        <v>1</v>
      </c>
      <c r="D111" t="s">
        <v>1417</v>
      </c>
      <c r="E111" t="s">
        <v>907</v>
      </c>
      <c r="F111">
        <f>ROUNDUP(Titanic_DATASET[[#This Row],[Age Correción 2]],0)</f>
        <v>24</v>
      </c>
      <c r="G111" s="4">
        <f>VALUE(SUBSTITUTE(Titanic_DATASET[[#This Row],[Age Correción.]],".",","))</f>
        <v>24</v>
      </c>
      <c r="H111" s="5">
        <v>24</v>
      </c>
      <c r="I111">
        <v>24</v>
      </c>
      <c r="J111">
        <v>0</v>
      </c>
      <c r="K111">
        <v>0</v>
      </c>
      <c r="L111" s="3">
        <v>11767</v>
      </c>
      <c r="M111" s="6">
        <f t="shared" si="2"/>
        <v>831583</v>
      </c>
      <c r="N111" s="1">
        <v>831583</v>
      </c>
      <c r="O111" s="1" t="str">
        <f t="shared" si="3"/>
        <v>C54</v>
      </c>
      <c r="P111" t="s">
        <v>1418</v>
      </c>
      <c r="Q111" t="s">
        <v>910</v>
      </c>
    </row>
    <row r="112" spans="1:17" x14ac:dyDescent="0.25">
      <c r="A112">
        <v>880</v>
      </c>
      <c r="B112">
        <v>1</v>
      </c>
      <c r="C112">
        <v>1</v>
      </c>
      <c r="D112" t="s">
        <v>2182</v>
      </c>
      <c r="E112" t="s">
        <v>907</v>
      </c>
      <c r="F112">
        <f>ROUNDUP(Titanic_DATASET[[#This Row],[Age Correción 2]],0)</f>
        <v>56</v>
      </c>
      <c r="G112" s="4">
        <f>VALUE(SUBSTITUTE(Titanic_DATASET[[#This Row],[Age Correción.]],".",","))</f>
        <v>56</v>
      </c>
      <c r="H112" s="5">
        <v>56</v>
      </c>
      <c r="I112">
        <v>56</v>
      </c>
      <c r="J112">
        <v>0</v>
      </c>
      <c r="K112">
        <v>1</v>
      </c>
      <c r="L112" s="3">
        <v>11767</v>
      </c>
      <c r="M112" s="6">
        <f t="shared" si="2"/>
        <v>831583</v>
      </c>
      <c r="N112" s="1">
        <v>831583</v>
      </c>
      <c r="O112" s="1" t="str">
        <f t="shared" si="3"/>
        <v>C50</v>
      </c>
      <c r="P112" t="s">
        <v>2183</v>
      </c>
      <c r="Q112" t="s">
        <v>910</v>
      </c>
    </row>
    <row r="113" spans="1:17" x14ac:dyDescent="0.25">
      <c r="A113">
        <v>572</v>
      </c>
      <c r="B113">
        <v>1</v>
      </c>
      <c r="C113">
        <v>1</v>
      </c>
      <c r="D113" t="s">
        <v>1783</v>
      </c>
      <c r="E113" t="s">
        <v>907</v>
      </c>
      <c r="F113">
        <f>ROUNDUP(Titanic_DATASET[[#This Row],[Age Correción 2]],0)</f>
        <v>53</v>
      </c>
      <c r="G113" s="4">
        <f>VALUE(SUBSTITUTE(Titanic_DATASET[[#This Row],[Age Correción.]],".",","))</f>
        <v>53</v>
      </c>
      <c r="H113" s="5">
        <v>53</v>
      </c>
      <c r="I113">
        <v>53</v>
      </c>
      <c r="J113">
        <v>2</v>
      </c>
      <c r="K113">
        <v>0</v>
      </c>
      <c r="L113" s="3">
        <v>11769</v>
      </c>
      <c r="M113" s="6">
        <f t="shared" si="2"/>
        <v>514792</v>
      </c>
      <c r="N113" s="1">
        <v>514792</v>
      </c>
      <c r="O113" s="1" t="str">
        <f t="shared" si="3"/>
        <v>C101</v>
      </c>
      <c r="P113" t="s">
        <v>1784</v>
      </c>
      <c r="Q113" t="s">
        <v>905</v>
      </c>
    </row>
    <row r="114" spans="1:17" x14ac:dyDescent="0.25">
      <c r="A114">
        <v>488</v>
      </c>
      <c r="B114">
        <v>0</v>
      </c>
      <c r="C114">
        <v>1</v>
      </c>
      <c r="D114" t="s">
        <v>1660</v>
      </c>
      <c r="E114" t="s">
        <v>902</v>
      </c>
      <c r="F114">
        <f>ROUNDUP(Titanic_DATASET[[#This Row],[Age Correción 2]],0)</f>
        <v>58</v>
      </c>
      <c r="G114" s="4">
        <f>VALUE(SUBSTITUTE(Titanic_DATASET[[#This Row],[Age Correción.]],".",","))</f>
        <v>58</v>
      </c>
      <c r="H114" s="5">
        <v>58</v>
      </c>
      <c r="I114">
        <v>58</v>
      </c>
      <c r="J114">
        <v>0</v>
      </c>
      <c r="K114">
        <v>0</v>
      </c>
      <c r="L114" s="3">
        <v>11771</v>
      </c>
      <c r="M114" s="6">
        <f t="shared" si="2"/>
        <v>29.7</v>
      </c>
      <c r="N114" t="s">
        <v>1353</v>
      </c>
      <c r="O114" t="str">
        <f t="shared" si="3"/>
        <v>B37</v>
      </c>
      <c r="P114" t="s">
        <v>1661</v>
      </c>
      <c r="Q114" t="s">
        <v>910</v>
      </c>
    </row>
    <row r="115" spans="1:17" x14ac:dyDescent="0.25">
      <c r="A115">
        <v>840</v>
      </c>
      <c r="B115">
        <v>1</v>
      </c>
      <c r="C115">
        <v>1</v>
      </c>
      <c r="D115" t="s">
        <v>2131</v>
      </c>
      <c r="E115" t="s">
        <v>902</v>
      </c>
      <c r="F115">
        <f>ROUNDUP(Titanic_DATASET[[#This Row],[Age Correción 2]],0)</f>
        <v>48</v>
      </c>
      <c r="G115" s="4">
        <f>VALUE(SUBSTITUTE(Titanic_DATASET[[#This Row],[Age Correción.]],".",","))</f>
        <v>48</v>
      </c>
      <c r="H115" s="5">
        <v>48</v>
      </c>
      <c r="J115">
        <v>0</v>
      </c>
      <c r="K115">
        <v>0</v>
      </c>
      <c r="L115" s="3">
        <v>11774</v>
      </c>
      <c r="M115" s="6">
        <f t="shared" si="2"/>
        <v>29.7</v>
      </c>
      <c r="N115" t="s">
        <v>1353</v>
      </c>
      <c r="O115" t="str">
        <f t="shared" si="3"/>
        <v>C47</v>
      </c>
      <c r="P115" t="s">
        <v>2132</v>
      </c>
      <c r="Q115" t="s">
        <v>910</v>
      </c>
    </row>
    <row r="116" spans="1:17" x14ac:dyDescent="0.25">
      <c r="A116">
        <v>219</v>
      </c>
      <c r="B116">
        <v>1</v>
      </c>
      <c r="C116">
        <v>1</v>
      </c>
      <c r="D116" t="s">
        <v>1261</v>
      </c>
      <c r="E116" t="s">
        <v>907</v>
      </c>
      <c r="F116">
        <f>ROUNDUP(Titanic_DATASET[[#This Row],[Age Correción 2]],0)</f>
        <v>32</v>
      </c>
      <c r="G116" s="4">
        <f>VALUE(SUBSTITUTE(Titanic_DATASET[[#This Row],[Age Correción.]],".",","))</f>
        <v>32</v>
      </c>
      <c r="H116" s="5">
        <v>32</v>
      </c>
      <c r="I116">
        <v>32</v>
      </c>
      <c r="J116">
        <v>0</v>
      </c>
      <c r="K116">
        <v>0</v>
      </c>
      <c r="L116" s="3">
        <v>11813</v>
      </c>
      <c r="M116" s="6">
        <f t="shared" si="2"/>
        <v>762917</v>
      </c>
      <c r="N116" s="1">
        <v>762917</v>
      </c>
      <c r="O116" s="1" t="str">
        <f t="shared" si="3"/>
        <v>D15</v>
      </c>
      <c r="P116" t="s">
        <v>1262</v>
      </c>
      <c r="Q116" t="s">
        <v>910</v>
      </c>
    </row>
    <row r="117" spans="1:17" x14ac:dyDescent="0.25">
      <c r="A117">
        <v>292</v>
      </c>
      <c r="B117">
        <v>1</v>
      </c>
      <c r="C117">
        <v>1</v>
      </c>
      <c r="D117" t="s">
        <v>1378</v>
      </c>
      <c r="E117" t="s">
        <v>907</v>
      </c>
      <c r="F117">
        <f>ROUNDUP(Titanic_DATASET[[#This Row],[Age Correción 2]],0)</f>
        <v>19</v>
      </c>
      <c r="G117" s="4">
        <f>VALUE(SUBSTITUTE(Titanic_DATASET[[#This Row],[Age Correción.]],".",","))</f>
        <v>19</v>
      </c>
      <c r="H117" s="5">
        <v>19</v>
      </c>
      <c r="I117">
        <v>19</v>
      </c>
      <c r="J117">
        <v>1</v>
      </c>
      <c r="K117">
        <v>0</v>
      </c>
      <c r="L117" s="3">
        <v>11967</v>
      </c>
      <c r="M117" s="6">
        <f t="shared" si="2"/>
        <v>910792</v>
      </c>
      <c r="N117" s="1">
        <v>910792</v>
      </c>
      <c r="O117" s="1" t="str">
        <f t="shared" si="3"/>
        <v>B49</v>
      </c>
      <c r="P117" t="s">
        <v>1379</v>
      </c>
      <c r="Q117" t="s">
        <v>910</v>
      </c>
    </row>
    <row r="118" spans="1:17" x14ac:dyDescent="0.25">
      <c r="A118">
        <v>485</v>
      </c>
      <c r="B118">
        <v>1</v>
      </c>
      <c r="C118">
        <v>1</v>
      </c>
      <c r="D118" t="s">
        <v>1657</v>
      </c>
      <c r="E118" t="s">
        <v>902</v>
      </c>
      <c r="F118">
        <f>ROUNDUP(Titanic_DATASET[[#This Row],[Age Correción 2]],0)</f>
        <v>25</v>
      </c>
      <c r="G118" s="4">
        <f>VALUE(SUBSTITUTE(Titanic_DATASET[[#This Row],[Age Correción.]],".",","))</f>
        <v>25</v>
      </c>
      <c r="H118" s="5">
        <v>25</v>
      </c>
      <c r="I118">
        <v>25</v>
      </c>
      <c r="J118">
        <v>1</v>
      </c>
      <c r="K118">
        <v>0</v>
      </c>
      <c r="L118" s="3">
        <v>11967</v>
      </c>
      <c r="M118" s="6">
        <f t="shared" si="2"/>
        <v>910792</v>
      </c>
      <c r="N118" s="1">
        <v>910792</v>
      </c>
      <c r="O118" s="1" t="str">
        <f t="shared" si="3"/>
        <v>B49</v>
      </c>
      <c r="P118" t="s">
        <v>1379</v>
      </c>
      <c r="Q118" t="s">
        <v>910</v>
      </c>
    </row>
    <row r="119" spans="1:17" x14ac:dyDescent="0.25">
      <c r="A119">
        <v>723</v>
      </c>
      <c r="B119">
        <v>0</v>
      </c>
      <c r="C119">
        <v>2</v>
      </c>
      <c r="D119" t="s">
        <v>1980</v>
      </c>
      <c r="E119" t="s">
        <v>902</v>
      </c>
      <c r="F119">
        <f>ROUNDUP(Titanic_DATASET[[#This Row],[Age Correción 2]],0)</f>
        <v>34</v>
      </c>
      <c r="G119" s="4">
        <f>VALUE(SUBSTITUTE(Titanic_DATASET[[#This Row],[Age Correción.]],".",","))</f>
        <v>34</v>
      </c>
      <c r="H119" s="5">
        <v>34</v>
      </c>
      <c r="I119">
        <v>34</v>
      </c>
      <c r="J119">
        <v>0</v>
      </c>
      <c r="K119">
        <v>0</v>
      </c>
      <c r="L119" s="3">
        <v>12233</v>
      </c>
      <c r="M119" s="6">
        <f t="shared" si="2"/>
        <v>13</v>
      </c>
      <c r="N119">
        <v>13</v>
      </c>
      <c r="O119" t="str">
        <f t="shared" si="3"/>
        <v>Desconocido</v>
      </c>
      <c r="Q119" t="s">
        <v>905</v>
      </c>
    </row>
    <row r="120" spans="1:17" x14ac:dyDescent="0.25">
      <c r="A120">
        <v>791</v>
      </c>
      <c r="B120">
        <v>0</v>
      </c>
      <c r="C120">
        <v>3</v>
      </c>
      <c r="D120" t="s">
        <v>2068</v>
      </c>
      <c r="E120" t="s">
        <v>902</v>
      </c>
      <c r="F120">
        <f>ROUNDUP(Titanic_DATASET[[#This Row],[Age Correción 2]],0)</f>
        <v>79</v>
      </c>
      <c r="G120" s="4">
        <f>VALUE(SUBSTITUTE(Titanic_DATASET[[#This Row],[Age Correción.]],".",","))</f>
        <v>79</v>
      </c>
      <c r="H120" s="5">
        <v>79</v>
      </c>
      <c r="J120">
        <v>0</v>
      </c>
      <c r="K120">
        <v>0</v>
      </c>
      <c r="L120" s="3">
        <v>12460</v>
      </c>
      <c r="M120" s="6">
        <f t="shared" si="2"/>
        <v>7.75</v>
      </c>
      <c r="N120" t="s">
        <v>961</v>
      </c>
      <c r="O120" t="str">
        <f t="shared" si="3"/>
        <v>Desconocido</v>
      </c>
      <c r="Q120" t="s">
        <v>919</v>
      </c>
    </row>
    <row r="121" spans="1:17" x14ac:dyDescent="0.25">
      <c r="A121">
        <v>521</v>
      </c>
      <c r="B121">
        <v>1</v>
      </c>
      <c r="C121">
        <v>1</v>
      </c>
      <c r="D121" t="s">
        <v>1711</v>
      </c>
      <c r="E121" t="s">
        <v>907</v>
      </c>
      <c r="F121">
        <f>ROUNDUP(Titanic_DATASET[[#This Row],[Age Correción 2]],0)</f>
        <v>30</v>
      </c>
      <c r="G121" s="4">
        <f>VALUE(SUBSTITUTE(Titanic_DATASET[[#This Row],[Age Correción.]],".",","))</f>
        <v>30</v>
      </c>
      <c r="H121" s="5">
        <v>30</v>
      </c>
      <c r="I121">
        <v>30</v>
      </c>
      <c r="J121">
        <v>0</v>
      </c>
      <c r="K121">
        <v>0</v>
      </c>
      <c r="L121" s="3">
        <v>12749</v>
      </c>
      <c r="M121" s="6">
        <f t="shared" si="2"/>
        <v>93.5</v>
      </c>
      <c r="N121" t="s">
        <v>1712</v>
      </c>
      <c r="O121" t="str">
        <f t="shared" si="3"/>
        <v>B73</v>
      </c>
      <c r="P121" t="s">
        <v>1713</v>
      </c>
      <c r="Q121" t="s">
        <v>905</v>
      </c>
    </row>
    <row r="122" spans="1:17" x14ac:dyDescent="0.25">
      <c r="A122">
        <v>821</v>
      </c>
      <c r="B122">
        <v>1</v>
      </c>
      <c r="C122">
        <v>1</v>
      </c>
      <c r="D122" t="s">
        <v>2107</v>
      </c>
      <c r="E122" t="s">
        <v>907</v>
      </c>
      <c r="F122">
        <f>ROUNDUP(Titanic_DATASET[[#This Row],[Age Correción 2]],0)</f>
        <v>52</v>
      </c>
      <c r="G122" s="4">
        <f>VALUE(SUBSTITUTE(Titanic_DATASET[[#This Row],[Age Correción.]],".",","))</f>
        <v>52</v>
      </c>
      <c r="H122" s="5">
        <v>52</v>
      </c>
      <c r="I122">
        <v>52</v>
      </c>
      <c r="J122">
        <v>1</v>
      </c>
      <c r="K122">
        <v>1</v>
      </c>
      <c r="L122" s="3">
        <v>12749</v>
      </c>
      <c r="M122" s="6">
        <f t="shared" si="2"/>
        <v>93.5</v>
      </c>
      <c r="N122" t="s">
        <v>1712</v>
      </c>
      <c r="O122" t="str">
        <f t="shared" si="3"/>
        <v>B69</v>
      </c>
      <c r="P122" t="s">
        <v>2108</v>
      </c>
      <c r="Q122" t="s">
        <v>905</v>
      </c>
    </row>
    <row r="123" spans="1:17" x14ac:dyDescent="0.25">
      <c r="A123">
        <v>584</v>
      </c>
      <c r="B123">
        <v>0</v>
      </c>
      <c r="C123">
        <v>1</v>
      </c>
      <c r="D123" t="s">
        <v>1800</v>
      </c>
      <c r="E123" t="s">
        <v>902</v>
      </c>
      <c r="F123">
        <f>ROUNDUP(Titanic_DATASET[[#This Row],[Age Correción 2]],0)</f>
        <v>36</v>
      </c>
      <c r="G123" s="4">
        <f>VALUE(SUBSTITUTE(Titanic_DATASET[[#This Row],[Age Correción.]],".",","))</f>
        <v>36</v>
      </c>
      <c r="H123" s="5">
        <v>36</v>
      </c>
      <c r="I123">
        <v>36</v>
      </c>
      <c r="J123">
        <v>0</v>
      </c>
      <c r="K123">
        <v>0</v>
      </c>
      <c r="L123" s="3">
        <v>13049</v>
      </c>
      <c r="M123" s="6">
        <f t="shared" si="2"/>
        <v>40125</v>
      </c>
      <c r="N123" s="1">
        <v>40125</v>
      </c>
      <c r="O123" s="1" t="str">
        <f t="shared" si="3"/>
        <v>A10</v>
      </c>
      <c r="P123" t="s">
        <v>1801</v>
      </c>
      <c r="Q123" t="s">
        <v>910</v>
      </c>
    </row>
    <row r="124" spans="1:17" x14ac:dyDescent="0.25">
      <c r="A124">
        <v>648</v>
      </c>
      <c r="B124">
        <v>1</v>
      </c>
      <c r="C124">
        <v>1</v>
      </c>
      <c r="D124" t="s">
        <v>1881</v>
      </c>
      <c r="E124" t="s">
        <v>902</v>
      </c>
      <c r="F124">
        <f>ROUNDUP(Titanic_DATASET[[#This Row],[Age Correción 2]],0)</f>
        <v>56</v>
      </c>
      <c r="G124" s="4">
        <f>VALUE(SUBSTITUTE(Titanic_DATASET[[#This Row],[Age Correción.]],".",","))</f>
        <v>56</v>
      </c>
      <c r="H124" s="5">
        <v>56</v>
      </c>
      <c r="I124">
        <v>56</v>
      </c>
      <c r="J124">
        <v>0</v>
      </c>
      <c r="K124">
        <v>0</v>
      </c>
      <c r="L124" s="3">
        <v>13213</v>
      </c>
      <c r="M124" s="6">
        <f t="shared" si="2"/>
        <v>35.5</v>
      </c>
      <c r="N124" t="s">
        <v>946</v>
      </c>
      <c r="O124" t="str">
        <f t="shared" si="3"/>
        <v>A26</v>
      </c>
      <c r="P124" t="s">
        <v>1882</v>
      </c>
      <c r="Q124" t="s">
        <v>910</v>
      </c>
    </row>
    <row r="125" spans="1:17" x14ac:dyDescent="0.25">
      <c r="A125">
        <v>633</v>
      </c>
      <c r="B125">
        <v>1</v>
      </c>
      <c r="C125">
        <v>1</v>
      </c>
      <c r="D125" t="s">
        <v>1864</v>
      </c>
      <c r="E125" t="s">
        <v>902</v>
      </c>
      <c r="F125">
        <f>ROUNDUP(Titanic_DATASET[[#This Row],[Age Correción 2]],0)</f>
        <v>32</v>
      </c>
      <c r="G125" s="4">
        <f>VALUE(SUBSTITUTE(Titanic_DATASET[[#This Row],[Age Correción.]],".",","))</f>
        <v>32</v>
      </c>
      <c r="H125" s="5">
        <v>32</v>
      </c>
      <c r="I125">
        <v>32</v>
      </c>
      <c r="J125">
        <v>0</v>
      </c>
      <c r="K125">
        <v>0</v>
      </c>
      <c r="L125" s="3">
        <v>13214</v>
      </c>
      <c r="M125" s="6">
        <f t="shared" si="2"/>
        <v>30.5</v>
      </c>
      <c r="N125" t="s">
        <v>1394</v>
      </c>
      <c r="O125" t="str">
        <f t="shared" si="3"/>
        <v>B50</v>
      </c>
      <c r="P125" t="s">
        <v>1865</v>
      </c>
      <c r="Q125" t="s">
        <v>910</v>
      </c>
    </row>
    <row r="126" spans="1:17" x14ac:dyDescent="0.25">
      <c r="A126">
        <v>276</v>
      </c>
      <c r="B126">
        <v>1</v>
      </c>
      <c r="C126">
        <v>1</v>
      </c>
      <c r="D126" t="s">
        <v>1356</v>
      </c>
      <c r="E126" t="s">
        <v>907</v>
      </c>
      <c r="F126">
        <f>ROUNDUP(Titanic_DATASET[[#This Row],[Age Correción 2]],0)</f>
        <v>63</v>
      </c>
      <c r="G126" s="4">
        <f>VALUE(SUBSTITUTE(Titanic_DATASET[[#This Row],[Age Correción.]],".",","))</f>
        <v>63</v>
      </c>
      <c r="H126" s="5">
        <v>63</v>
      </c>
      <c r="I126">
        <v>63</v>
      </c>
      <c r="J126">
        <v>1</v>
      </c>
      <c r="K126">
        <v>0</v>
      </c>
      <c r="L126" s="3">
        <v>13502</v>
      </c>
      <c r="M126" s="6">
        <f t="shared" si="2"/>
        <v>779583</v>
      </c>
      <c r="N126" s="1">
        <v>779583</v>
      </c>
      <c r="O126" s="1" t="str">
        <f t="shared" si="3"/>
        <v>D7</v>
      </c>
      <c r="P126" t="s">
        <v>1357</v>
      </c>
      <c r="Q126" t="s">
        <v>905</v>
      </c>
    </row>
    <row r="127" spans="1:17" x14ac:dyDescent="0.25">
      <c r="A127">
        <v>628</v>
      </c>
      <c r="B127">
        <v>1</v>
      </c>
      <c r="C127">
        <v>1</v>
      </c>
      <c r="D127" t="s">
        <v>1857</v>
      </c>
      <c r="E127" t="s">
        <v>907</v>
      </c>
      <c r="F127">
        <f>ROUNDUP(Titanic_DATASET[[#This Row],[Age Correción 2]],0)</f>
        <v>21</v>
      </c>
      <c r="G127" s="4">
        <f>VALUE(SUBSTITUTE(Titanic_DATASET[[#This Row],[Age Correción.]],".",","))</f>
        <v>21</v>
      </c>
      <c r="H127" s="5">
        <v>21</v>
      </c>
      <c r="I127">
        <v>21</v>
      </c>
      <c r="J127">
        <v>0</v>
      </c>
      <c r="K127">
        <v>0</v>
      </c>
      <c r="L127" s="3">
        <v>13502</v>
      </c>
      <c r="M127" s="6">
        <f t="shared" si="2"/>
        <v>779583</v>
      </c>
      <c r="N127" s="1">
        <v>779583</v>
      </c>
      <c r="O127" s="1" t="str">
        <f t="shared" si="3"/>
        <v>D9</v>
      </c>
      <c r="P127" t="s">
        <v>1858</v>
      </c>
      <c r="Q127" t="s">
        <v>905</v>
      </c>
    </row>
    <row r="128" spans="1:17" x14ac:dyDescent="0.25">
      <c r="A128">
        <v>766</v>
      </c>
      <c r="B128">
        <v>1</v>
      </c>
      <c r="C128">
        <v>1</v>
      </c>
      <c r="D128" t="s">
        <v>2033</v>
      </c>
      <c r="E128" t="s">
        <v>907</v>
      </c>
      <c r="F128">
        <f>ROUNDUP(Titanic_DATASET[[#This Row],[Age Correción 2]],0)</f>
        <v>51</v>
      </c>
      <c r="G128" s="4">
        <f>VALUE(SUBSTITUTE(Titanic_DATASET[[#This Row],[Age Correción.]],".",","))</f>
        <v>51</v>
      </c>
      <c r="H128" s="5">
        <v>51</v>
      </c>
      <c r="I128">
        <v>51</v>
      </c>
      <c r="J128">
        <v>1</v>
      </c>
      <c r="K128">
        <v>0</v>
      </c>
      <c r="L128" s="3">
        <v>13502</v>
      </c>
      <c r="M128" s="6">
        <f t="shared" si="2"/>
        <v>779583</v>
      </c>
      <c r="N128" s="1">
        <v>779583</v>
      </c>
      <c r="O128" s="1" t="str">
        <f t="shared" si="3"/>
        <v>D11</v>
      </c>
      <c r="P128" t="s">
        <v>2034</v>
      </c>
      <c r="Q128" t="s">
        <v>905</v>
      </c>
    </row>
    <row r="129" spans="1:17" x14ac:dyDescent="0.25">
      <c r="A129">
        <v>435</v>
      </c>
      <c r="B129">
        <v>0</v>
      </c>
      <c r="C129">
        <v>1</v>
      </c>
      <c r="D129" t="s">
        <v>1587</v>
      </c>
      <c r="E129" t="s">
        <v>902</v>
      </c>
      <c r="F129">
        <f>ROUNDUP(Titanic_DATASET[[#This Row],[Age Correción 2]],0)</f>
        <v>50</v>
      </c>
      <c r="G129" s="4">
        <f>VALUE(SUBSTITUTE(Titanic_DATASET[[#This Row],[Age Correción.]],".",","))</f>
        <v>50</v>
      </c>
      <c r="H129" s="5">
        <v>50</v>
      </c>
      <c r="I129">
        <v>50</v>
      </c>
      <c r="J129">
        <v>1</v>
      </c>
      <c r="K129">
        <v>0</v>
      </c>
      <c r="L129" s="3">
        <v>13507</v>
      </c>
      <c r="M129" s="6">
        <f t="shared" si="2"/>
        <v>55.9</v>
      </c>
      <c r="N129" t="s">
        <v>1588</v>
      </c>
      <c r="O129" t="str">
        <f t="shared" si="3"/>
        <v>E44</v>
      </c>
      <c r="P129" t="s">
        <v>1589</v>
      </c>
      <c r="Q129" t="s">
        <v>905</v>
      </c>
    </row>
    <row r="130" spans="1:17" x14ac:dyDescent="0.25">
      <c r="A130">
        <v>578</v>
      </c>
      <c r="B130">
        <v>1</v>
      </c>
      <c r="C130">
        <v>1</v>
      </c>
      <c r="D130" t="s">
        <v>1792</v>
      </c>
      <c r="E130" t="s">
        <v>907</v>
      </c>
      <c r="F130">
        <f>ROUNDUP(Titanic_DATASET[[#This Row],[Age Correción 2]],0)</f>
        <v>39</v>
      </c>
      <c r="G130" s="4">
        <f>VALUE(SUBSTITUTE(Titanic_DATASET[[#This Row],[Age Correción.]],".",","))</f>
        <v>39</v>
      </c>
      <c r="H130" s="5">
        <v>39</v>
      </c>
      <c r="I130">
        <v>39</v>
      </c>
      <c r="J130">
        <v>1</v>
      </c>
      <c r="K130">
        <v>0</v>
      </c>
      <c r="L130" s="3">
        <v>13507</v>
      </c>
      <c r="M130" s="6">
        <f t="shared" si="2"/>
        <v>55.9</v>
      </c>
      <c r="N130" t="s">
        <v>1588</v>
      </c>
      <c r="O130" t="str">
        <f t="shared" si="3"/>
        <v>E44</v>
      </c>
      <c r="P130" t="s">
        <v>1589</v>
      </c>
      <c r="Q130" t="s">
        <v>905</v>
      </c>
    </row>
    <row r="131" spans="1:17" x14ac:dyDescent="0.25">
      <c r="A131">
        <v>457</v>
      </c>
      <c r="B131">
        <v>0</v>
      </c>
      <c r="C131">
        <v>1</v>
      </c>
      <c r="D131" t="s">
        <v>1617</v>
      </c>
      <c r="E131" t="s">
        <v>902</v>
      </c>
      <c r="F131">
        <f>ROUNDUP(Titanic_DATASET[[#This Row],[Age Correción 2]],0)</f>
        <v>65</v>
      </c>
      <c r="G131" s="4">
        <f>VALUE(SUBSTITUTE(Titanic_DATASET[[#This Row],[Age Correción.]],".",","))</f>
        <v>65</v>
      </c>
      <c r="H131" s="5">
        <v>65</v>
      </c>
      <c r="I131">
        <v>65</v>
      </c>
      <c r="J131">
        <v>0</v>
      </c>
      <c r="K131">
        <v>0</v>
      </c>
      <c r="L131" s="3">
        <v>13509</v>
      </c>
      <c r="M131" s="6">
        <f t="shared" si="2"/>
        <v>26.55</v>
      </c>
      <c r="N131" t="s">
        <v>930</v>
      </c>
      <c r="O131" t="str">
        <f t="shared" si="3"/>
        <v>E38</v>
      </c>
      <c r="P131" t="s">
        <v>1618</v>
      </c>
      <c r="Q131" t="s">
        <v>905</v>
      </c>
    </row>
    <row r="132" spans="1:17" x14ac:dyDescent="0.25">
      <c r="A132">
        <v>588</v>
      </c>
      <c r="B132">
        <v>1</v>
      </c>
      <c r="C132">
        <v>1</v>
      </c>
      <c r="D132" t="s">
        <v>1806</v>
      </c>
      <c r="E132" t="s">
        <v>902</v>
      </c>
      <c r="F132">
        <f>ROUNDUP(Titanic_DATASET[[#This Row],[Age Correción 2]],0)</f>
        <v>60</v>
      </c>
      <c r="G132" s="4">
        <f>VALUE(SUBSTITUTE(Titanic_DATASET[[#This Row],[Age Correción.]],".",","))</f>
        <v>60</v>
      </c>
      <c r="H132" s="5">
        <v>60</v>
      </c>
      <c r="I132">
        <v>60</v>
      </c>
      <c r="J132">
        <v>1</v>
      </c>
      <c r="K132">
        <v>1</v>
      </c>
      <c r="L132" s="3">
        <v>13567</v>
      </c>
      <c r="M132" s="6">
        <f t="shared" ref="M132:M195" si="4">VALUE(SUBSTITUTE(N132,".",","))</f>
        <v>79.2</v>
      </c>
      <c r="N132" t="s">
        <v>1135</v>
      </c>
      <c r="O132" t="str">
        <f t="shared" ref="O132:O195" si="5">IF(ISBLANK(P132),"Desconocido",P132)</f>
        <v>B41</v>
      </c>
      <c r="P132" t="s">
        <v>1807</v>
      </c>
      <c r="Q132" t="s">
        <v>910</v>
      </c>
    </row>
    <row r="133" spans="1:17" x14ac:dyDescent="0.25">
      <c r="A133">
        <v>540</v>
      </c>
      <c r="B133">
        <v>1</v>
      </c>
      <c r="C133">
        <v>1</v>
      </c>
      <c r="D133" t="s">
        <v>1737</v>
      </c>
      <c r="E133" t="s">
        <v>907</v>
      </c>
      <c r="F133">
        <f>ROUNDUP(Titanic_DATASET[[#This Row],[Age Correción 2]],0)</f>
        <v>22</v>
      </c>
      <c r="G133" s="4">
        <f>VALUE(SUBSTITUTE(Titanic_DATASET[[#This Row],[Age Correción.]],".",","))</f>
        <v>22</v>
      </c>
      <c r="H133" s="5">
        <v>22</v>
      </c>
      <c r="I133">
        <v>22</v>
      </c>
      <c r="J133">
        <v>0</v>
      </c>
      <c r="K133">
        <v>2</v>
      </c>
      <c r="L133" s="3">
        <v>13568</v>
      </c>
      <c r="M133" s="6">
        <f t="shared" si="4"/>
        <v>49.5</v>
      </c>
      <c r="N133" t="s">
        <v>1738</v>
      </c>
      <c r="O133" t="str">
        <f t="shared" si="5"/>
        <v>B39</v>
      </c>
      <c r="P133" t="s">
        <v>1739</v>
      </c>
      <c r="Q133" t="s">
        <v>910</v>
      </c>
    </row>
    <row r="134" spans="1:17" x14ac:dyDescent="0.25">
      <c r="A134">
        <v>48</v>
      </c>
      <c r="B134">
        <v>1</v>
      </c>
      <c r="C134">
        <v>3</v>
      </c>
      <c r="D134" t="s">
        <v>983</v>
      </c>
      <c r="E134" t="s">
        <v>907</v>
      </c>
      <c r="F134">
        <f>ROUNDUP(Titanic_DATASET[[#This Row],[Age Correción 2]],0)</f>
        <v>22</v>
      </c>
      <c r="G134" s="4">
        <f>VALUE(SUBSTITUTE(Titanic_DATASET[[#This Row],[Age Correción.]],".",","))</f>
        <v>22</v>
      </c>
      <c r="H134" s="5">
        <v>22</v>
      </c>
      <c r="J134">
        <v>0</v>
      </c>
      <c r="K134">
        <v>0</v>
      </c>
      <c r="L134" s="3">
        <v>14311</v>
      </c>
      <c r="M134" s="6">
        <f t="shared" si="4"/>
        <v>7.75</v>
      </c>
      <c r="N134" t="s">
        <v>961</v>
      </c>
      <c r="O134" t="str">
        <f t="shared" si="5"/>
        <v>Desconocido</v>
      </c>
      <c r="Q134" t="s">
        <v>919</v>
      </c>
    </row>
    <row r="135" spans="1:17" x14ac:dyDescent="0.25">
      <c r="A135">
        <v>574</v>
      </c>
      <c r="B135">
        <v>1</v>
      </c>
      <c r="C135">
        <v>3</v>
      </c>
      <c r="D135" t="s">
        <v>1787</v>
      </c>
      <c r="E135" t="s">
        <v>907</v>
      </c>
      <c r="F135">
        <f>ROUNDUP(Titanic_DATASET[[#This Row],[Age Correción 2]],0)</f>
        <v>22</v>
      </c>
      <c r="G135" s="4">
        <f>VALUE(SUBSTITUTE(Titanic_DATASET[[#This Row],[Age Correción.]],".",","))</f>
        <v>22</v>
      </c>
      <c r="H135" s="5">
        <v>22</v>
      </c>
      <c r="J135">
        <v>0</v>
      </c>
      <c r="K135">
        <v>0</v>
      </c>
      <c r="L135" s="3">
        <v>14312</v>
      </c>
      <c r="M135" s="6">
        <f t="shared" si="4"/>
        <v>7.75</v>
      </c>
      <c r="N135" t="s">
        <v>961</v>
      </c>
      <c r="O135" t="str">
        <f t="shared" si="5"/>
        <v>Desconocido</v>
      </c>
      <c r="Q135" t="s">
        <v>919</v>
      </c>
    </row>
    <row r="136" spans="1:17" x14ac:dyDescent="0.25">
      <c r="A136">
        <v>369</v>
      </c>
      <c r="B136">
        <v>1</v>
      </c>
      <c r="C136">
        <v>3</v>
      </c>
      <c r="D136" t="s">
        <v>1499</v>
      </c>
      <c r="E136" t="s">
        <v>907</v>
      </c>
      <c r="F136">
        <f>ROUNDUP(Titanic_DATASET[[#This Row],[Age Correción 2]],0)</f>
        <v>26</v>
      </c>
      <c r="G136" s="4">
        <f>VALUE(SUBSTITUTE(Titanic_DATASET[[#This Row],[Age Correción.]],".",","))</f>
        <v>26</v>
      </c>
      <c r="H136" s="5">
        <v>26</v>
      </c>
      <c r="J136">
        <v>0</v>
      </c>
      <c r="K136">
        <v>0</v>
      </c>
      <c r="L136" s="3">
        <v>14313</v>
      </c>
      <c r="M136" s="6">
        <f t="shared" si="4"/>
        <v>7.75</v>
      </c>
      <c r="N136" t="s">
        <v>961</v>
      </c>
      <c r="O136" t="str">
        <f t="shared" si="5"/>
        <v>Desconocido</v>
      </c>
      <c r="Q136" t="s">
        <v>919</v>
      </c>
    </row>
    <row r="137" spans="1:17" x14ac:dyDescent="0.25">
      <c r="A137">
        <v>589</v>
      </c>
      <c r="B137">
        <v>0</v>
      </c>
      <c r="C137">
        <v>3</v>
      </c>
      <c r="D137" t="s">
        <v>1808</v>
      </c>
      <c r="E137" t="s">
        <v>902</v>
      </c>
      <c r="F137">
        <f>ROUNDUP(Titanic_DATASET[[#This Row],[Age Correción 2]],0)</f>
        <v>22</v>
      </c>
      <c r="G137" s="4">
        <f>VALUE(SUBSTITUTE(Titanic_DATASET[[#This Row],[Age Correción.]],".",","))</f>
        <v>22</v>
      </c>
      <c r="H137" s="5">
        <v>22</v>
      </c>
      <c r="I137">
        <v>22</v>
      </c>
      <c r="J137">
        <v>0</v>
      </c>
      <c r="K137">
        <v>0</v>
      </c>
      <c r="L137" s="3">
        <v>14973</v>
      </c>
      <c r="M137" s="6">
        <f t="shared" si="4"/>
        <v>8.0500000000000007</v>
      </c>
      <c r="N137" t="s">
        <v>917</v>
      </c>
      <c r="O137" t="str">
        <f t="shared" si="5"/>
        <v>Desconocido</v>
      </c>
      <c r="Q137" t="s">
        <v>905</v>
      </c>
    </row>
    <row r="138" spans="1:17" x14ac:dyDescent="0.25">
      <c r="A138">
        <v>320</v>
      </c>
      <c r="B138">
        <v>1</v>
      </c>
      <c r="C138">
        <v>1</v>
      </c>
      <c r="D138" t="s">
        <v>1431</v>
      </c>
      <c r="E138" t="s">
        <v>907</v>
      </c>
      <c r="F138">
        <f>ROUNDUP(Titanic_DATASET[[#This Row],[Age Correción 2]],0)</f>
        <v>40</v>
      </c>
      <c r="G138" s="4">
        <f>VALUE(SUBSTITUTE(Titanic_DATASET[[#This Row],[Age Correción.]],".",","))</f>
        <v>40</v>
      </c>
      <c r="H138" s="5">
        <v>40</v>
      </c>
      <c r="I138">
        <v>40</v>
      </c>
      <c r="J138">
        <v>1</v>
      </c>
      <c r="K138">
        <v>1</v>
      </c>
      <c r="L138" s="3">
        <v>16966</v>
      </c>
      <c r="M138" s="6">
        <f t="shared" si="4"/>
        <v>134.5</v>
      </c>
      <c r="N138" t="s">
        <v>1432</v>
      </c>
      <c r="O138" t="str">
        <f t="shared" si="5"/>
        <v>E34</v>
      </c>
      <c r="P138" t="s">
        <v>1433</v>
      </c>
      <c r="Q138" t="s">
        <v>910</v>
      </c>
    </row>
    <row r="139" spans="1:17" x14ac:dyDescent="0.25">
      <c r="A139">
        <v>338</v>
      </c>
      <c r="B139">
        <v>1</v>
      </c>
      <c r="C139">
        <v>1</v>
      </c>
      <c r="D139" t="s">
        <v>1458</v>
      </c>
      <c r="E139" t="s">
        <v>907</v>
      </c>
      <c r="F139">
        <f>ROUNDUP(Titanic_DATASET[[#This Row],[Age Correción 2]],0)</f>
        <v>41</v>
      </c>
      <c r="G139" s="4">
        <f>VALUE(SUBSTITUTE(Titanic_DATASET[[#This Row],[Age Correción.]],".",","))</f>
        <v>41</v>
      </c>
      <c r="H139" s="5">
        <v>41</v>
      </c>
      <c r="I139">
        <v>41</v>
      </c>
      <c r="J139">
        <v>0</v>
      </c>
      <c r="K139">
        <v>0</v>
      </c>
      <c r="L139" s="3">
        <v>16966</v>
      </c>
      <c r="M139" s="6">
        <f t="shared" si="4"/>
        <v>134.5</v>
      </c>
      <c r="N139" t="s">
        <v>1432</v>
      </c>
      <c r="O139" t="str">
        <f t="shared" si="5"/>
        <v>E40</v>
      </c>
      <c r="P139" t="s">
        <v>1459</v>
      </c>
      <c r="Q139" t="s">
        <v>910</v>
      </c>
    </row>
    <row r="140" spans="1:17" x14ac:dyDescent="0.25">
      <c r="A140">
        <v>741</v>
      </c>
      <c r="B140">
        <v>1</v>
      </c>
      <c r="C140">
        <v>1</v>
      </c>
      <c r="D140" t="s">
        <v>2001</v>
      </c>
      <c r="E140" t="s">
        <v>902</v>
      </c>
      <c r="F140">
        <f>ROUNDUP(Titanic_DATASET[[#This Row],[Age Correción 2]],0)</f>
        <v>42</v>
      </c>
      <c r="G140" s="4">
        <f>VALUE(SUBSTITUTE(Titanic_DATASET[[#This Row],[Age Correción.]],".",","))</f>
        <v>42</v>
      </c>
      <c r="H140" s="5">
        <v>42</v>
      </c>
      <c r="J140">
        <v>0</v>
      </c>
      <c r="K140">
        <v>0</v>
      </c>
      <c r="L140" s="3">
        <v>16988</v>
      </c>
      <c r="M140" s="6">
        <f t="shared" si="4"/>
        <v>30</v>
      </c>
      <c r="N140">
        <v>30</v>
      </c>
      <c r="O140" t="str">
        <f t="shared" si="5"/>
        <v>D45</v>
      </c>
      <c r="P140" t="s">
        <v>2002</v>
      </c>
      <c r="Q140" t="s">
        <v>905</v>
      </c>
    </row>
    <row r="141" spans="1:17" x14ac:dyDescent="0.25">
      <c r="A141">
        <v>307</v>
      </c>
      <c r="B141">
        <v>1</v>
      </c>
      <c r="C141">
        <v>1</v>
      </c>
      <c r="D141" t="s">
        <v>1407</v>
      </c>
      <c r="E141" t="s">
        <v>907</v>
      </c>
      <c r="F141">
        <f>ROUNDUP(Titanic_DATASET[[#This Row],[Age Correción 2]],0)</f>
        <v>24</v>
      </c>
      <c r="G141" s="4">
        <f>VALUE(SUBSTITUTE(Titanic_DATASET[[#This Row],[Age Correción.]],".",","))</f>
        <v>24</v>
      </c>
      <c r="H141" s="5">
        <v>24</v>
      </c>
      <c r="J141">
        <v>0</v>
      </c>
      <c r="K141">
        <v>0</v>
      </c>
      <c r="L141" s="3">
        <v>17421</v>
      </c>
      <c r="M141" s="6">
        <f t="shared" si="4"/>
        <v>1108833</v>
      </c>
      <c r="N141" s="1">
        <v>1108833</v>
      </c>
      <c r="O141" s="1" t="str">
        <f t="shared" si="5"/>
        <v>Desconocido</v>
      </c>
      <c r="Q141" t="s">
        <v>910</v>
      </c>
    </row>
    <row r="142" spans="1:17" x14ac:dyDescent="0.25">
      <c r="A142">
        <v>551</v>
      </c>
      <c r="B142">
        <v>1</v>
      </c>
      <c r="C142">
        <v>1</v>
      </c>
      <c r="D142" t="s">
        <v>1754</v>
      </c>
      <c r="E142" t="s">
        <v>902</v>
      </c>
      <c r="F142">
        <f>ROUNDUP(Titanic_DATASET[[#This Row],[Age Correción 2]],0)</f>
        <v>17</v>
      </c>
      <c r="G142" s="4">
        <f>VALUE(SUBSTITUTE(Titanic_DATASET[[#This Row],[Age Correción.]],".",","))</f>
        <v>17</v>
      </c>
      <c r="H142" s="5">
        <v>17</v>
      </c>
      <c r="I142">
        <v>17</v>
      </c>
      <c r="J142">
        <v>0</v>
      </c>
      <c r="K142">
        <v>2</v>
      </c>
      <c r="L142" s="3">
        <v>17421</v>
      </c>
      <c r="M142" s="6">
        <f t="shared" si="4"/>
        <v>1108833</v>
      </c>
      <c r="N142" s="1">
        <v>1108833</v>
      </c>
      <c r="O142" s="1" t="str">
        <f t="shared" si="5"/>
        <v>C70</v>
      </c>
      <c r="P142" t="s">
        <v>1755</v>
      </c>
      <c r="Q142" t="s">
        <v>910</v>
      </c>
    </row>
    <row r="143" spans="1:17" x14ac:dyDescent="0.25">
      <c r="A143">
        <v>582</v>
      </c>
      <c r="B143">
        <v>1</v>
      </c>
      <c r="C143">
        <v>1</v>
      </c>
      <c r="D143" t="s">
        <v>1797</v>
      </c>
      <c r="E143" t="s">
        <v>907</v>
      </c>
      <c r="F143">
        <f>ROUNDUP(Titanic_DATASET[[#This Row],[Age Correción 2]],0)</f>
        <v>39</v>
      </c>
      <c r="G143" s="4">
        <f>VALUE(SUBSTITUTE(Titanic_DATASET[[#This Row],[Age Correción.]],".",","))</f>
        <v>39</v>
      </c>
      <c r="H143" s="5">
        <v>39</v>
      </c>
      <c r="I143">
        <v>39</v>
      </c>
      <c r="J143">
        <v>1</v>
      </c>
      <c r="K143">
        <v>1</v>
      </c>
      <c r="L143" s="3">
        <v>17421</v>
      </c>
      <c r="M143" s="6">
        <f t="shared" si="4"/>
        <v>1108833</v>
      </c>
      <c r="N143" s="1">
        <v>1108833</v>
      </c>
      <c r="O143" s="1" t="str">
        <f t="shared" si="5"/>
        <v>C68</v>
      </c>
      <c r="P143" t="s">
        <v>1798</v>
      </c>
      <c r="Q143" t="s">
        <v>910</v>
      </c>
    </row>
    <row r="144" spans="1:17" x14ac:dyDescent="0.25">
      <c r="A144">
        <v>699</v>
      </c>
      <c r="B144">
        <v>0</v>
      </c>
      <c r="C144">
        <v>1</v>
      </c>
      <c r="D144" t="s">
        <v>1948</v>
      </c>
      <c r="E144" t="s">
        <v>902</v>
      </c>
      <c r="F144">
        <f>ROUNDUP(Titanic_DATASET[[#This Row],[Age Correción 2]],0)</f>
        <v>49</v>
      </c>
      <c r="G144" s="4">
        <f>VALUE(SUBSTITUTE(Titanic_DATASET[[#This Row],[Age Correción.]],".",","))</f>
        <v>49</v>
      </c>
      <c r="H144" s="5">
        <v>49</v>
      </c>
      <c r="I144">
        <v>49</v>
      </c>
      <c r="J144">
        <v>1</v>
      </c>
      <c r="K144">
        <v>1</v>
      </c>
      <c r="L144" s="3">
        <v>17421</v>
      </c>
      <c r="M144" s="6">
        <f t="shared" si="4"/>
        <v>1108833</v>
      </c>
      <c r="N144" s="1">
        <v>1108833</v>
      </c>
      <c r="O144" s="1" t="str">
        <f t="shared" si="5"/>
        <v>C68</v>
      </c>
      <c r="P144" t="s">
        <v>1798</v>
      </c>
      <c r="Q144" t="s">
        <v>910</v>
      </c>
    </row>
    <row r="145" spans="1:17" x14ac:dyDescent="0.25">
      <c r="A145">
        <v>454</v>
      </c>
      <c r="B145">
        <v>1</v>
      </c>
      <c r="C145">
        <v>1</v>
      </c>
      <c r="D145" t="s">
        <v>1612</v>
      </c>
      <c r="E145" t="s">
        <v>902</v>
      </c>
      <c r="F145">
        <f>ROUNDUP(Titanic_DATASET[[#This Row],[Age Correción 2]],0)</f>
        <v>49</v>
      </c>
      <c r="G145" s="4">
        <f>VALUE(SUBSTITUTE(Titanic_DATASET[[#This Row],[Age Correción.]],".",","))</f>
        <v>49</v>
      </c>
      <c r="H145" s="5">
        <v>49</v>
      </c>
      <c r="I145">
        <v>49</v>
      </c>
      <c r="J145">
        <v>1</v>
      </c>
      <c r="K145">
        <v>0</v>
      </c>
      <c r="L145" s="3">
        <v>17453</v>
      </c>
      <c r="M145" s="6">
        <f t="shared" si="4"/>
        <v>891042</v>
      </c>
      <c r="N145" s="1">
        <v>891042</v>
      </c>
      <c r="O145" s="1" t="str">
        <f t="shared" si="5"/>
        <v>C92</v>
      </c>
      <c r="P145" t="s">
        <v>1613</v>
      </c>
      <c r="Q145" t="s">
        <v>910</v>
      </c>
    </row>
    <row r="146" spans="1:17" x14ac:dyDescent="0.25">
      <c r="A146">
        <v>850</v>
      </c>
      <c r="B146">
        <v>1</v>
      </c>
      <c r="C146">
        <v>1</v>
      </c>
      <c r="D146" t="s">
        <v>2145</v>
      </c>
      <c r="E146" t="s">
        <v>907</v>
      </c>
      <c r="F146">
        <f>ROUNDUP(Titanic_DATASET[[#This Row],[Age Correción 2]],0)</f>
        <v>55</v>
      </c>
      <c r="G146" s="4">
        <f>VALUE(SUBSTITUTE(Titanic_DATASET[[#This Row],[Age Correción.]],".",","))</f>
        <v>55</v>
      </c>
      <c r="H146" s="5">
        <v>55</v>
      </c>
      <c r="J146">
        <v>1</v>
      </c>
      <c r="K146">
        <v>0</v>
      </c>
      <c r="L146" s="3">
        <v>17453</v>
      </c>
      <c r="M146" s="6">
        <f t="shared" si="4"/>
        <v>891042</v>
      </c>
      <c r="N146" s="1">
        <v>891042</v>
      </c>
      <c r="O146" s="1" t="str">
        <f t="shared" si="5"/>
        <v>C92</v>
      </c>
      <c r="P146" t="s">
        <v>1613</v>
      </c>
      <c r="Q146" t="s">
        <v>910</v>
      </c>
    </row>
    <row r="147" spans="1:17" x14ac:dyDescent="0.25">
      <c r="A147">
        <v>7</v>
      </c>
      <c r="B147">
        <v>0</v>
      </c>
      <c r="C147">
        <v>1</v>
      </c>
      <c r="D147" t="s">
        <v>920</v>
      </c>
      <c r="E147" t="s">
        <v>902</v>
      </c>
      <c r="F147">
        <f>ROUNDUP(Titanic_DATASET[[#This Row],[Age Correción 2]],0)</f>
        <v>54</v>
      </c>
      <c r="G147" s="4">
        <f>VALUE(SUBSTITUTE(Titanic_DATASET[[#This Row],[Age Correción.]],".",","))</f>
        <v>54</v>
      </c>
      <c r="H147" s="5">
        <v>54</v>
      </c>
      <c r="I147">
        <v>54</v>
      </c>
      <c r="J147">
        <v>0</v>
      </c>
      <c r="K147">
        <v>0</v>
      </c>
      <c r="L147" s="3">
        <v>17463</v>
      </c>
      <c r="M147" s="6">
        <f t="shared" si="4"/>
        <v>518625</v>
      </c>
      <c r="N147" s="1">
        <v>518625</v>
      </c>
      <c r="O147" s="1" t="str">
        <f t="shared" si="5"/>
        <v>E46</v>
      </c>
      <c r="P147" t="s">
        <v>921</v>
      </c>
      <c r="Q147" t="s">
        <v>905</v>
      </c>
    </row>
    <row r="148" spans="1:17" x14ac:dyDescent="0.25">
      <c r="A148">
        <v>458</v>
      </c>
      <c r="B148">
        <v>1</v>
      </c>
      <c r="C148">
        <v>1</v>
      </c>
      <c r="D148" t="s">
        <v>1619</v>
      </c>
      <c r="E148" t="s">
        <v>907</v>
      </c>
      <c r="F148">
        <f>ROUNDUP(Titanic_DATASET[[#This Row],[Age Correción 2]],0)</f>
        <v>13</v>
      </c>
      <c r="G148" s="4">
        <f>VALUE(SUBSTITUTE(Titanic_DATASET[[#This Row],[Age Correción.]],".",","))</f>
        <v>13</v>
      </c>
      <c r="H148" s="5">
        <v>13</v>
      </c>
      <c r="J148">
        <v>1</v>
      </c>
      <c r="K148">
        <v>0</v>
      </c>
      <c r="L148" s="3">
        <v>17464</v>
      </c>
      <c r="M148" s="6">
        <f t="shared" si="4"/>
        <v>518625</v>
      </c>
      <c r="N148" s="1">
        <v>518625</v>
      </c>
      <c r="O148" s="1" t="str">
        <f t="shared" si="5"/>
        <v>D21</v>
      </c>
      <c r="P148" t="s">
        <v>1620</v>
      </c>
      <c r="Q148" t="s">
        <v>905</v>
      </c>
    </row>
    <row r="149" spans="1:17" x14ac:dyDescent="0.25">
      <c r="A149">
        <v>797</v>
      </c>
      <c r="B149">
        <v>1</v>
      </c>
      <c r="C149">
        <v>1</v>
      </c>
      <c r="D149" t="s">
        <v>2075</v>
      </c>
      <c r="E149" t="s">
        <v>907</v>
      </c>
      <c r="F149">
        <f>ROUNDUP(Titanic_DATASET[[#This Row],[Age Correción 2]],0)</f>
        <v>49</v>
      </c>
      <c r="G149" s="4">
        <f>VALUE(SUBSTITUTE(Titanic_DATASET[[#This Row],[Age Correción.]],".",","))</f>
        <v>49</v>
      </c>
      <c r="H149" s="5">
        <v>49</v>
      </c>
      <c r="I149">
        <v>49</v>
      </c>
      <c r="J149">
        <v>0</v>
      </c>
      <c r="K149">
        <v>0</v>
      </c>
      <c r="L149" s="3">
        <v>17465</v>
      </c>
      <c r="M149" s="6">
        <f t="shared" si="4"/>
        <v>259292</v>
      </c>
      <c r="N149" s="1">
        <v>259292</v>
      </c>
      <c r="O149" s="1" t="str">
        <f t="shared" si="5"/>
        <v>D17</v>
      </c>
      <c r="P149" t="s">
        <v>2076</v>
      </c>
      <c r="Q149" t="s">
        <v>905</v>
      </c>
    </row>
    <row r="150" spans="1:17" x14ac:dyDescent="0.25">
      <c r="A150">
        <v>863</v>
      </c>
      <c r="B150">
        <v>1</v>
      </c>
      <c r="C150">
        <v>1</v>
      </c>
      <c r="D150" t="s">
        <v>2162</v>
      </c>
      <c r="E150" t="s">
        <v>907</v>
      </c>
      <c r="F150">
        <f>ROUNDUP(Titanic_DATASET[[#This Row],[Age Correción 2]],0)</f>
        <v>48</v>
      </c>
      <c r="G150" s="4">
        <f>VALUE(SUBSTITUTE(Titanic_DATASET[[#This Row],[Age Correción.]],".",","))</f>
        <v>48</v>
      </c>
      <c r="H150" s="5">
        <v>48</v>
      </c>
      <c r="I150">
        <v>48</v>
      </c>
      <c r="J150">
        <v>0</v>
      </c>
      <c r="K150">
        <v>0</v>
      </c>
      <c r="L150" s="3">
        <v>17466</v>
      </c>
      <c r="M150" s="6">
        <f t="shared" si="4"/>
        <v>259292</v>
      </c>
      <c r="N150" s="1">
        <v>259292</v>
      </c>
      <c r="O150" s="1" t="str">
        <f t="shared" si="5"/>
        <v>D17</v>
      </c>
      <c r="P150" t="s">
        <v>2076</v>
      </c>
      <c r="Q150" t="s">
        <v>905</v>
      </c>
    </row>
    <row r="151" spans="1:17" x14ac:dyDescent="0.25">
      <c r="A151">
        <v>691</v>
      </c>
      <c r="B151">
        <v>1</v>
      </c>
      <c r="C151">
        <v>1</v>
      </c>
      <c r="D151" t="s">
        <v>1939</v>
      </c>
      <c r="E151" t="s">
        <v>902</v>
      </c>
      <c r="F151">
        <f>ROUNDUP(Titanic_DATASET[[#This Row],[Age Correción 2]],0)</f>
        <v>31</v>
      </c>
      <c r="G151" s="4">
        <f>VALUE(SUBSTITUTE(Titanic_DATASET[[#This Row],[Age Correción.]],".",","))</f>
        <v>31</v>
      </c>
      <c r="H151" s="5">
        <v>31</v>
      </c>
      <c r="I151">
        <v>31</v>
      </c>
      <c r="J151">
        <v>1</v>
      </c>
      <c r="K151">
        <v>0</v>
      </c>
      <c r="L151" s="3">
        <v>17474</v>
      </c>
      <c r="M151" s="6">
        <f t="shared" si="4"/>
        <v>57</v>
      </c>
      <c r="N151">
        <v>57</v>
      </c>
      <c r="O151" t="str">
        <f t="shared" si="5"/>
        <v>B20</v>
      </c>
      <c r="P151" t="s">
        <v>1940</v>
      </c>
      <c r="Q151" t="s">
        <v>905</v>
      </c>
    </row>
    <row r="152" spans="1:17" x14ac:dyDescent="0.25">
      <c r="A152">
        <v>782</v>
      </c>
      <c r="B152">
        <v>1</v>
      </c>
      <c r="C152">
        <v>1</v>
      </c>
      <c r="D152" t="s">
        <v>2054</v>
      </c>
      <c r="E152" t="s">
        <v>907</v>
      </c>
      <c r="F152">
        <f>ROUNDUP(Titanic_DATASET[[#This Row],[Age Correción 2]],0)</f>
        <v>17</v>
      </c>
      <c r="G152" s="4">
        <f>VALUE(SUBSTITUTE(Titanic_DATASET[[#This Row],[Age Correción.]],".",","))</f>
        <v>17</v>
      </c>
      <c r="H152" s="5">
        <v>17</v>
      </c>
      <c r="I152">
        <v>17</v>
      </c>
      <c r="J152">
        <v>1</v>
      </c>
      <c r="K152">
        <v>0</v>
      </c>
      <c r="L152" s="3">
        <v>17474</v>
      </c>
      <c r="M152" s="6">
        <f t="shared" si="4"/>
        <v>57</v>
      </c>
      <c r="N152">
        <v>57</v>
      </c>
      <c r="O152" t="str">
        <f t="shared" si="5"/>
        <v>B20</v>
      </c>
      <c r="P152" t="s">
        <v>1940</v>
      </c>
      <c r="Q152" t="s">
        <v>905</v>
      </c>
    </row>
    <row r="153" spans="1:17" x14ac:dyDescent="0.25">
      <c r="A153">
        <v>175</v>
      </c>
      <c r="B153">
        <v>0</v>
      </c>
      <c r="C153">
        <v>1</v>
      </c>
      <c r="D153" t="s">
        <v>1198</v>
      </c>
      <c r="E153" t="s">
        <v>902</v>
      </c>
      <c r="F153">
        <f>ROUNDUP(Titanic_DATASET[[#This Row],[Age Correción 2]],0)</f>
        <v>56</v>
      </c>
      <c r="G153" s="4">
        <f>VALUE(SUBSTITUTE(Titanic_DATASET[[#This Row],[Age Correción.]],".",","))</f>
        <v>56</v>
      </c>
      <c r="H153" s="5">
        <v>56</v>
      </c>
      <c r="I153">
        <v>56</v>
      </c>
      <c r="J153">
        <v>0</v>
      </c>
      <c r="K153">
        <v>0</v>
      </c>
      <c r="L153" s="3">
        <v>17764</v>
      </c>
      <c r="M153" s="6">
        <f t="shared" si="4"/>
        <v>306958</v>
      </c>
      <c r="N153" s="1">
        <v>306958</v>
      </c>
      <c r="O153" s="1" t="str">
        <f t="shared" si="5"/>
        <v>A7</v>
      </c>
      <c r="P153" t="s">
        <v>1199</v>
      </c>
      <c r="Q153" t="s">
        <v>910</v>
      </c>
    </row>
    <row r="154" spans="1:17" x14ac:dyDescent="0.25">
      <c r="A154">
        <v>291</v>
      </c>
      <c r="B154">
        <v>1</v>
      </c>
      <c r="C154">
        <v>1</v>
      </c>
      <c r="D154" t="s">
        <v>1376</v>
      </c>
      <c r="E154" t="s">
        <v>907</v>
      </c>
      <c r="F154">
        <f>ROUNDUP(Titanic_DATASET[[#This Row],[Age Correción 2]],0)</f>
        <v>26</v>
      </c>
      <c r="G154" s="4">
        <f>VALUE(SUBSTITUTE(Titanic_DATASET[[#This Row],[Age Correción.]],".",","))</f>
        <v>26</v>
      </c>
      <c r="H154" s="5">
        <v>26</v>
      </c>
      <c r="I154">
        <v>26</v>
      </c>
      <c r="J154">
        <v>0</v>
      </c>
      <c r="K154">
        <v>0</v>
      </c>
      <c r="L154" s="3">
        <v>19877</v>
      </c>
      <c r="M154" s="6">
        <f t="shared" si="4"/>
        <v>78.849999999999994</v>
      </c>
      <c r="N154" t="s">
        <v>1377</v>
      </c>
      <c r="O154" t="str">
        <f t="shared" si="5"/>
        <v>Desconocido</v>
      </c>
      <c r="Q154" t="s">
        <v>905</v>
      </c>
    </row>
    <row r="155" spans="1:17" x14ac:dyDescent="0.25">
      <c r="A155">
        <v>742</v>
      </c>
      <c r="B155">
        <v>0</v>
      </c>
      <c r="C155">
        <v>1</v>
      </c>
      <c r="D155" t="s">
        <v>2003</v>
      </c>
      <c r="E155" t="s">
        <v>902</v>
      </c>
      <c r="F155">
        <f>ROUNDUP(Titanic_DATASET[[#This Row],[Age Correción 2]],0)</f>
        <v>36</v>
      </c>
      <c r="G155" s="4">
        <f>VALUE(SUBSTITUTE(Titanic_DATASET[[#This Row],[Age Correción.]],".",","))</f>
        <v>36</v>
      </c>
      <c r="H155" s="5">
        <v>36</v>
      </c>
      <c r="I155">
        <v>36</v>
      </c>
      <c r="J155">
        <v>1</v>
      </c>
      <c r="K155">
        <v>0</v>
      </c>
      <c r="L155" s="3">
        <v>19877</v>
      </c>
      <c r="M155" s="6">
        <f t="shared" si="4"/>
        <v>78.849999999999994</v>
      </c>
      <c r="N155" t="s">
        <v>1377</v>
      </c>
      <c r="O155" t="str">
        <f t="shared" si="5"/>
        <v>C46</v>
      </c>
      <c r="P155" t="s">
        <v>2004</v>
      </c>
      <c r="Q155" t="s">
        <v>905</v>
      </c>
    </row>
    <row r="156" spans="1:17" x14ac:dyDescent="0.25">
      <c r="A156">
        <v>246</v>
      </c>
      <c r="B156">
        <v>0</v>
      </c>
      <c r="C156">
        <v>1</v>
      </c>
      <c r="D156" t="s">
        <v>1306</v>
      </c>
      <c r="E156" t="s">
        <v>902</v>
      </c>
      <c r="F156">
        <f>ROUNDUP(Titanic_DATASET[[#This Row],[Age Correción 2]],0)</f>
        <v>44</v>
      </c>
      <c r="G156" s="4">
        <f>VALUE(SUBSTITUTE(Titanic_DATASET[[#This Row],[Age Correción.]],".",","))</f>
        <v>44</v>
      </c>
      <c r="H156" s="5">
        <v>44</v>
      </c>
      <c r="I156">
        <v>44</v>
      </c>
      <c r="J156">
        <v>2</v>
      </c>
      <c r="K156">
        <v>0</v>
      </c>
      <c r="L156" s="3">
        <v>19928</v>
      </c>
      <c r="M156" s="6">
        <f t="shared" si="4"/>
        <v>90</v>
      </c>
      <c r="N156">
        <v>90</v>
      </c>
      <c r="O156" t="str">
        <f t="shared" si="5"/>
        <v>C78</v>
      </c>
      <c r="P156" t="s">
        <v>1307</v>
      </c>
      <c r="Q156" t="s">
        <v>919</v>
      </c>
    </row>
    <row r="157" spans="1:17" x14ac:dyDescent="0.25">
      <c r="A157">
        <v>413</v>
      </c>
      <c r="B157">
        <v>1</v>
      </c>
      <c r="C157">
        <v>1</v>
      </c>
      <c r="D157" t="s">
        <v>1557</v>
      </c>
      <c r="E157" t="s">
        <v>907</v>
      </c>
      <c r="F157">
        <f>ROUNDUP(Titanic_DATASET[[#This Row],[Age Correción 2]],0)</f>
        <v>33</v>
      </c>
      <c r="G157" s="4">
        <f>VALUE(SUBSTITUTE(Titanic_DATASET[[#This Row],[Age Correción.]],".",","))</f>
        <v>33</v>
      </c>
      <c r="H157" s="5">
        <v>33</v>
      </c>
      <c r="I157">
        <v>33</v>
      </c>
      <c r="J157">
        <v>1</v>
      </c>
      <c r="K157">
        <v>0</v>
      </c>
      <c r="L157" s="3">
        <v>19928</v>
      </c>
      <c r="M157" s="6">
        <f t="shared" si="4"/>
        <v>90</v>
      </c>
      <c r="N157">
        <v>90</v>
      </c>
      <c r="O157" t="str">
        <f t="shared" si="5"/>
        <v>C78</v>
      </c>
      <c r="P157" t="s">
        <v>1307</v>
      </c>
      <c r="Q157" t="s">
        <v>919</v>
      </c>
    </row>
    <row r="158" spans="1:17" x14ac:dyDescent="0.25">
      <c r="A158">
        <v>225</v>
      </c>
      <c r="B158">
        <v>1</v>
      </c>
      <c r="C158">
        <v>1</v>
      </c>
      <c r="D158" t="s">
        <v>1270</v>
      </c>
      <c r="E158" t="s">
        <v>902</v>
      </c>
      <c r="F158">
        <f>ROUNDUP(Titanic_DATASET[[#This Row],[Age Correción 2]],0)</f>
        <v>38</v>
      </c>
      <c r="G158" s="4">
        <f>VALUE(SUBSTITUTE(Titanic_DATASET[[#This Row],[Age Correción.]],".",","))</f>
        <v>38</v>
      </c>
      <c r="H158" s="5">
        <v>38</v>
      </c>
      <c r="I158">
        <v>38</v>
      </c>
      <c r="J158">
        <v>1</v>
      </c>
      <c r="K158">
        <v>0</v>
      </c>
      <c r="L158" s="3">
        <v>19943</v>
      </c>
      <c r="M158" s="6">
        <f t="shared" si="4"/>
        <v>90</v>
      </c>
      <c r="N158">
        <v>90</v>
      </c>
      <c r="O158" t="str">
        <f t="shared" si="5"/>
        <v>C93</v>
      </c>
      <c r="P158" t="s">
        <v>1271</v>
      </c>
      <c r="Q158" t="s">
        <v>905</v>
      </c>
    </row>
    <row r="159" spans="1:17" x14ac:dyDescent="0.25">
      <c r="A159">
        <v>487</v>
      </c>
      <c r="B159">
        <v>1</v>
      </c>
      <c r="C159">
        <v>1</v>
      </c>
      <c r="D159" t="s">
        <v>1659</v>
      </c>
      <c r="E159" t="s">
        <v>907</v>
      </c>
      <c r="F159">
        <f>ROUNDUP(Titanic_DATASET[[#This Row],[Age Correción 2]],0)</f>
        <v>35</v>
      </c>
      <c r="G159" s="4">
        <f>VALUE(SUBSTITUTE(Titanic_DATASET[[#This Row],[Age Correción.]],".",","))</f>
        <v>35</v>
      </c>
      <c r="H159" s="5">
        <v>35</v>
      </c>
      <c r="I159">
        <v>35</v>
      </c>
      <c r="J159">
        <v>1</v>
      </c>
      <c r="K159">
        <v>0</v>
      </c>
      <c r="L159" s="3">
        <v>19943</v>
      </c>
      <c r="M159" s="6">
        <f t="shared" si="4"/>
        <v>90</v>
      </c>
      <c r="N159">
        <v>90</v>
      </c>
      <c r="O159" t="str">
        <f t="shared" si="5"/>
        <v>C93</v>
      </c>
      <c r="P159" t="s">
        <v>1271</v>
      </c>
      <c r="Q159" t="s">
        <v>905</v>
      </c>
    </row>
    <row r="160" spans="1:17" x14ac:dyDescent="0.25">
      <c r="A160">
        <v>56</v>
      </c>
      <c r="B160">
        <v>1</v>
      </c>
      <c r="C160">
        <v>1</v>
      </c>
      <c r="D160" t="s">
        <v>997</v>
      </c>
      <c r="E160" t="s">
        <v>902</v>
      </c>
      <c r="F160">
        <f>ROUNDUP(Titanic_DATASET[[#This Row],[Age Correción 2]],0)</f>
        <v>29</v>
      </c>
      <c r="G160" s="4">
        <f>VALUE(SUBSTITUTE(Titanic_DATASET[[#This Row],[Age Correción.]],".",","))</f>
        <v>29</v>
      </c>
      <c r="H160" s="5">
        <v>29</v>
      </c>
      <c r="J160">
        <v>0</v>
      </c>
      <c r="K160">
        <v>0</v>
      </c>
      <c r="L160" s="3">
        <v>19947</v>
      </c>
      <c r="M160" s="6">
        <f t="shared" si="4"/>
        <v>35.5</v>
      </c>
      <c r="N160" t="s">
        <v>946</v>
      </c>
      <c r="O160" t="str">
        <f t="shared" si="5"/>
        <v>C52</v>
      </c>
      <c r="P160" t="s">
        <v>998</v>
      </c>
      <c r="Q160" t="s">
        <v>905</v>
      </c>
    </row>
    <row r="161" spans="1:17" x14ac:dyDescent="0.25">
      <c r="A161">
        <v>28</v>
      </c>
      <c r="B161">
        <v>0</v>
      </c>
      <c r="C161">
        <v>1</v>
      </c>
      <c r="D161" t="s">
        <v>951</v>
      </c>
      <c r="E161" t="s">
        <v>902</v>
      </c>
      <c r="F161">
        <f>ROUNDUP(Titanic_DATASET[[#This Row],[Age Correción 2]],0)</f>
        <v>19</v>
      </c>
      <c r="G161" s="4">
        <f>VALUE(SUBSTITUTE(Titanic_DATASET[[#This Row],[Age Correción.]],".",","))</f>
        <v>19</v>
      </c>
      <c r="H161" s="5">
        <v>19</v>
      </c>
      <c r="I161">
        <v>19</v>
      </c>
      <c r="J161">
        <v>3</v>
      </c>
      <c r="K161">
        <v>2</v>
      </c>
      <c r="L161" s="3">
        <v>19950</v>
      </c>
      <c r="M161" s="6">
        <f t="shared" si="4"/>
        <v>263</v>
      </c>
      <c r="N161">
        <v>263</v>
      </c>
      <c r="O161" t="str">
        <f t="shared" si="5"/>
        <v>C23 C25 C27</v>
      </c>
      <c r="P161" t="s">
        <v>952</v>
      </c>
      <c r="Q161" t="s">
        <v>905</v>
      </c>
    </row>
    <row r="162" spans="1:17" x14ac:dyDescent="0.25">
      <c r="A162">
        <v>89</v>
      </c>
      <c r="B162">
        <v>1</v>
      </c>
      <c r="C162">
        <v>1</v>
      </c>
      <c r="D162" t="s">
        <v>1056</v>
      </c>
      <c r="E162" t="s">
        <v>907</v>
      </c>
      <c r="F162">
        <f>ROUNDUP(Titanic_DATASET[[#This Row],[Age Correción 2]],0)</f>
        <v>23</v>
      </c>
      <c r="G162" s="4">
        <f>VALUE(SUBSTITUTE(Titanic_DATASET[[#This Row],[Age Correción.]],".",","))</f>
        <v>23</v>
      </c>
      <c r="H162" s="5">
        <v>23</v>
      </c>
      <c r="I162">
        <v>23</v>
      </c>
      <c r="J162">
        <v>3</v>
      </c>
      <c r="K162">
        <v>2</v>
      </c>
      <c r="L162" s="3">
        <v>19950</v>
      </c>
      <c r="M162" s="6">
        <f t="shared" si="4"/>
        <v>263</v>
      </c>
      <c r="N162">
        <v>263</v>
      </c>
      <c r="O162" t="str">
        <f t="shared" si="5"/>
        <v>C23 C25 C27</v>
      </c>
      <c r="P162" t="s">
        <v>952</v>
      </c>
      <c r="Q162" t="s">
        <v>905</v>
      </c>
    </row>
    <row r="163" spans="1:17" x14ac:dyDescent="0.25">
      <c r="A163">
        <v>342</v>
      </c>
      <c r="B163">
        <v>1</v>
      </c>
      <c r="C163">
        <v>1</v>
      </c>
      <c r="D163" t="s">
        <v>1464</v>
      </c>
      <c r="E163" t="s">
        <v>907</v>
      </c>
      <c r="F163">
        <f>ROUNDUP(Titanic_DATASET[[#This Row],[Age Correción 2]],0)</f>
        <v>24</v>
      </c>
      <c r="G163" s="4">
        <f>VALUE(SUBSTITUTE(Titanic_DATASET[[#This Row],[Age Correción.]],".",","))</f>
        <v>24</v>
      </c>
      <c r="H163" s="5">
        <v>24</v>
      </c>
      <c r="I163">
        <v>24</v>
      </c>
      <c r="J163">
        <v>3</v>
      </c>
      <c r="K163">
        <v>2</v>
      </c>
      <c r="L163" s="3">
        <v>19950</v>
      </c>
      <c r="M163" s="6">
        <f t="shared" si="4"/>
        <v>263</v>
      </c>
      <c r="N163">
        <v>263</v>
      </c>
      <c r="O163" t="str">
        <f t="shared" si="5"/>
        <v>C23 C25 C27</v>
      </c>
      <c r="P163" t="s">
        <v>952</v>
      </c>
      <c r="Q163" t="s">
        <v>905</v>
      </c>
    </row>
    <row r="164" spans="1:17" x14ac:dyDescent="0.25">
      <c r="A164">
        <v>439</v>
      </c>
      <c r="B164">
        <v>0</v>
      </c>
      <c r="C164">
        <v>1</v>
      </c>
      <c r="D164" t="s">
        <v>1593</v>
      </c>
      <c r="E164" t="s">
        <v>902</v>
      </c>
      <c r="F164">
        <f>ROUNDUP(Titanic_DATASET[[#This Row],[Age Correción 2]],0)</f>
        <v>64</v>
      </c>
      <c r="G164" s="4">
        <f>VALUE(SUBSTITUTE(Titanic_DATASET[[#This Row],[Age Correción.]],".",","))</f>
        <v>64</v>
      </c>
      <c r="H164" s="5">
        <v>64</v>
      </c>
      <c r="I164">
        <v>64</v>
      </c>
      <c r="J164">
        <v>1</v>
      </c>
      <c r="K164">
        <v>4</v>
      </c>
      <c r="L164" s="3">
        <v>19950</v>
      </c>
      <c r="M164" s="6">
        <f t="shared" si="4"/>
        <v>263</v>
      </c>
      <c r="N164">
        <v>263</v>
      </c>
      <c r="O164" t="str">
        <f t="shared" si="5"/>
        <v>C23 C25 C27</v>
      </c>
      <c r="P164" t="s">
        <v>952</v>
      </c>
      <c r="Q164" t="s">
        <v>905</v>
      </c>
    </row>
    <row r="165" spans="1:17" x14ac:dyDescent="0.25">
      <c r="A165">
        <v>461</v>
      </c>
      <c r="B165">
        <v>1</v>
      </c>
      <c r="C165">
        <v>1</v>
      </c>
      <c r="D165" t="s">
        <v>1624</v>
      </c>
      <c r="E165" t="s">
        <v>902</v>
      </c>
      <c r="F165">
        <f>ROUNDUP(Titanic_DATASET[[#This Row],[Age Correción 2]],0)</f>
        <v>48</v>
      </c>
      <c r="G165" s="4">
        <f>VALUE(SUBSTITUTE(Titanic_DATASET[[#This Row],[Age Correción.]],".",","))</f>
        <v>48</v>
      </c>
      <c r="H165" s="5">
        <v>48</v>
      </c>
      <c r="I165">
        <v>48</v>
      </c>
      <c r="J165">
        <v>0</v>
      </c>
      <c r="K165">
        <v>0</v>
      </c>
      <c r="L165" s="3">
        <v>19952</v>
      </c>
      <c r="M165" s="6">
        <f t="shared" si="4"/>
        <v>26.55</v>
      </c>
      <c r="N165" t="s">
        <v>930</v>
      </c>
      <c r="O165" t="str">
        <f t="shared" si="5"/>
        <v>E12</v>
      </c>
      <c r="P165" t="s">
        <v>1625</v>
      </c>
      <c r="Q165" t="s">
        <v>905</v>
      </c>
    </row>
    <row r="166" spans="1:17" x14ac:dyDescent="0.25">
      <c r="A166">
        <v>823</v>
      </c>
      <c r="B166">
        <v>0</v>
      </c>
      <c r="C166">
        <v>1</v>
      </c>
      <c r="D166" t="s">
        <v>2110</v>
      </c>
      <c r="E166" t="s">
        <v>902</v>
      </c>
      <c r="F166">
        <f>ROUNDUP(Titanic_DATASET[[#This Row],[Age Correción 2]],0)</f>
        <v>38</v>
      </c>
      <c r="G166" s="4">
        <f>VALUE(SUBSTITUTE(Titanic_DATASET[[#This Row],[Age Correción.]],".",","))</f>
        <v>38</v>
      </c>
      <c r="H166" s="5">
        <v>38</v>
      </c>
      <c r="I166">
        <v>38</v>
      </c>
      <c r="J166">
        <v>0</v>
      </c>
      <c r="K166">
        <v>0</v>
      </c>
      <c r="L166" s="3">
        <v>19972</v>
      </c>
      <c r="M166" s="6">
        <f t="shared" si="4"/>
        <v>0</v>
      </c>
      <c r="N166">
        <v>0</v>
      </c>
      <c r="O166" t="str">
        <f t="shared" si="5"/>
        <v>Desconocido</v>
      </c>
      <c r="Q166" t="s">
        <v>905</v>
      </c>
    </row>
    <row r="167" spans="1:17" x14ac:dyDescent="0.25">
      <c r="A167">
        <v>299</v>
      </c>
      <c r="B167">
        <v>1</v>
      </c>
      <c r="C167">
        <v>1</v>
      </c>
      <c r="D167" t="s">
        <v>1393</v>
      </c>
      <c r="E167" t="s">
        <v>902</v>
      </c>
      <c r="F167">
        <f>ROUNDUP(Titanic_DATASET[[#This Row],[Age Correción 2]],0)</f>
        <v>76</v>
      </c>
      <c r="G167" s="4">
        <f>VALUE(SUBSTITUTE(Titanic_DATASET[[#This Row],[Age Correción.]],".",","))</f>
        <v>76</v>
      </c>
      <c r="H167" s="5">
        <v>76</v>
      </c>
      <c r="J167">
        <v>0</v>
      </c>
      <c r="K167">
        <v>0</v>
      </c>
      <c r="L167" s="3">
        <v>19988</v>
      </c>
      <c r="M167" s="6">
        <f t="shared" si="4"/>
        <v>30.5</v>
      </c>
      <c r="N167" t="s">
        <v>1394</v>
      </c>
      <c r="O167" t="str">
        <f t="shared" si="5"/>
        <v>C106</v>
      </c>
      <c r="P167" t="s">
        <v>1395</v>
      </c>
      <c r="Q167" t="s">
        <v>905</v>
      </c>
    </row>
    <row r="168" spans="1:17" x14ac:dyDescent="0.25">
      <c r="A168">
        <v>670</v>
      </c>
      <c r="B168">
        <v>1</v>
      </c>
      <c r="C168">
        <v>1</v>
      </c>
      <c r="D168" t="s">
        <v>1910</v>
      </c>
      <c r="E168" t="s">
        <v>907</v>
      </c>
      <c r="F168">
        <f>ROUNDUP(Titanic_DATASET[[#This Row],[Age Correción 2]],0)</f>
        <v>55</v>
      </c>
      <c r="G168" s="4">
        <f>VALUE(SUBSTITUTE(Titanic_DATASET[[#This Row],[Age Correción.]],".",","))</f>
        <v>55</v>
      </c>
      <c r="H168" s="5">
        <v>55</v>
      </c>
      <c r="J168">
        <v>1</v>
      </c>
      <c r="K168">
        <v>0</v>
      </c>
      <c r="L168" s="3">
        <v>19996</v>
      </c>
      <c r="M168" s="6">
        <f t="shared" si="4"/>
        <v>52</v>
      </c>
      <c r="N168">
        <v>52</v>
      </c>
      <c r="O168" t="str">
        <f t="shared" si="5"/>
        <v>C126</v>
      </c>
      <c r="P168" t="s">
        <v>1911</v>
      </c>
      <c r="Q168" t="s">
        <v>905</v>
      </c>
    </row>
    <row r="169" spans="1:17" x14ac:dyDescent="0.25">
      <c r="A169">
        <v>713</v>
      </c>
      <c r="B169">
        <v>1</v>
      </c>
      <c r="C169">
        <v>1</v>
      </c>
      <c r="D169" t="s">
        <v>1969</v>
      </c>
      <c r="E169" t="s">
        <v>902</v>
      </c>
      <c r="F169">
        <f>ROUNDUP(Titanic_DATASET[[#This Row],[Age Correción 2]],0)</f>
        <v>48</v>
      </c>
      <c r="G169" s="4">
        <f>VALUE(SUBSTITUTE(Titanic_DATASET[[#This Row],[Age Correción.]],".",","))</f>
        <v>48</v>
      </c>
      <c r="H169" s="5">
        <v>48</v>
      </c>
      <c r="I169">
        <v>48</v>
      </c>
      <c r="J169">
        <v>1</v>
      </c>
      <c r="K169">
        <v>0</v>
      </c>
      <c r="L169" s="3">
        <v>19996</v>
      </c>
      <c r="M169" s="6">
        <f t="shared" si="4"/>
        <v>52</v>
      </c>
      <c r="N169">
        <v>52</v>
      </c>
      <c r="O169" t="str">
        <f t="shared" si="5"/>
        <v>C126</v>
      </c>
      <c r="P169" t="s">
        <v>1911</v>
      </c>
      <c r="Q169" t="s">
        <v>905</v>
      </c>
    </row>
    <row r="170" spans="1:17" x14ac:dyDescent="0.25">
      <c r="A170">
        <v>223</v>
      </c>
      <c r="B170">
        <v>0</v>
      </c>
      <c r="C170">
        <v>3</v>
      </c>
      <c r="D170" t="s">
        <v>1268</v>
      </c>
      <c r="E170" t="s">
        <v>902</v>
      </c>
      <c r="F170">
        <f>ROUNDUP(Titanic_DATASET[[#This Row],[Age Correción 2]],0)</f>
        <v>51</v>
      </c>
      <c r="G170" s="4">
        <f>VALUE(SUBSTITUTE(Titanic_DATASET[[#This Row],[Age Correción.]],".",","))</f>
        <v>51</v>
      </c>
      <c r="H170" s="5">
        <v>51</v>
      </c>
      <c r="I170">
        <v>51</v>
      </c>
      <c r="J170">
        <v>0</v>
      </c>
      <c r="K170">
        <v>0</v>
      </c>
      <c r="L170" s="3">
        <v>21440</v>
      </c>
      <c r="M170" s="6">
        <f t="shared" si="4"/>
        <v>8.0500000000000007</v>
      </c>
      <c r="N170" t="s">
        <v>917</v>
      </c>
      <c r="O170" t="str">
        <f t="shared" si="5"/>
        <v>Desconocido</v>
      </c>
      <c r="Q170" t="s">
        <v>905</v>
      </c>
    </row>
    <row r="171" spans="1:17" x14ac:dyDescent="0.25">
      <c r="A171">
        <v>690</v>
      </c>
      <c r="B171">
        <v>1</v>
      </c>
      <c r="C171">
        <v>1</v>
      </c>
      <c r="D171" t="s">
        <v>1937</v>
      </c>
      <c r="E171" t="s">
        <v>907</v>
      </c>
      <c r="F171">
        <f>ROUNDUP(Titanic_DATASET[[#This Row],[Age Correción 2]],0)</f>
        <v>15</v>
      </c>
      <c r="G171" s="4">
        <f>VALUE(SUBSTITUTE(Titanic_DATASET[[#This Row],[Age Correción.]],".",","))</f>
        <v>15</v>
      </c>
      <c r="H171" s="5">
        <v>15</v>
      </c>
      <c r="I171">
        <v>15</v>
      </c>
      <c r="J171">
        <v>0</v>
      </c>
      <c r="K171">
        <v>1</v>
      </c>
      <c r="L171" s="3">
        <v>24160</v>
      </c>
      <c r="M171" s="6">
        <f t="shared" si="4"/>
        <v>2113375</v>
      </c>
      <c r="N171" s="1">
        <v>2113375</v>
      </c>
      <c r="O171" s="1" t="str">
        <f t="shared" si="5"/>
        <v>B5</v>
      </c>
      <c r="P171" t="s">
        <v>1938</v>
      </c>
      <c r="Q171" t="s">
        <v>905</v>
      </c>
    </row>
    <row r="172" spans="1:17" x14ac:dyDescent="0.25">
      <c r="A172">
        <v>731</v>
      </c>
      <c r="B172">
        <v>1</v>
      </c>
      <c r="C172">
        <v>1</v>
      </c>
      <c r="D172" t="s">
        <v>1990</v>
      </c>
      <c r="E172" t="s">
        <v>907</v>
      </c>
      <c r="F172">
        <f>ROUNDUP(Titanic_DATASET[[#This Row],[Age Correción 2]],0)</f>
        <v>29</v>
      </c>
      <c r="G172" s="4">
        <f>VALUE(SUBSTITUTE(Titanic_DATASET[[#This Row],[Age Correción.]],".",","))</f>
        <v>29</v>
      </c>
      <c r="H172" s="5">
        <v>29</v>
      </c>
      <c r="I172">
        <v>29</v>
      </c>
      <c r="J172">
        <v>0</v>
      </c>
      <c r="K172">
        <v>0</v>
      </c>
      <c r="L172" s="3">
        <v>24160</v>
      </c>
      <c r="M172" s="6">
        <f t="shared" si="4"/>
        <v>2113375</v>
      </c>
      <c r="N172" s="1">
        <v>2113375</v>
      </c>
      <c r="O172" s="1" t="str">
        <f t="shared" si="5"/>
        <v>B5</v>
      </c>
      <c r="P172" t="s">
        <v>1938</v>
      </c>
      <c r="Q172" t="s">
        <v>905</v>
      </c>
    </row>
    <row r="173" spans="1:17" x14ac:dyDescent="0.25">
      <c r="A173">
        <v>780</v>
      </c>
      <c r="B173">
        <v>1</v>
      </c>
      <c r="C173">
        <v>1</v>
      </c>
      <c r="D173" t="s">
        <v>2051</v>
      </c>
      <c r="E173" t="s">
        <v>907</v>
      </c>
      <c r="F173">
        <f>ROUNDUP(Titanic_DATASET[[#This Row],[Age Correción 2]],0)</f>
        <v>43</v>
      </c>
      <c r="G173" s="4">
        <f>VALUE(SUBSTITUTE(Titanic_DATASET[[#This Row],[Age Correción.]],".",","))</f>
        <v>43</v>
      </c>
      <c r="H173" s="5">
        <v>43</v>
      </c>
      <c r="I173">
        <v>43</v>
      </c>
      <c r="J173">
        <v>0</v>
      </c>
      <c r="K173">
        <v>1</v>
      </c>
      <c r="L173" s="3">
        <v>24160</v>
      </c>
      <c r="M173" s="6">
        <f t="shared" si="4"/>
        <v>2113375</v>
      </c>
      <c r="N173" s="1">
        <v>2113375</v>
      </c>
      <c r="O173" s="1" t="str">
        <f t="shared" si="5"/>
        <v>B3</v>
      </c>
      <c r="P173" t="s">
        <v>2052</v>
      </c>
      <c r="Q173" t="s">
        <v>905</v>
      </c>
    </row>
    <row r="174" spans="1:17" x14ac:dyDescent="0.25">
      <c r="A174">
        <v>507</v>
      </c>
      <c r="B174">
        <v>1</v>
      </c>
      <c r="C174">
        <v>2</v>
      </c>
      <c r="D174" t="s">
        <v>1689</v>
      </c>
      <c r="E174" t="s">
        <v>907</v>
      </c>
      <c r="F174">
        <f>ROUNDUP(Titanic_DATASET[[#This Row],[Age Correción 2]],0)</f>
        <v>33</v>
      </c>
      <c r="G174" s="4">
        <f>VALUE(SUBSTITUTE(Titanic_DATASET[[#This Row],[Age Correción.]],".",","))</f>
        <v>33</v>
      </c>
      <c r="H174" s="5">
        <v>33</v>
      </c>
      <c r="I174">
        <v>33</v>
      </c>
      <c r="J174">
        <v>0</v>
      </c>
      <c r="K174">
        <v>2</v>
      </c>
      <c r="L174" s="3">
        <v>26360</v>
      </c>
      <c r="M174" s="6">
        <f t="shared" si="4"/>
        <v>26</v>
      </c>
      <c r="N174">
        <v>26</v>
      </c>
      <c r="O174" t="str">
        <f t="shared" si="5"/>
        <v>Desconocido</v>
      </c>
      <c r="Q174" t="s">
        <v>905</v>
      </c>
    </row>
    <row r="175" spans="1:17" x14ac:dyDescent="0.25">
      <c r="A175">
        <v>531</v>
      </c>
      <c r="B175">
        <v>1</v>
      </c>
      <c r="C175">
        <v>2</v>
      </c>
      <c r="D175" t="s">
        <v>1726</v>
      </c>
      <c r="E175" t="s">
        <v>907</v>
      </c>
      <c r="F175">
        <f>ROUNDUP(Titanic_DATASET[[#This Row],[Age Correción 2]],0)</f>
        <v>2</v>
      </c>
      <c r="G175" s="4">
        <f>VALUE(SUBSTITUTE(Titanic_DATASET[[#This Row],[Age Correción.]],".",","))</f>
        <v>2</v>
      </c>
      <c r="H175" s="5">
        <v>2</v>
      </c>
      <c r="I175">
        <v>2</v>
      </c>
      <c r="J175">
        <v>1</v>
      </c>
      <c r="K175">
        <v>1</v>
      </c>
      <c r="L175" s="3">
        <v>26360</v>
      </c>
      <c r="M175" s="6">
        <f t="shared" si="4"/>
        <v>26</v>
      </c>
      <c r="N175">
        <v>26</v>
      </c>
      <c r="O175" t="str">
        <f t="shared" si="5"/>
        <v>Desconocido</v>
      </c>
      <c r="Q175" t="s">
        <v>905</v>
      </c>
    </row>
    <row r="176" spans="1:17" x14ac:dyDescent="0.25">
      <c r="A176">
        <v>237</v>
      </c>
      <c r="B176">
        <v>0</v>
      </c>
      <c r="C176">
        <v>2</v>
      </c>
      <c r="D176" t="s">
        <v>1292</v>
      </c>
      <c r="E176" t="s">
        <v>902</v>
      </c>
      <c r="F176">
        <f>ROUNDUP(Titanic_DATASET[[#This Row],[Age Correción 2]],0)</f>
        <v>44</v>
      </c>
      <c r="G176" s="4">
        <f>VALUE(SUBSTITUTE(Titanic_DATASET[[#This Row],[Age Correción.]],".",","))</f>
        <v>44</v>
      </c>
      <c r="H176" s="5">
        <v>44</v>
      </c>
      <c r="I176">
        <v>44</v>
      </c>
      <c r="J176">
        <v>1</v>
      </c>
      <c r="K176">
        <v>0</v>
      </c>
      <c r="L176" s="3">
        <v>26707</v>
      </c>
      <c r="M176" s="6">
        <f t="shared" si="4"/>
        <v>26</v>
      </c>
      <c r="N176">
        <v>26</v>
      </c>
      <c r="O176" t="str">
        <f t="shared" si="5"/>
        <v>Desconocido</v>
      </c>
      <c r="Q176" t="s">
        <v>905</v>
      </c>
    </row>
    <row r="177" spans="1:17" x14ac:dyDescent="0.25">
      <c r="A177">
        <v>631</v>
      </c>
      <c r="B177">
        <v>1</v>
      </c>
      <c r="C177">
        <v>1</v>
      </c>
      <c r="D177" t="s">
        <v>1861</v>
      </c>
      <c r="E177" t="s">
        <v>902</v>
      </c>
      <c r="F177">
        <f>ROUNDUP(Titanic_DATASET[[#This Row],[Age Correción 2]],0)</f>
        <v>80</v>
      </c>
      <c r="G177" s="4">
        <f>VALUE(SUBSTITUTE(Titanic_DATASET[[#This Row],[Age Correción.]],".",","))</f>
        <v>80</v>
      </c>
      <c r="H177" s="5">
        <v>80</v>
      </c>
      <c r="I177">
        <v>80</v>
      </c>
      <c r="J177">
        <v>0</v>
      </c>
      <c r="K177">
        <v>0</v>
      </c>
      <c r="L177" s="3">
        <v>27042</v>
      </c>
      <c r="M177" s="6">
        <f t="shared" si="4"/>
        <v>30</v>
      </c>
      <c r="N177">
        <v>30</v>
      </c>
      <c r="O177" t="str">
        <f t="shared" si="5"/>
        <v>A23</v>
      </c>
      <c r="P177" t="s">
        <v>1862</v>
      </c>
      <c r="Q177" t="s">
        <v>905</v>
      </c>
    </row>
    <row r="178" spans="1:17" x14ac:dyDescent="0.25">
      <c r="A178">
        <v>124</v>
      </c>
      <c r="B178">
        <v>1</v>
      </c>
      <c r="C178">
        <v>2</v>
      </c>
      <c r="D178" t="s">
        <v>1108</v>
      </c>
      <c r="E178" t="s">
        <v>907</v>
      </c>
      <c r="F178">
        <f>ROUNDUP(Titanic_DATASET[[#This Row],[Age Correción 2]],0)</f>
        <v>33</v>
      </c>
      <c r="G178" s="4">
        <f>VALUE(SUBSTITUTE(Titanic_DATASET[[#This Row],[Age Correción.]],".",","))</f>
        <v>32.5</v>
      </c>
      <c r="H178" s="5" t="s">
        <v>1107</v>
      </c>
      <c r="I178" t="s">
        <v>1107</v>
      </c>
      <c r="J178">
        <v>0</v>
      </c>
      <c r="K178">
        <v>0</v>
      </c>
      <c r="L178" s="3">
        <v>27267</v>
      </c>
      <c r="M178" s="6">
        <f t="shared" si="4"/>
        <v>13</v>
      </c>
      <c r="N178">
        <v>13</v>
      </c>
      <c r="O178" t="str">
        <f t="shared" si="5"/>
        <v>E101</v>
      </c>
      <c r="P178" t="s">
        <v>1109</v>
      </c>
      <c r="Q178" t="s">
        <v>905</v>
      </c>
    </row>
    <row r="179" spans="1:17" x14ac:dyDescent="0.25">
      <c r="A179">
        <v>388</v>
      </c>
      <c r="B179">
        <v>1</v>
      </c>
      <c r="C179">
        <v>2</v>
      </c>
      <c r="D179" t="s">
        <v>1527</v>
      </c>
      <c r="E179" t="s">
        <v>907</v>
      </c>
      <c r="F179">
        <f>ROUNDUP(Titanic_DATASET[[#This Row],[Age Correción 2]],0)</f>
        <v>36</v>
      </c>
      <c r="G179" s="4">
        <f>VALUE(SUBSTITUTE(Titanic_DATASET[[#This Row],[Age Correción.]],".",","))</f>
        <v>36</v>
      </c>
      <c r="H179" s="5">
        <v>36</v>
      </c>
      <c r="I179">
        <v>36</v>
      </c>
      <c r="J179">
        <v>0</v>
      </c>
      <c r="K179">
        <v>0</v>
      </c>
      <c r="L179" s="3">
        <v>27849</v>
      </c>
      <c r="M179" s="6">
        <f t="shared" si="4"/>
        <v>13</v>
      </c>
      <c r="N179">
        <v>13</v>
      </c>
      <c r="O179" t="str">
        <f t="shared" si="5"/>
        <v>Desconocido</v>
      </c>
      <c r="Q179" t="s">
        <v>905</v>
      </c>
    </row>
    <row r="180" spans="1:17" x14ac:dyDescent="0.25">
      <c r="A180">
        <v>862</v>
      </c>
      <c r="B180">
        <v>0</v>
      </c>
      <c r="C180">
        <v>2</v>
      </c>
      <c r="D180" t="s">
        <v>2161</v>
      </c>
      <c r="E180" t="s">
        <v>902</v>
      </c>
      <c r="F180">
        <f>ROUNDUP(Titanic_DATASET[[#This Row],[Age Correción 2]],0)</f>
        <v>21</v>
      </c>
      <c r="G180" s="4">
        <f>VALUE(SUBSTITUTE(Titanic_DATASET[[#This Row],[Age Correción.]],".",","))</f>
        <v>21</v>
      </c>
      <c r="H180" s="5">
        <v>21</v>
      </c>
      <c r="I180">
        <v>21</v>
      </c>
      <c r="J180">
        <v>1</v>
      </c>
      <c r="K180">
        <v>0</v>
      </c>
      <c r="L180" s="3">
        <v>28134</v>
      </c>
      <c r="M180" s="6">
        <f t="shared" si="4"/>
        <v>11.5</v>
      </c>
      <c r="N180" t="s">
        <v>1144</v>
      </c>
      <c r="O180" t="str">
        <f t="shared" si="5"/>
        <v>Desconocido</v>
      </c>
      <c r="Q180" t="s">
        <v>905</v>
      </c>
    </row>
    <row r="181" spans="1:17" x14ac:dyDescent="0.25">
      <c r="A181">
        <v>813</v>
      </c>
      <c r="B181">
        <v>0</v>
      </c>
      <c r="C181">
        <v>2</v>
      </c>
      <c r="D181" t="s">
        <v>2094</v>
      </c>
      <c r="E181" t="s">
        <v>902</v>
      </c>
      <c r="F181">
        <f>ROUNDUP(Titanic_DATASET[[#This Row],[Age Correción 2]],0)</f>
        <v>35</v>
      </c>
      <c r="G181" s="4">
        <f>VALUE(SUBSTITUTE(Titanic_DATASET[[#This Row],[Age Correción.]],".",","))</f>
        <v>35</v>
      </c>
      <c r="H181" s="5">
        <v>35</v>
      </c>
      <c r="I181">
        <v>35</v>
      </c>
      <c r="J181">
        <v>0</v>
      </c>
      <c r="K181">
        <v>0</v>
      </c>
      <c r="L181" s="3">
        <v>28206</v>
      </c>
      <c r="M181" s="6">
        <f t="shared" si="4"/>
        <v>10.5</v>
      </c>
      <c r="N181" t="s">
        <v>964</v>
      </c>
      <c r="O181" t="str">
        <f t="shared" si="5"/>
        <v>Desconocido</v>
      </c>
      <c r="Q181" t="s">
        <v>905</v>
      </c>
    </row>
    <row r="182" spans="1:17" x14ac:dyDescent="0.25">
      <c r="A182">
        <v>796</v>
      </c>
      <c r="B182">
        <v>0</v>
      </c>
      <c r="C182">
        <v>2</v>
      </c>
      <c r="D182" t="s">
        <v>2074</v>
      </c>
      <c r="E182" t="s">
        <v>902</v>
      </c>
      <c r="F182">
        <f>ROUNDUP(Titanic_DATASET[[#This Row],[Age Correción 2]],0)</f>
        <v>39</v>
      </c>
      <c r="G182" s="4">
        <f>VALUE(SUBSTITUTE(Titanic_DATASET[[#This Row],[Age Correción.]],".",","))</f>
        <v>39</v>
      </c>
      <c r="H182" s="5">
        <v>39</v>
      </c>
      <c r="I182">
        <v>39</v>
      </c>
      <c r="J182">
        <v>0</v>
      </c>
      <c r="K182">
        <v>0</v>
      </c>
      <c r="L182" s="3">
        <v>28213</v>
      </c>
      <c r="M182" s="6">
        <f t="shared" si="4"/>
        <v>13</v>
      </c>
      <c r="N182">
        <v>13</v>
      </c>
      <c r="O182" t="str">
        <f t="shared" si="5"/>
        <v>Desconocido</v>
      </c>
      <c r="Q182" t="s">
        <v>905</v>
      </c>
    </row>
    <row r="183" spans="1:17" x14ac:dyDescent="0.25">
      <c r="A183">
        <v>417</v>
      </c>
      <c r="B183">
        <v>1</v>
      </c>
      <c r="C183">
        <v>2</v>
      </c>
      <c r="D183" t="s">
        <v>1562</v>
      </c>
      <c r="E183" t="s">
        <v>907</v>
      </c>
      <c r="F183">
        <f>ROUNDUP(Titanic_DATASET[[#This Row],[Age Correción 2]],0)</f>
        <v>34</v>
      </c>
      <c r="G183" s="4">
        <f>VALUE(SUBSTITUTE(Titanic_DATASET[[#This Row],[Age Correción.]],".",","))</f>
        <v>34</v>
      </c>
      <c r="H183" s="5">
        <v>34</v>
      </c>
      <c r="I183">
        <v>34</v>
      </c>
      <c r="J183">
        <v>1</v>
      </c>
      <c r="K183">
        <v>1</v>
      </c>
      <c r="L183" s="3">
        <v>28220</v>
      </c>
      <c r="M183" s="6">
        <f t="shared" si="4"/>
        <v>32.5</v>
      </c>
      <c r="N183" t="s">
        <v>1107</v>
      </c>
      <c r="O183" t="str">
        <f t="shared" si="5"/>
        <v>Desconocido</v>
      </c>
      <c r="Q183" t="s">
        <v>905</v>
      </c>
    </row>
    <row r="184" spans="1:17" x14ac:dyDescent="0.25">
      <c r="A184">
        <v>419</v>
      </c>
      <c r="B184">
        <v>0</v>
      </c>
      <c r="C184">
        <v>2</v>
      </c>
      <c r="D184" t="s">
        <v>1564</v>
      </c>
      <c r="E184" t="s">
        <v>902</v>
      </c>
      <c r="F184">
        <f>ROUNDUP(Titanic_DATASET[[#This Row],[Age Correción 2]],0)</f>
        <v>30</v>
      </c>
      <c r="G184" s="4">
        <f>VALUE(SUBSTITUTE(Titanic_DATASET[[#This Row],[Age Correción.]],".",","))</f>
        <v>30</v>
      </c>
      <c r="H184" s="5">
        <v>30</v>
      </c>
      <c r="I184">
        <v>30</v>
      </c>
      <c r="J184">
        <v>0</v>
      </c>
      <c r="K184">
        <v>0</v>
      </c>
      <c r="L184" s="3">
        <v>28228</v>
      </c>
      <c r="M184" s="6">
        <f t="shared" si="4"/>
        <v>13</v>
      </c>
      <c r="N184">
        <v>13</v>
      </c>
      <c r="O184" t="str">
        <f t="shared" si="5"/>
        <v>Desconocido</v>
      </c>
      <c r="Q184" t="s">
        <v>905</v>
      </c>
    </row>
    <row r="185" spans="1:17" x14ac:dyDescent="0.25">
      <c r="A185">
        <v>398</v>
      </c>
      <c r="B185">
        <v>0</v>
      </c>
      <c r="C185">
        <v>2</v>
      </c>
      <c r="D185" t="s">
        <v>1539</v>
      </c>
      <c r="E185" t="s">
        <v>902</v>
      </c>
      <c r="F185">
        <f>ROUNDUP(Titanic_DATASET[[#This Row],[Age Correción 2]],0)</f>
        <v>46</v>
      </c>
      <c r="G185" s="4">
        <f>VALUE(SUBSTITUTE(Titanic_DATASET[[#This Row],[Age Correción.]],".",","))</f>
        <v>46</v>
      </c>
      <c r="H185" s="5">
        <v>46</v>
      </c>
      <c r="I185">
        <v>46</v>
      </c>
      <c r="J185">
        <v>0</v>
      </c>
      <c r="K185">
        <v>0</v>
      </c>
      <c r="L185" s="3">
        <v>28403</v>
      </c>
      <c r="M185" s="6">
        <f t="shared" si="4"/>
        <v>26</v>
      </c>
      <c r="N185">
        <v>26</v>
      </c>
      <c r="O185" t="str">
        <f t="shared" si="5"/>
        <v>Desconocido</v>
      </c>
      <c r="Q185" t="s">
        <v>905</v>
      </c>
    </row>
    <row r="186" spans="1:17" x14ac:dyDescent="0.25">
      <c r="A186">
        <v>583</v>
      </c>
      <c r="B186">
        <v>0</v>
      </c>
      <c r="C186">
        <v>2</v>
      </c>
      <c r="D186" t="s">
        <v>1799</v>
      </c>
      <c r="E186" t="s">
        <v>902</v>
      </c>
      <c r="F186">
        <f>ROUNDUP(Titanic_DATASET[[#This Row],[Age Correción 2]],0)</f>
        <v>54</v>
      </c>
      <c r="G186" s="4">
        <f>VALUE(SUBSTITUTE(Titanic_DATASET[[#This Row],[Age Correción.]],".",","))</f>
        <v>54</v>
      </c>
      <c r="H186" s="5">
        <v>54</v>
      </c>
      <c r="I186">
        <v>54</v>
      </c>
      <c r="J186">
        <v>0</v>
      </c>
      <c r="K186">
        <v>0</v>
      </c>
      <c r="L186" s="3">
        <v>28403</v>
      </c>
      <c r="M186" s="6">
        <f t="shared" si="4"/>
        <v>26</v>
      </c>
      <c r="N186">
        <v>26</v>
      </c>
      <c r="O186" t="str">
        <f t="shared" si="5"/>
        <v>Desconocido</v>
      </c>
      <c r="Q186" t="s">
        <v>905</v>
      </c>
    </row>
    <row r="187" spans="1:17" x14ac:dyDescent="0.25">
      <c r="A187">
        <v>192</v>
      </c>
      <c r="B187">
        <v>0</v>
      </c>
      <c r="C187">
        <v>2</v>
      </c>
      <c r="D187" t="s">
        <v>1223</v>
      </c>
      <c r="E187" t="s">
        <v>902</v>
      </c>
      <c r="F187">
        <f>ROUNDUP(Titanic_DATASET[[#This Row],[Age Correción 2]],0)</f>
        <v>19</v>
      </c>
      <c r="G187" s="4">
        <f>VALUE(SUBSTITUTE(Titanic_DATASET[[#This Row],[Age Correción.]],".",","))</f>
        <v>19</v>
      </c>
      <c r="H187" s="5">
        <v>19</v>
      </c>
      <c r="I187">
        <v>19</v>
      </c>
      <c r="J187">
        <v>0</v>
      </c>
      <c r="K187">
        <v>0</v>
      </c>
      <c r="L187" s="3">
        <v>28424</v>
      </c>
      <c r="M187" s="6">
        <f t="shared" si="4"/>
        <v>13</v>
      </c>
      <c r="N187">
        <v>13</v>
      </c>
      <c r="O187" t="str">
        <f t="shared" si="5"/>
        <v>Desconocido</v>
      </c>
      <c r="Q187" t="s">
        <v>905</v>
      </c>
    </row>
    <row r="188" spans="1:17" x14ac:dyDescent="0.25">
      <c r="A188">
        <v>734</v>
      </c>
      <c r="B188">
        <v>0</v>
      </c>
      <c r="C188">
        <v>2</v>
      </c>
      <c r="D188" t="s">
        <v>1993</v>
      </c>
      <c r="E188" t="s">
        <v>902</v>
      </c>
      <c r="F188">
        <f>ROUNDUP(Titanic_DATASET[[#This Row],[Age Correción 2]],0)</f>
        <v>23</v>
      </c>
      <c r="G188" s="4">
        <f>VALUE(SUBSTITUTE(Titanic_DATASET[[#This Row],[Age Correción.]],".",","))</f>
        <v>23</v>
      </c>
      <c r="H188" s="5">
        <v>23</v>
      </c>
      <c r="I188">
        <v>23</v>
      </c>
      <c r="J188">
        <v>0</v>
      </c>
      <c r="K188">
        <v>0</v>
      </c>
      <c r="L188" s="3">
        <v>28425</v>
      </c>
      <c r="M188" s="6">
        <f t="shared" si="4"/>
        <v>13</v>
      </c>
      <c r="N188">
        <v>13</v>
      </c>
      <c r="O188" t="str">
        <f t="shared" si="5"/>
        <v>Desconocido</v>
      </c>
      <c r="Q188" t="s">
        <v>905</v>
      </c>
    </row>
    <row r="189" spans="1:17" x14ac:dyDescent="0.25">
      <c r="A189">
        <v>328</v>
      </c>
      <c r="B189">
        <v>1</v>
      </c>
      <c r="C189">
        <v>2</v>
      </c>
      <c r="D189" t="s">
        <v>1443</v>
      </c>
      <c r="E189" t="s">
        <v>907</v>
      </c>
      <c r="F189">
        <f>ROUNDUP(Titanic_DATASET[[#This Row],[Age Correción 2]],0)</f>
        <v>36</v>
      </c>
      <c r="G189" s="4">
        <f>VALUE(SUBSTITUTE(Titanic_DATASET[[#This Row],[Age Correción.]],".",","))</f>
        <v>36</v>
      </c>
      <c r="H189" s="5">
        <v>36</v>
      </c>
      <c r="I189">
        <v>36</v>
      </c>
      <c r="J189">
        <v>0</v>
      </c>
      <c r="K189">
        <v>0</v>
      </c>
      <c r="L189" s="3">
        <v>28551</v>
      </c>
      <c r="M189" s="6">
        <f t="shared" si="4"/>
        <v>13</v>
      </c>
      <c r="N189">
        <v>13</v>
      </c>
      <c r="O189" t="str">
        <f t="shared" si="5"/>
        <v>D</v>
      </c>
      <c r="P189" t="s">
        <v>1382</v>
      </c>
      <c r="Q189" t="s">
        <v>905</v>
      </c>
    </row>
    <row r="190" spans="1:17" x14ac:dyDescent="0.25">
      <c r="A190">
        <v>406</v>
      </c>
      <c r="B190">
        <v>0</v>
      </c>
      <c r="C190">
        <v>2</v>
      </c>
      <c r="D190" t="s">
        <v>1549</v>
      </c>
      <c r="E190" t="s">
        <v>902</v>
      </c>
      <c r="F190">
        <f>ROUNDUP(Titanic_DATASET[[#This Row],[Age Correción 2]],0)</f>
        <v>34</v>
      </c>
      <c r="G190" s="4">
        <f>VALUE(SUBSTITUTE(Titanic_DATASET[[#This Row],[Age Correción.]],".",","))</f>
        <v>34</v>
      </c>
      <c r="H190" s="5">
        <v>34</v>
      </c>
      <c r="I190">
        <v>34</v>
      </c>
      <c r="J190">
        <v>1</v>
      </c>
      <c r="K190">
        <v>0</v>
      </c>
      <c r="L190" s="3">
        <v>28664</v>
      </c>
      <c r="M190" s="6">
        <f t="shared" si="4"/>
        <v>21</v>
      </c>
      <c r="N190">
        <v>21</v>
      </c>
      <c r="O190" t="str">
        <f t="shared" si="5"/>
        <v>Desconocido</v>
      </c>
      <c r="Q190" t="s">
        <v>905</v>
      </c>
    </row>
    <row r="191" spans="1:17" x14ac:dyDescent="0.25">
      <c r="A191">
        <v>239</v>
      </c>
      <c r="B191">
        <v>0</v>
      </c>
      <c r="C191">
        <v>2</v>
      </c>
      <c r="D191" t="s">
        <v>1296</v>
      </c>
      <c r="E191" t="s">
        <v>902</v>
      </c>
      <c r="F191">
        <f>ROUNDUP(Titanic_DATASET[[#This Row],[Age Correción 2]],0)</f>
        <v>19</v>
      </c>
      <c r="G191" s="4">
        <f>VALUE(SUBSTITUTE(Titanic_DATASET[[#This Row],[Age Correción.]],".",","))</f>
        <v>19</v>
      </c>
      <c r="H191" s="5">
        <v>19</v>
      </c>
      <c r="I191">
        <v>19</v>
      </c>
      <c r="J191">
        <v>0</v>
      </c>
      <c r="K191">
        <v>0</v>
      </c>
      <c r="L191" s="3">
        <v>28665</v>
      </c>
      <c r="M191" s="6">
        <f t="shared" si="4"/>
        <v>10.5</v>
      </c>
      <c r="N191" t="s">
        <v>964</v>
      </c>
      <c r="O191" t="str">
        <f t="shared" si="5"/>
        <v>Desconocido</v>
      </c>
      <c r="Q191" t="s">
        <v>905</v>
      </c>
    </row>
    <row r="192" spans="1:17" x14ac:dyDescent="0.25">
      <c r="A192">
        <v>318</v>
      </c>
      <c r="B192">
        <v>0</v>
      </c>
      <c r="C192">
        <v>2</v>
      </c>
      <c r="D192" t="s">
        <v>1428</v>
      </c>
      <c r="E192" t="s">
        <v>902</v>
      </c>
      <c r="F192">
        <f>ROUNDUP(Titanic_DATASET[[#This Row],[Age Correción 2]],0)</f>
        <v>54</v>
      </c>
      <c r="G192" s="4">
        <f>VALUE(SUBSTITUTE(Titanic_DATASET[[#This Row],[Age Correción.]],".",","))</f>
        <v>54</v>
      </c>
      <c r="H192" s="5">
        <v>54</v>
      </c>
      <c r="I192">
        <v>54</v>
      </c>
      <c r="J192">
        <v>0</v>
      </c>
      <c r="K192">
        <v>0</v>
      </c>
      <c r="L192" s="3">
        <v>29011</v>
      </c>
      <c r="M192" s="6">
        <f t="shared" si="4"/>
        <v>14</v>
      </c>
      <c r="N192">
        <v>14</v>
      </c>
      <c r="O192" t="str">
        <f t="shared" si="5"/>
        <v>Desconocido</v>
      </c>
      <c r="Q192" t="s">
        <v>905</v>
      </c>
    </row>
    <row r="193" spans="1:17" x14ac:dyDescent="0.25">
      <c r="A193">
        <v>751</v>
      </c>
      <c r="B193">
        <v>1</v>
      </c>
      <c r="C193">
        <v>2</v>
      </c>
      <c r="D193" t="s">
        <v>2015</v>
      </c>
      <c r="E193" t="s">
        <v>907</v>
      </c>
      <c r="F193">
        <f>ROUNDUP(Titanic_DATASET[[#This Row],[Age Correción 2]],0)</f>
        <v>4</v>
      </c>
      <c r="G193" s="4">
        <f>VALUE(SUBSTITUTE(Titanic_DATASET[[#This Row],[Age Correción.]],".",","))</f>
        <v>4</v>
      </c>
      <c r="H193" s="5">
        <v>4</v>
      </c>
      <c r="I193">
        <v>4</v>
      </c>
      <c r="J193">
        <v>1</v>
      </c>
      <c r="K193">
        <v>1</v>
      </c>
      <c r="L193" s="3">
        <v>29103</v>
      </c>
      <c r="M193" s="6">
        <f t="shared" si="4"/>
        <v>23</v>
      </c>
      <c r="N193">
        <v>23</v>
      </c>
      <c r="O193" t="str">
        <f t="shared" si="5"/>
        <v>Desconocido</v>
      </c>
      <c r="Q193" t="s">
        <v>905</v>
      </c>
    </row>
    <row r="194" spans="1:17" x14ac:dyDescent="0.25">
      <c r="A194">
        <v>530</v>
      </c>
      <c r="B194">
        <v>0</v>
      </c>
      <c r="C194">
        <v>2</v>
      </c>
      <c r="D194" t="s">
        <v>1725</v>
      </c>
      <c r="E194" t="s">
        <v>902</v>
      </c>
      <c r="F194">
        <f>ROUNDUP(Titanic_DATASET[[#This Row],[Age Correción 2]],0)</f>
        <v>23</v>
      </c>
      <c r="G194" s="4">
        <f>VALUE(SUBSTITUTE(Titanic_DATASET[[#This Row],[Age Correción.]],".",","))</f>
        <v>23</v>
      </c>
      <c r="H194" s="5">
        <v>23</v>
      </c>
      <c r="I194">
        <v>23</v>
      </c>
      <c r="J194">
        <v>2</v>
      </c>
      <c r="K194">
        <v>1</v>
      </c>
      <c r="L194" s="3">
        <v>29104</v>
      </c>
      <c r="M194" s="6">
        <f t="shared" si="4"/>
        <v>11.5</v>
      </c>
      <c r="N194" t="s">
        <v>1144</v>
      </c>
      <c r="O194" t="str">
        <f t="shared" si="5"/>
        <v>Desconocido</v>
      </c>
      <c r="Q194" t="s">
        <v>905</v>
      </c>
    </row>
    <row r="195" spans="1:17" x14ac:dyDescent="0.25">
      <c r="A195">
        <v>775</v>
      </c>
      <c r="B195">
        <v>1</v>
      </c>
      <c r="C195">
        <v>2</v>
      </c>
      <c r="D195" t="s">
        <v>2045</v>
      </c>
      <c r="E195" t="s">
        <v>907</v>
      </c>
      <c r="F195">
        <f>ROUNDUP(Titanic_DATASET[[#This Row],[Age Correción 2]],0)</f>
        <v>54</v>
      </c>
      <c r="G195" s="4">
        <f>VALUE(SUBSTITUTE(Titanic_DATASET[[#This Row],[Age Correción.]],".",","))</f>
        <v>54</v>
      </c>
      <c r="H195" s="5">
        <v>54</v>
      </c>
      <c r="I195">
        <v>54</v>
      </c>
      <c r="J195">
        <v>1</v>
      </c>
      <c r="K195">
        <v>3</v>
      </c>
      <c r="L195" s="3">
        <v>29105</v>
      </c>
      <c r="M195" s="6">
        <f t="shared" si="4"/>
        <v>23</v>
      </c>
      <c r="N195">
        <v>23</v>
      </c>
      <c r="O195" t="str">
        <f t="shared" si="5"/>
        <v>Desconocido</v>
      </c>
      <c r="Q195" t="s">
        <v>905</v>
      </c>
    </row>
    <row r="196" spans="1:17" x14ac:dyDescent="0.25">
      <c r="A196">
        <v>408</v>
      </c>
      <c r="B196">
        <v>1</v>
      </c>
      <c r="C196">
        <v>2</v>
      </c>
      <c r="D196" t="s">
        <v>1551</v>
      </c>
      <c r="E196" t="s">
        <v>902</v>
      </c>
      <c r="F196">
        <f>ROUNDUP(Titanic_DATASET[[#This Row],[Age Correción 2]],0)</f>
        <v>3</v>
      </c>
      <c r="G196" s="4">
        <f>VALUE(SUBSTITUTE(Titanic_DATASET[[#This Row],[Age Correción.]],".",","))</f>
        <v>3</v>
      </c>
      <c r="H196" s="5">
        <v>3</v>
      </c>
      <c r="I196">
        <v>3</v>
      </c>
      <c r="J196">
        <v>1</v>
      </c>
      <c r="K196">
        <v>1</v>
      </c>
      <c r="L196" s="3">
        <v>29106</v>
      </c>
      <c r="M196" s="6">
        <f t="shared" ref="M196:M259" si="6">VALUE(SUBSTITUTE(N196,".",","))</f>
        <v>18.75</v>
      </c>
      <c r="N196" t="s">
        <v>1552</v>
      </c>
      <c r="O196" t="str">
        <f t="shared" ref="O196:O259" si="7">IF(ISBLANK(P196),"Desconocido",P196)</f>
        <v>Desconocido</v>
      </c>
      <c r="Q196" t="s">
        <v>905</v>
      </c>
    </row>
    <row r="197" spans="1:17" x14ac:dyDescent="0.25">
      <c r="A197">
        <v>438</v>
      </c>
      <c r="B197">
        <v>1</v>
      </c>
      <c r="C197">
        <v>2</v>
      </c>
      <c r="D197" t="s">
        <v>1592</v>
      </c>
      <c r="E197" t="s">
        <v>907</v>
      </c>
      <c r="F197">
        <f>ROUNDUP(Titanic_DATASET[[#This Row],[Age Correción 2]],0)</f>
        <v>24</v>
      </c>
      <c r="G197" s="4">
        <f>VALUE(SUBSTITUTE(Titanic_DATASET[[#This Row],[Age Correción.]],".",","))</f>
        <v>24</v>
      </c>
      <c r="H197" s="5">
        <v>24</v>
      </c>
      <c r="I197">
        <v>24</v>
      </c>
      <c r="J197">
        <v>2</v>
      </c>
      <c r="K197">
        <v>3</v>
      </c>
      <c r="L197" s="3">
        <v>29106</v>
      </c>
      <c r="M197" s="6">
        <f t="shared" si="6"/>
        <v>18.75</v>
      </c>
      <c r="N197" t="s">
        <v>1552</v>
      </c>
      <c r="O197" t="str">
        <f t="shared" si="7"/>
        <v>Desconocido</v>
      </c>
      <c r="Q197" t="s">
        <v>905</v>
      </c>
    </row>
    <row r="198" spans="1:17" x14ac:dyDescent="0.25">
      <c r="A198">
        <v>832</v>
      </c>
      <c r="B198">
        <v>1</v>
      </c>
      <c r="C198">
        <v>2</v>
      </c>
      <c r="D198" t="s">
        <v>2120</v>
      </c>
      <c r="E198" t="s">
        <v>902</v>
      </c>
      <c r="F198">
        <f>ROUNDUP(Titanic_DATASET[[#This Row],[Age Correción 2]],0)</f>
        <v>1</v>
      </c>
      <c r="G198" s="4">
        <f>VALUE(SUBSTITUTE(Titanic_DATASET[[#This Row],[Age Correción.]],".",","))</f>
        <v>0.83</v>
      </c>
      <c r="H198" s="5" t="s">
        <v>1040</v>
      </c>
      <c r="I198" t="s">
        <v>1040</v>
      </c>
      <c r="J198">
        <v>1</v>
      </c>
      <c r="K198">
        <v>1</v>
      </c>
      <c r="L198" s="3">
        <v>29106</v>
      </c>
      <c r="M198" s="6">
        <f t="shared" si="6"/>
        <v>18.75</v>
      </c>
      <c r="N198" t="s">
        <v>1552</v>
      </c>
      <c r="O198" t="str">
        <f t="shared" si="7"/>
        <v>Desconocido</v>
      </c>
      <c r="Q198" t="s">
        <v>905</v>
      </c>
    </row>
    <row r="199" spans="1:17" x14ac:dyDescent="0.25">
      <c r="A199">
        <v>758</v>
      </c>
      <c r="B199">
        <v>0</v>
      </c>
      <c r="C199">
        <v>2</v>
      </c>
      <c r="D199" t="s">
        <v>2024</v>
      </c>
      <c r="E199" t="s">
        <v>902</v>
      </c>
      <c r="F199">
        <f>ROUNDUP(Titanic_DATASET[[#This Row],[Age Correción 2]],0)</f>
        <v>18</v>
      </c>
      <c r="G199" s="4">
        <f>VALUE(SUBSTITUTE(Titanic_DATASET[[#This Row],[Age Correción.]],".",","))</f>
        <v>18</v>
      </c>
      <c r="H199" s="5">
        <v>18</v>
      </c>
      <c r="I199">
        <v>18</v>
      </c>
      <c r="J199">
        <v>0</v>
      </c>
      <c r="K199">
        <v>0</v>
      </c>
      <c r="L199" s="3">
        <v>29108</v>
      </c>
      <c r="M199" s="6">
        <f t="shared" si="6"/>
        <v>11.5</v>
      </c>
      <c r="N199" t="s">
        <v>1144</v>
      </c>
      <c r="O199" t="str">
        <f t="shared" si="7"/>
        <v>Desconocido</v>
      </c>
      <c r="Q199" t="s">
        <v>905</v>
      </c>
    </row>
    <row r="200" spans="1:17" x14ac:dyDescent="0.25">
      <c r="A200">
        <v>671</v>
      </c>
      <c r="B200">
        <v>1</v>
      </c>
      <c r="C200">
        <v>2</v>
      </c>
      <c r="D200" t="s">
        <v>1912</v>
      </c>
      <c r="E200" t="s">
        <v>907</v>
      </c>
      <c r="F200">
        <f>ROUNDUP(Titanic_DATASET[[#This Row],[Age Correción 2]],0)</f>
        <v>40</v>
      </c>
      <c r="G200" s="4">
        <f>VALUE(SUBSTITUTE(Titanic_DATASET[[#This Row],[Age Correción.]],".",","))</f>
        <v>40</v>
      </c>
      <c r="H200" s="5">
        <v>40</v>
      </c>
      <c r="I200">
        <v>40</v>
      </c>
      <c r="J200">
        <v>1</v>
      </c>
      <c r="K200">
        <v>1</v>
      </c>
      <c r="L200" s="3">
        <v>29750</v>
      </c>
      <c r="M200" s="6">
        <f t="shared" si="6"/>
        <v>39</v>
      </c>
      <c r="N200">
        <v>39</v>
      </c>
      <c r="O200" t="str">
        <f t="shared" si="7"/>
        <v>Desconocido</v>
      </c>
      <c r="Q200" t="s">
        <v>905</v>
      </c>
    </row>
    <row r="201" spans="1:17" x14ac:dyDescent="0.25">
      <c r="A201">
        <v>685</v>
      </c>
      <c r="B201">
        <v>0</v>
      </c>
      <c r="C201">
        <v>2</v>
      </c>
      <c r="D201" t="s">
        <v>1932</v>
      </c>
      <c r="E201" t="s">
        <v>902</v>
      </c>
      <c r="F201">
        <f>ROUNDUP(Titanic_DATASET[[#This Row],[Age Correción 2]],0)</f>
        <v>60</v>
      </c>
      <c r="G201" s="4">
        <f>VALUE(SUBSTITUTE(Titanic_DATASET[[#This Row],[Age Correción.]],".",","))</f>
        <v>60</v>
      </c>
      <c r="H201" s="5">
        <v>60</v>
      </c>
      <c r="I201">
        <v>60</v>
      </c>
      <c r="J201">
        <v>1</v>
      </c>
      <c r="K201">
        <v>1</v>
      </c>
      <c r="L201" s="3">
        <v>29750</v>
      </c>
      <c r="M201" s="6">
        <f t="shared" si="6"/>
        <v>39</v>
      </c>
      <c r="N201">
        <v>39</v>
      </c>
      <c r="O201" t="str">
        <f t="shared" si="7"/>
        <v>Desconocido</v>
      </c>
      <c r="Q201" t="s">
        <v>905</v>
      </c>
    </row>
    <row r="202" spans="1:17" x14ac:dyDescent="0.25">
      <c r="A202">
        <v>659</v>
      </c>
      <c r="B202">
        <v>0</v>
      </c>
      <c r="C202">
        <v>2</v>
      </c>
      <c r="D202" t="s">
        <v>1895</v>
      </c>
      <c r="E202" t="s">
        <v>902</v>
      </c>
      <c r="F202">
        <f>ROUNDUP(Titanic_DATASET[[#This Row],[Age Correción 2]],0)</f>
        <v>23</v>
      </c>
      <c r="G202" s="4">
        <f>VALUE(SUBSTITUTE(Titanic_DATASET[[#This Row],[Age Correción.]],".",","))</f>
        <v>23</v>
      </c>
      <c r="H202" s="5">
        <v>23</v>
      </c>
      <c r="I202">
        <v>23</v>
      </c>
      <c r="J202">
        <v>0</v>
      </c>
      <c r="K202">
        <v>0</v>
      </c>
      <c r="L202" s="3">
        <v>29751</v>
      </c>
      <c r="M202" s="6">
        <f t="shared" si="6"/>
        <v>13</v>
      </c>
      <c r="N202">
        <v>13</v>
      </c>
      <c r="O202" t="str">
        <f t="shared" si="7"/>
        <v>Desconocido</v>
      </c>
      <c r="Q202" t="s">
        <v>905</v>
      </c>
    </row>
    <row r="203" spans="1:17" x14ac:dyDescent="0.25">
      <c r="A203">
        <v>477</v>
      </c>
      <c r="B203">
        <v>0</v>
      </c>
      <c r="C203">
        <v>2</v>
      </c>
      <c r="D203" t="s">
        <v>1648</v>
      </c>
      <c r="E203" t="s">
        <v>902</v>
      </c>
      <c r="F203">
        <f>ROUNDUP(Titanic_DATASET[[#This Row],[Age Correción 2]],0)</f>
        <v>34</v>
      </c>
      <c r="G203" s="4">
        <f>VALUE(SUBSTITUTE(Titanic_DATASET[[#This Row],[Age Correción.]],".",","))</f>
        <v>34</v>
      </c>
      <c r="H203" s="5">
        <v>34</v>
      </c>
      <c r="I203">
        <v>34</v>
      </c>
      <c r="J203">
        <v>1</v>
      </c>
      <c r="K203">
        <v>0</v>
      </c>
      <c r="L203" s="3">
        <v>31027</v>
      </c>
      <c r="M203" s="6">
        <f t="shared" si="6"/>
        <v>21</v>
      </c>
      <c r="N203">
        <v>21</v>
      </c>
      <c r="O203" t="str">
        <f t="shared" si="7"/>
        <v>Desconocido</v>
      </c>
      <c r="Q203" t="s">
        <v>905</v>
      </c>
    </row>
    <row r="204" spans="1:17" x14ac:dyDescent="0.25">
      <c r="A204">
        <v>727</v>
      </c>
      <c r="B204">
        <v>1</v>
      </c>
      <c r="C204">
        <v>2</v>
      </c>
      <c r="D204" t="s">
        <v>1985</v>
      </c>
      <c r="E204" t="s">
        <v>907</v>
      </c>
      <c r="F204">
        <f>ROUNDUP(Titanic_DATASET[[#This Row],[Age Correción 2]],0)</f>
        <v>30</v>
      </c>
      <c r="G204" s="4">
        <f>VALUE(SUBSTITUTE(Titanic_DATASET[[#This Row],[Age Correción.]],".",","))</f>
        <v>30</v>
      </c>
      <c r="H204" s="5">
        <v>30</v>
      </c>
      <c r="I204">
        <v>30</v>
      </c>
      <c r="J204">
        <v>3</v>
      </c>
      <c r="K204">
        <v>0</v>
      </c>
      <c r="L204" s="3">
        <v>31027</v>
      </c>
      <c r="M204" s="6">
        <f t="shared" si="6"/>
        <v>21</v>
      </c>
      <c r="N204">
        <v>21</v>
      </c>
      <c r="O204" t="str">
        <f t="shared" si="7"/>
        <v>Desconocido</v>
      </c>
      <c r="Q204" t="s">
        <v>905</v>
      </c>
    </row>
    <row r="205" spans="1:17" x14ac:dyDescent="0.25">
      <c r="A205">
        <v>620</v>
      </c>
      <c r="B205">
        <v>0</v>
      </c>
      <c r="C205">
        <v>2</v>
      </c>
      <c r="D205" t="s">
        <v>1847</v>
      </c>
      <c r="E205" t="s">
        <v>902</v>
      </c>
      <c r="F205">
        <f>ROUNDUP(Titanic_DATASET[[#This Row],[Age Correción 2]],0)</f>
        <v>26</v>
      </c>
      <c r="G205" s="4">
        <f>VALUE(SUBSTITUTE(Titanic_DATASET[[#This Row],[Age Correción.]],".",","))</f>
        <v>26</v>
      </c>
      <c r="H205" s="5">
        <v>26</v>
      </c>
      <c r="I205">
        <v>26</v>
      </c>
      <c r="J205">
        <v>0</v>
      </c>
      <c r="K205">
        <v>0</v>
      </c>
      <c r="L205" s="3">
        <v>31028</v>
      </c>
      <c r="M205" s="6">
        <f t="shared" si="6"/>
        <v>10.5</v>
      </c>
      <c r="N205" t="s">
        <v>964</v>
      </c>
      <c r="O205" t="str">
        <f t="shared" si="7"/>
        <v>Desconocido</v>
      </c>
      <c r="Q205" t="s">
        <v>905</v>
      </c>
    </row>
    <row r="206" spans="1:17" x14ac:dyDescent="0.25">
      <c r="A206">
        <v>347</v>
      </c>
      <c r="B206">
        <v>1</v>
      </c>
      <c r="C206">
        <v>2</v>
      </c>
      <c r="D206" t="s">
        <v>1469</v>
      </c>
      <c r="E206" t="s">
        <v>907</v>
      </c>
      <c r="F206">
        <f>ROUNDUP(Titanic_DATASET[[#This Row],[Age Correción 2]],0)</f>
        <v>40</v>
      </c>
      <c r="G206" s="4">
        <f>VALUE(SUBSTITUTE(Titanic_DATASET[[#This Row],[Age Correción.]],".",","))</f>
        <v>40</v>
      </c>
      <c r="H206" s="5">
        <v>40</v>
      </c>
      <c r="I206">
        <v>40</v>
      </c>
      <c r="J206">
        <v>0</v>
      </c>
      <c r="K206">
        <v>0</v>
      </c>
      <c r="L206" s="3">
        <v>31418</v>
      </c>
      <c r="M206" s="6">
        <f t="shared" si="6"/>
        <v>13</v>
      </c>
      <c r="N206">
        <v>13</v>
      </c>
      <c r="O206" t="str">
        <f t="shared" si="7"/>
        <v>Desconocido</v>
      </c>
      <c r="Q206" t="s">
        <v>905</v>
      </c>
    </row>
    <row r="207" spans="1:17" x14ac:dyDescent="0.25">
      <c r="A207">
        <v>446</v>
      </c>
      <c r="B207">
        <v>1</v>
      </c>
      <c r="C207">
        <v>1</v>
      </c>
      <c r="D207" t="s">
        <v>1601</v>
      </c>
      <c r="E207" t="s">
        <v>902</v>
      </c>
      <c r="F207">
        <f>ROUNDUP(Titanic_DATASET[[#This Row],[Age Correción 2]],0)</f>
        <v>4</v>
      </c>
      <c r="G207" s="4">
        <f>VALUE(SUBSTITUTE(Titanic_DATASET[[#This Row],[Age Correción.]],".",","))</f>
        <v>4</v>
      </c>
      <c r="H207" s="5">
        <v>4</v>
      </c>
      <c r="I207">
        <v>4</v>
      </c>
      <c r="J207">
        <v>0</v>
      </c>
      <c r="K207">
        <v>2</v>
      </c>
      <c r="L207" s="3">
        <v>33638</v>
      </c>
      <c r="M207" s="6">
        <f t="shared" si="6"/>
        <v>818583</v>
      </c>
      <c r="N207" s="1">
        <v>818583</v>
      </c>
      <c r="O207" s="1" t="str">
        <f t="shared" si="7"/>
        <v>A34</v>
      </c>
      <c r="P207" t="s">
        <v>1602</v>
      </c>
      <c r="Q207" t="s">
        <v>905</v>
      </c>
    </row>
    <row r="208" spans="1:17" x14ac:dyDescent="0.25">
      <c r="A208">
        <v>718</v>
      </c>
      <c r="B208">
        <v>1</v>
      </c>
      <c r="C208">
        <v>2</v>
      </c>
      <c r="D208" t="s">
        <v>1975</v>
      </c>
      <c r="E208" t="s">
        <v>907</v>
      </c>
      <c r="F208">
        <f>ROUNDUP(Titanic_DATASET[[#This Row],[Age Correción 2]],0)</f>
        <v>27</v>
      </c>
      <c r="G208" s="4">
        <f>VALUE(SUBSTITUTE(Titanic_DATASET[[#This Row],[Age Correción.]],".",","))</f>
        <v>27</v>
      </c>
      <c r="H208" s="5">
        <v>27</v>
      </c>
      <c r="I208">
        <v>27</v>
      </c>
      <c r="J208">
        <v>0</v>
      </c>
      <c r="K208">
        <v>0</v>
      </c>
      <c r="L208" s="3">
        <v>34218</v>
      </c>
      <c r="M208" s="6">
        <f t="shared" si="6"/>
        <v>10.5</v>
      </c>
      <c r="N208" t="s">
        <v>964</v>
      </c>
      <c r="O208" t="str">
        <f t="shared" si="7"/>
        <v>E101</v>
      </c>
      <c r="P208" t="s">
        <v>1109</v>
      </c>
      <c r="Q208" t="s">
        <v>905</v>
      </c>
    </row>
    <row r="209" spans="1:17" x14ac:dyDescent="0.25">
      <c r="A209">
        <v>216</v>
      </c>
      <c r="B209">
        <v>1</v>
      </c>
      <c r="C209">
        <v>1</v>
      </c>
      <c r="D209" t="s">
        <v>1256</v>
      </c>
      <c r="E209" t="s">
        <v>907</v>
      </c>
      <c r="F209">
        <f>ROUNDUP(Titanic_DATASET[[#This Row],[Age Correción 2]],0)</f>
        <v>31</v>
      </c>
      <c r="G209" s="4">
        <f>VALUE(SUBSTITUTE(Titanic_DATASET[[#This Row],[Age Correción.]],".",","))</f>
        <v>31</v>
      </c>
      <c r="H209" s="5">
        <v>31</v>
      </c>
      <c r="I209">
        <v>31</v>
      </c>
      <c r="J209">
        <v>1</v>
      </c>
      <c r="K209">
        <v>0</v>
      </c>
      <c r="L209" s="3">
        <v>35273</v>
      </c>
      <c r="M209" s="6">
        <f t="shared" si="6"/>
        <v>113275</v>
      </c>
      <c r="N209" s="1">
        <v>113275</v>
      </c>
      <c r="O209" s="1" t="str">
        <f t="shared" si="7"/>
        <v>D36</v>
      </c>
      <c r="P209" t="s">
        <v>1257</v>
      </c>
      <c r="Q209" t="s">
        <v>910</v>
      </c>
    </row>
    <row r="210" spans="1:17" x14ac:dyDescent="0.25">
      <c r="A210">
        <v>394</v>
      </c>
      <c r="B210">
        <v>1</v>
      </c>
      <c r="C210">
        <v>1</v>
      </c>
      <c r="D210" t="s">
        <v>1535</v>
      </c>
      <c r="E210" t="s">
        <v>907</v>
      </c>
      <c r="F210">
        <f>ROUNDUP(Titanic_DATASET[[#This Row],[Age Correción 2]],0)</f>
        <v>23</v>
      </c>
      <c r="G210" s="4">
        <f>VALUE(SUBSTITUTE(Titanic_DATASET[[#This Row],[Age Correción.]],".",","))</f>
        <v>23</v>
      </c>
      <c r="H210" s="5">
        <v>23</v>
      </c>
      <c r="I210">
        <v>23</v>
      </c>
      <c r="J210">
        <v>1</v>
      </c>
      <c r="K210">
        <v>0</v>
      </c>
      <c r="L210" s="3">
        <v>35273</v>
      </c>
      <c r="M210" s="6">
        <f t="shared" si="6"/>
        <v>113275</v>
      </c>
      <c r="N210" s="1">
        <v>113275</v>
      </c>
      <c r="O210" s="1" t="str">
        <f t="shared" si="7"/>
        <v>D36</v>
      </c>
      <c r="P210" t="s">
        <v>1257</v>
      </c>
      <c r="Q210" t="s">
        <v>910</v>
      </c>
    </row>
    <row r="211" spans="1:17" x14ac:dyDescent="0.25">
      <c r="A211">
        <v>660</v>
      </c>
      <c r="B211">
        <v>0</v>
      </c>
      <c r="C211">
        <v>1</v>
      </c>
      <c r="D211" t="s">
        <v>1896</v>
      </c>
      <c r="E211" t="s">
        <v>902</v>
      </c>
      <c r="F211">
        <f>ROUNDUP(Titanic_DATASET[[#This Row],[Age Correción 2]],0)</f>
        <v>58</v>
      </c>
      <c r="G211" s="4">
        <f>VALUE(SUBSTITUTE(Titanic_DATASET[[#This Row],[Age Correción.]],".",","))</f>
        <v>58</v>
      </c>
      <c r="H211" s="5">
        <v>58</v>
      </c>
      <c r="I211">
        <v>58</v>
      </c>
      <c r="J211">
        <v>0</v>
      </c>
      <c r="K211">
        <v>2</v>
      </c>
      <c r="L211" s="3">
        <v>35273</v>
      </c>
      <c r="M211" s="6">
        <f t="shared" si="6"/>
        <v>113275</v>
      </c>
      <c r="N211" s="1">
        <v>113275</v>
      </c>
      <c r="O211" s="1" t="str">
        <f t="shared" si="7"/>
        <v>D48</v>
      </c>
      <c r="P211" t="s">
        <v>1897</v>
      </c>
      <c r="Q211" t="s">
        <v>910</v>
      </c>
    </row>
    <row r="212" spans="1:17" x14ac:dyDescent="0.25">
      <c r="A212">
        <v>103</v>
      </c>
      <c r="B212">
        <v>0</v>
      </c>
      <c r="C212">
        <v>1</v>
      </c>
      <c r="D212" t="s">
        <v>1077</v>
      </c>
      <c r="E212" t="s">
        <v>902</v>
      </c>
      <c r="F212">
        <f>ROUNDUP(Titanic_DATASET[[#This Row],[Age Correción 2]],0)</f>
        <v>21</v>
      </c>
      <c r="G212" s="4">
        <f>VALUE(SUBSTITUTE(Titanic_DATASET[[#This Row],[Age Correción.]],".",","))</f>
        <v>21</v>
      </c>
      <c r="H212" s="5">
        <v>21</v>
      </c>
      <c r="I212">
        <v>21</v>
      </c>
      <c r="J212">
        <v>0</v>
      </c>
      <c r="K212">
        <v>1</v>
      </c>
      <c r="L212" s="3">
        <v>35281</v>
      </c>
      <c r="M212" s="6">
        <f t="shared" si="6"/>
        <v>772875</v>
      </c>
      <c r="N212" s="1">
        <v>772875</v>
      </c>
      <c r="O212" s="1" t="str">
        <f t="shared" si="7"/>
        <v>D26</v>
      </c>
      <c r="P212" t="s">
        <v>1078</v>
      </c>
      <c r="Q212" t="s">
        <v>905</v>
      </c>
    </row>
    <row r="213" spans="1:17" x14ac:dyDescent="0.25">
      <c r="A213">
        <v>125</v>
      </c>
      <c r="B213">
        <v>0</v>
      </c>
      <c r="C213">
        <v>1</v>
      </c>
      <c r="D213" t="s">
        <v>1110</v>
      </c>
      <c r="E213" t="s">
        <v>902</v>
      </c>
      <c r="F213">
        <f>ROUNDUP(Titanic_DATASET[[#This Row],[Age Correción 2]],0)</f>
        <v>54</v>
      </c>
      <c r="G213" s="4">
        <f>VALUE(SUBSTITUTE(Titanic_DATASET[[#This Row],[Age Correción.]],".",","))</f>
        <v>54</v>
      </c>
      <c r="H213" s="5">
        <v>54</v>
      </c>
      <c r="I213">
        <v>54</v>
      </c>
      <c r="J213">
        <v>0</v>
      </c>
      <c r="K213">
        <v>1</v>
      </c>
      <c r="L213" s="3">
        <v>35281</v>
      </c>
      <c r="M213" s="6">
        <f t="shared" si="6"/>
        <v>772875</v>
      </c>
      <c r="N213" s="1">
        <v>772875</v>
      </c>
      <c r="O213" s="1" t="str">
        <f t="shared" si="7"/>
        <v>D26</v>
      </c>
      <c r="P213" t="s">
        <v>1078</v>
      </c>
      <c r="Q213" t="s">
        <v>905</v>
      </c>
    </row>
    <row r="214" spans="1:17" x14ac:dyDescent="0.25">
      <c r="A214">
        <v>157</v>
      </c>
      <c r="B214">
        <v>1</v>
      </c>
      <c r="C214">
        <v>3</v>
      </c>
      <c r="D214" t="s">
        <v>1169</v>
      </c>
      <c r="E214" t="s">
        <v>907</v>
      </c>
      <c r="F214">
        <f>ROUNDUP(Titanic_DATASET[[#This Row],[Age Correción 2]],0)</f>
        <v>16</v>
      </c>
      <c r="G214" s="4">
        <f>VALUE(SUBSTITUTE(Titanic_DATASET[[#This Row],[Age Correción.]],".",","))</f>
        <v>16</v>
      </c>
      <c r="H214" s="5">
        <v>16</v>
      </c>
      <c r="I214">
        <v>16</v>
      </c>
      <c r="J214">
        <v>0</v>
      </c>
      <c r="K214">
        <v>0</v>
      </c>
      <c r="L214" s="3">
        <v>35851</v>
      </c>
      <c r="M214" s="6">
        <f t="shared" si="6"/>
        <v>77333</v>
      </c>
      <c r="N214" s="1">
        <v>77333</v>
      </c>
      <c r="O214" s="1" t="str">
        <f t="shared" si="7"/>
        <v>Desconocido</v>
      </c>
      <c r="Q214" t="s">
        <v>919</v>
      </c>
    </row>
    <row r="215" spans="1:17" x14ac:dyDescent="0.25">
      <c r="A215">
        <v>698</v>
      </c>
      <c r="B215">
        <v>1</v>
      </c>
      <c r="C215">
        <v>3</v>
      </c>
      <c r="D215" t="s">
        <v>1947</v>
      </c>
      <c r="E215" t="s">
        <v>907</v>
      </c>
      <c r="F215">
        <f>ROUNDUP(Titanic_DATASET[[#This Row],[Age Correción 2]],0)</f>
        <v>50</v>
      </c>
      <c r="G215" s="4">
        <f>VALUE(SUBSTITUTE(Titanic_DATASET[[#This Row],[Age Correción.]],".",","))</f>
        <v>50</v>
      </c>
      <c r="H215" s="5">
        <v>50</v>
      </c>
      <c r="J215">
        <v>0</v>
      </c>
      <c r="K215">
        <v>0</v>
      </c>
      <c r="L215" s="3">
        <v>35852</v>
      </c>
      <c r="M215" s="6">
        <f t="shared" si="6"/>
        <v>77333</v>
      </c>
      <c r="N215" s="1">
        <v>77333</v>
      </c>
      <c r="O215" s="1" t="str">
        <f t="shared" si="7"/>
        <v>Desconocido</v>
      </c>
      <c r="Q215" t="s">
        <v>919</v>
      </c>
    </row>
    <row r="216" spans="1:17" x14ac:dyDescent="0.25">
      <c r="A216">
        <v>469</v>
      </c>
      <c r="B216">
        <v>0</v>
      </c>
      <c r="C216">
        <v>3</v>
      </c>
      <c r="D216" t="s">
        <v>1637</v>
      </c>
      <c r="E216" t="s">
        <v>902</v>
      </c>
      <c r="F216">
        <f>ROUNDUP(Titanic_DATASET[[#This Row],[Age Correción 2]],0)</f>
        <v>5</v>
      </c>
      <c r="G216" s="4">
        <f>VALUE(SUBSTITUTE(Titanic_DATASET[[#This Row],[Age Correción.]],".",","))</f>
        <v>5</v>
      </c>
      <c r="H216" s="5">
        <v>5</v>
      </c>
      <c r="J216">
        <v>0</v>
      </c>
      <c r="K216">
        <v>0</v>
      </c>
      <c r="L216" s="3">
        <v>36209</v>
      </c>
      <c r="M216" s="6">
        <f t="shared" si="6"/>
        <v>7725</v>
      </c>
      <c r="N216" s="1">
        <v>7725</v>
      </c>
      <c r="O216" s="1" t="str">
        <f t="shared" si="7"/>
        <v>Desconocido</v>
      </c>
      <c r="Q216" t="s">
        <v>919</v>
      </c>
    </row>
    <row r="217" spans="1:17" x14ac:dyDescent="0.25">
      <c r="A217">
        <v>719</v>
      </c>
      <c r="B217">
        <v>0</v>
      </c>
      <c r="C217">
        <v>3</v>
      </c>
      <c r="D217" t="s">
        <v>1976</v>
      </c>
      <c r="E217" t="s">
        <v>902</v>
      </c>
      <c r="F217">
        <f>ROUNDUP(Titanic_DATASET[[#This Row],[Age Correción 2]],0)</f>
        <v>44</v>
      </c>
      <c r="G217" s="4">
        <f>VALUE(SUBSTITUTE(Titanic_DATASET[[#This Row],[Age Correción.]],".",","))</f>
        <v>44</v>
      </c>
      <c r="H217" s="5">
        <v>44</v>
      </c>
      <c r="J217">
        <v>0</v>
      </c>
      <c r="K217">
        <v>0</v>
      </c>
      <c r="L217" s="3">
        <v>36568</v>
      </c>
      <c r="M217" s="6">
        <f t="shared" si="6"/>
        <v>15.5</v>
      </c>
      <c r="N217" t="s">
        <v>982</v>
      </c>
      <c r="O217" t="str">
        <f t="shared" si="7"/>
        <v>Desconocido</v>
      </c>
      <c r="Q217" t="s">
        <v>919</v>
      </c>
    </row>
    <row r="218" spans="1:17" x14ac:dyDescent="0.25">
      <c r="A218">
        <v>704</v>
      </c>
      <c r="B218">
        <v>0</v>
      </c>
      <c r="C218">
        <v>3</v>
      </c>
      <c r="D218" t="s">
        <v>1957</v>
      </c>
      <c r="E218" t="s">
        <v>902</v>
      </c>
      <c r="F218">
        <f>ROUNDUP(Titanic_DATASET[[#This Row],[Age Correción 2]],0)</f>
        <v>25</v>
      </c>
      <c r="G218" s="4">
        <f>VALUE(SUBSTITUTE(Titanic_DATASET[[#This Row],[Age Correción.]],".",","))</f>
        <v>25</v>
      </c>
      <c r="H218" s="5">
        <v>25</v>
      </c>
      <c r="I218">
        <v>25</v>
      </c>
      <c r="J218">
        <v>0</v>
      </c>
      <c r="K218">
        <v>0</v>
      </c>
      <c r="L218" s="3">
        <v>36864</v>
      </c>
      <c r="M218" s="6">
        <f t="shared" si="6"/>
        <v>77417</v>
      </c>
      <c r="N218" s="1">
        <v>77417</v>
      </c>
      <c r="O218" s="1" t="str">
        <f t="shared" si="7"/>
        <v>Desconocido</v>
      </c>
      <c r="Q218" t="s">
        <v>919</v>
      </c>
    </row>
    <row r="219" spans="1:17" x14ac:dyDescent="0.25">
      <c r="A219">
        <v>779</v>
      </c>
      <c r="B219">
        <v>0</v>
      </c>
      <c r="C219">
        <v>3</v>
      </c>
      <c r="D219" t="s">
        <v>2050</v>
      </c>
      <c r="E219" t="s">
        <v>902</v>
      </c>
      <c r="F219">
        <f>ROUNDUP(Titanic_DATASET[[#This Row],[Age Correción 2]],0)</f>
        <v>38</v>
      </c>
      <c r="G219" s="4">
        <f>VALUE(SUBSTITUTE(Titanic_DATASET[[#This Row],[Age Correción.]],".",","))</f>
        <v>38</v>
      </c>
      <c r="H219" s="5">
        <v>38</v>
      </c>
      <c r="J219">
        <v>0</v>
      </c>
      <c r="K219">
        <v>0</v>
      </c>
      <c r="L219" s="3">
        <v>36865</v>
      </c>
      <c r="M219" s="6">
        <f t="shared" si="6"/>
        <v>77375</v>
      </c>
      <c r="N219" s="1">
        <v>77375</v>
      </c>
      <c r="O219" s="1" t="str">
        <f t="shared" si="7"/>
        <v>Desconocido</v>
      </c>
      <c r="Q219" t="s">
        <v>919</v>
      </c>
    </row>
    <row r="220" spans="1:17" x14ac:dyDescent="0.25">
      <c r="A220">
        <v>728</v>
      </c>
      <c r="B220">
        <v>1</v>
      </c>
      <c r="C220">
        <v>3</v>
      </c>
      <c r="D220" t="s">
        <v>1986</v>
      </c>
      <c r="E220" t="s">
        <v>907</v>
      </c>
      <c r="F220">
        <f>ROUNDUP(Titanic_DATASET[[#This Row],[Age Correción 2]],0)</f>
        <v>49</v>
      </c>
      <c r="G220" s="4">
        <f>VALUE(SUBSTITUTE(Titanic_DATASET[[#This Row],[Age Correción.]],".",","))</f>
        <v>49</v>
      </c>
      <c r="H220" s="5">
        <v>49</v>
      </c>
      <c r="J220">
        <v>0</v>
      </c>
      <c r="K220">
        <v>0</v>
      </c>
      <c r="L220" s="3">
        <v>36866</v>
      </c>
      <c r="M220" s="6">
        <f t="shared" si="6"/>
        <v>77375</v>
      </c>
      <c r="N220" s="1">
        <v>77375</v>
      </c>
      <c r="O220" s="1" t="str">
        <f t="shared" si="7"/>
        <v>Desconocido</v>
      </c>
      <c r="Q220" t="s">
        <v>919</v>
      </c>
    </row>
    <row r="221" spans="1:17" x14ac:dyDescent="0.25">
      <c r="A221">
        <v>319</v>
      </c>
      <c r="B221">
        <v>1</v>
      </c>
      <c r="C221">
        <v>1</v>
      </c>
      <c r="D221" t="s">
        <v>1429</v>
      </c>
      <c r="E221" t="s">
        <v>907</v>
      </c>
      <c r="F221">
        <f>ROUNDUP(Titanic_DATASET[[#This Row],[Age Correción 2]],0)</f>
        <v>31</v>
      </c>
      <c r="G221" s="4">
        <f>VALUE(SUBSTITUTE(Titanic_DATASET[[#This Row],[Age Correción.]],".",","))</f>
        <v>31</v>
      </c>
      <c r="H221" s="5">
        <v>31</v>
      </c>
      <c r="I221">
        <v>31</v>
      </c>
      <c r="J221">
        <v>0</v>
      </c>
      <c r="K221">
        <v>2</v>
      </c>
      <c r="L221" s="3">
        <v>36928</v>
      </c>
      <c r="M221" s="6">
        <f t="shared" si="6"/>
        <v>1648667</v>
      </c>
      <c r="N221" s="1">
        <v>1648667</v>
      </c>
      <c r="O221" s="1" t="str">
        <f t="shared" si="7"/>
        <v>C7</v>
      </c>
      <c r="P221" t="s">
        <v>1430</v>
      </c>
      <c r="Q221" t="s">
        <v>905</v>
      </c>
    </row>
    <row r="222" spans="1:17" x14ac:dyDescent="0.25">
      <c r="A222">
        <v>857</v>
      </c>
      <c r="B222">
        <v>1</v>
      </c>
      <c r="C222">
        <v>1</v>
      </c>
      <c r="D222" t="s">
        <v>2155</v>
      </c>
      <c r="E222" t="s">
        <v>907</v>
      </c>
      <c r="F222">
        <f>ROUNDUP(Titanic_DATASET[[#This Row],[Age Correción 2]],0)</f>
        <v>45</v>
      </c>
      <c r="G222" s="4">
        <f>VALUE(SUBSTITUTE(Titanic_DATASET[[#This Row],[Age Correción.]],".",","))</f>
        <v>45</v>
      </c>
      <c r="H222" s="5">
        <v>45</v>
      </c>
      <c r="I222">
        <v>45</v>
      </c>
      <c r="J222">
        <v>1</v>
      </c>
      <c r="K222">
        <v>1</v>
      </c>
      <c r="L222" s="3">
        <v>36928</v>
      </c>
      <c r="M222" s="6">
        <f t="shared" si="6"/>
        <v>1648667</v>
      </c>
      <c r="N222" s="1">
        <v>1648667</v>
      </c>
      <c r="O222" s="1" t="str">
        <f t="shared" si="7"/>
        <v>Desconocido</v>
      </c>
      <c r="Q222" t="s">
        <v>905</v>
      </c>
    </row>
    <row r="223" spans="1:17" x14ac:dyDescent="0.25">
      <c r="A223">
        <v>497</v>
      </c>
      <c r="B223">
        <v>1</v>
      </c>
      <c r="C223">
        <v>1</v>
      </c>
      <c r="D223" t="s">
        <v>1675</v>
      </c>
      <c r="E223" t="s">
        <v>907</v>
      </c>
      <c r="F223">
        <f>ROUNDUP(Titanic_DATASET[[#This Row],[Age Correción 2]],0)</f>
        <v>54</v>
      </c>
      <c r="G223" s="4">
        <f>VALUE(SUBSTITUTE(Titanic_DATASET[[#This Row],[Age Correción.]],".",","))</f>
        <v>54</v>
      </c>
      <c r="H223" s="5">
        <v>54</v>
      </c>
      <c r="I223">
        <v>54</v>
      </c>
      <c r="J223">
        <v>1</v>
      </c>
      <c r="K223">
        <v>0</v>
      </c>
      <c r="L223" s="3">
        <v>36947</v>
      </c>
      <c r="M223" s="6">
        <f t="shared" si="6"/>
        <v>782667</v>
      </c>
      <c r="N223" s="1">
        <v>782667</v>
      </c>
      <c r="O223" s="1" t="str">
        <f t="shared" si="7"/>
        <v>D20</v>
      </c>
      <c r="P223" t="s">
        <v>1676</v>
      </c>
      <c r="Q223" t="s">
        <v>910</v>
      </c>
    </row>
    <row r="224" spans="1:17" x14ac:dyDescent="0.25">
      <c r="A224">
        <v>592</v>
      </c>
      <c r="B224">
        <v>1</v>
      </c>
      <c r="C224">
        <v>1</v>
      </c>
      <c r="D224" t="s">
        <v>1813</v>
      </c>
      <c r="E224" t="s">
        <v>907</v>
      </c>
      <c r="F224">
        <f>ROUNDUP(Titanic_DATASET[[#This Row],[Age Correción 2]],0)</f>
        <v>52</v>
      </c>
      <c r="G224" s="4">
        <f>VALUE(SUBSTITUTE(Titanic_DATASET[[#This Row],[Age Correción.]],".",","))</f>
        <v>52</v>
      </c>
      <c r="H224" s="5">
        <v>52</v>
      </c>
      <c r="I224">
        <v>52</v>
      </c>
      <c r="J224">
        <v>1</v>
      </c>
      <c r="K224">
        <v>0</v>
      </c>
      <c r="L224" s="3">
        <v>36947</v>
      </c>
      <c r="M224" s="6">
        <f t="shared" si="6"/>
        <v>782667</v>
      </c>
      <c r="N224" s="1">
        <v>782667</v>
      </c>
      <c r="O224" s="1" t="str">
        <f t="shared" si="7"/>
        <v>D20</v>
      </c>
      <c r="P224" t="s">
        <v>1676</v>
      </c>
      <c r="Q224" t="s">
        <v>910</v>
      </c>
    </row>
    <row r="225" spans="1:17" x14ac:dyDescent="0.25">
      <c r="A225">
        <v>626</v>
      </c>
      <c r="B225">
        <v>0</v>
      </c>
      <c r="C225">
        <v>1</v>
      </c>
      <c r="D225" t="s">
        <v>1854</v>
      </c>
      <c r="E225" t="s">
        <v>902</v>
      </c>
      <c r="F225">
        <f>ROUNDUP(Titanic_DATASET[[#This Row],[Age Correción 2]],0)</f>
        <v>61</v>
      </c>
      <c r="G225" s="4">
        <f>VALUE(SUBSTITUTE(Titanic_DATASET[[#This Row],[Age Correción.]],".",","))</f>
        <v>61</v>
      </c>
      <c r="H225" s="5">
        <v>61</v>
      </c>
      <c r="I225">
        <v>61</v>
      </c>
      <c r="J225">
        <v>0</v>
      </c>
      <c r="K225">
        <v>0</v>
      </c>
      <c r="L225" s="3">
        <v>36963</v>
      </c>
      <c r="M225" s="6">
        <f t="shared" si="6"/>
        <v>323208</v>
      </c>
      <c r="N225" s="1">
        <v>323208</v>
      </c>
      <c r="O225" s="1" t="str">
        <f t="shared" si="7"/>
        <v>D50</v>
      </c>
      <c r="P225" t="s">
        <v>1855</v>
      </c>
      <c r="Q225" t="s">
        <v>905</v>
      </c>
    </row>
    <row r="226" spans="1:17" x14ac:dyDescent="0.25">
      <c r="A226">
        <v>516</v>
      </c>
      <c r="B226">
        <v>0</v>
      </c>
      <c r="C226">
        <v>1</v>
      </c>
      <c r="D226" t="s">
        <v>1704</v>
      </c>
      <c r="E226" t="s">
        <v>902</v>
      </c>
      <c r="F226">
        <f>ROUNDUP(Titanic_DATASET[[#This Row],[Age Correción 2]],0)</f>
        <v>47</v>
      </c>
      <c r="G226" s="4">
        <f>VALUE(SUBSTITUTE(Titanic_DATASET[[#This Row],[Age Correción.]],".",","))</f>
        <v>47</v>
      </c>
      <c r="H226" s="5">
        <v>47</v>
      </c>
      <c r="I226">
        <v>47</v>
      </c>
      <c r="J226">
        <v>0</v>
      </c>
      <c r="K226">
        <v>0</v>
      </c>
      <c r="L226" s="3">
        <v>36967</v>
      </c>
      <c r="M226" s="6">
        <f t="shared" si="6"/>
        <v>340208</v>
      </c>
      <c r="N226" s="1">
        <v>340208</v>
      </c>
      <c r="O226" s="1" t="str">
        <f t="shared" si="7"/>
        <v>D46</v>
      </c>
      <c r="P226" t="s">
        <v>1705</v>
      </c>
      <c r="Q226" t="s">
        <v>905</v>
      </c>
    </row>
    <row r="227" spans="1:17" x14ac:dyDescent="0.25">
      <c r="A227">
        <v>63</v>
      </c>
      <c r="B227">
        <v>0</v>
      </c>
      <c r="C227">
        <v>1</v>
      </c>
      <c r="D227" t="s">
        <v>1012</v>
      </c>
      <c r="E227" t="s">
        <v>902</v>
      </c>
      <c r="F227">
        <f>ROUNDUP(Titanic_DATASET[[#This Row],[Age Correción 2]],0)</f>
        <v>45</v>
      </c>
      <c r="G227" s="4">
        <f>VALUE(SUBSTITUTE(Titanic_DATASET[[#This Row],[Age Correción.]],".",","))</f>
        <v>45</v>
      </c>
      <c r="H227" s="5">
        <v>45</v>
      </c>
      <c r="I227">
        <v>45</v>
      </c>
      <c r="J227">
        <v>1</v>
      </c>
      <c r="K227">
        <v>0</v>
      </c>
      <c r="L227" s="3">
        <v>36973</v>
      </c>
      <c r="M227" s="6">
        <f t="shared" si="6"/>
        <v>83475</v>
      </c>
      <c r="N227" s="1">
        <v>83475</v>
      </c>
      <c r="O227" s="1" t="str">
        <f t="shared" si="7"/>
        <v>C83</v>
      </c>
      <c r="P227" t="s">
        <v>1013</v>
      </c>
      <c r="Q227" t="s">
        <v>905</v>
      </c>
    </row>
    <row r="228" spans="1:17" x14ac:dyDescent="0.25">
      <c r="A228">
        <v>231</v>
      </c>
      <c r="B228">
        <v>1</v>
      </c>
      <c r="C228">
        <v>1</v>
      </c>
      <c r="D228" t="s">
        <v>1282</v>
      </c>
      <c r="E228" t="s">
        <v>907</v>
      </c>
      <c r="F228">
        <f>ROUNDUP(Titanic_DATASET[[#This Row],[Age Correción 2]],0)</f>
        <v>35</v>
      </c>
      <c r="G228" s="4">
        <f>VALUE(SUBSTITUTE(Titanic_DATASET[[#This Row],[Age Correción.]],".",","))</f>
        <v>35</v>
      </c>
      <c r="H228" s="5">
        <v>35</v>
      </c>
      <c r="I228">
        <v>35</v>
      </c>
      <c r="J228">
        <v>1</v>
      </c>
      <c r="K228">
        <v>0</v>
      </c>
      <c r="L228" s="3">
        <v>36973</v>
      </c>
      <c r="M228" s="6">
        <f t="shared" si="6"/>
        <v>83475</v>
      </c>
      <c r="N228" s="1">
        <v>83475</v>
      </c>
      <c r="O228" s="1" t="str">
        <f t="shared" si="7"/>
        <v>C83</v>
      </c>
      <c r="P228" t="s">
        <v>1013</v>
      </c>
      <c r="Q228" t="s">
        <v>905</v>
      </c>
    </row>
    <row r="229" spans="1:17" x14ac:dyDescent="0.25">
      <c r="A229">
        <v>625</v>
      </c>
      <c r="B229">
        <v>0</v>
      </c>
      <c r="C229">
        <v>3</v>
      </c>
      <c r="D229" t="s">
        <v>1853</v>
      </c>
      <c r="E229" t="s">
        <v>902</v>
      </c>
      <c r="F229">
        <f>ROUNDUP(Titanic_DATASET[[#This Row],[Age Correción 2]],0)</f>
        <v>21</v>
      </c>
      <c r="G229" s="4">
        <f>VALUE(SUBSTITUTE(Titanic_DATASET[[#This Row],[Age Correción.]],".",","))</f>
        <v>21</v>
      </c>
      <c r="H229" s="5">
        <v>21</v>
      </c>
      <c r="I229">
        <v>21</v>
      </c>
      <c r="J229">
        <v>0</v>
      </c>
      <c r="K229">
        <v>0</v>
      </c>
      <c r="L229" s="3">
        <v>54636</v>
      </c>
      <c r="M229" s="6">
        <f t="shared" si="6"/>
        <v>16.100000000000001</v>
      </c>
      <c r="N229" t="s">
        <v>1177</v>
      </c>
      <c r="O229" t="str">
        <f t="shared" si="7"/>
        <v>Desconocido</v>
      </c>
      <c r="Q229" t="s">
        <v>905</v>
      </c>
    </row>
    <row r="230" spans="1:17" x14ac:dyDescent="0.25">
      <c r="A230">
        <v>736</v>
      </c>
      <c r="B230">
        <v>0</v>
      </c>
      <c r="C230">
        <v>3</v>
      </c>
      <c r="D230" t="s">
        <v>1995</v>
      </c>
      <c r="E230" t="s">
        <v>902</v>
      </c>
      <c r="F230">
        <f>ROUNDUP(Titanic_DATASET[[#This Row],[Age Correción 2]],0)</f>
        <v>29</v>
      </c>
      <c r="G230" s="4">
        <f>VALUE(SUBSTITUTE(Titanic_DATASET[[#This Row],[Age Correción.]],".",","))</f>
        <v>28.5</v>
      </c>
      <c r="H230" s="5" t="s">
        <v>1002</v>
      </c>
      <c r="I230" t="s">
        <v>1002</v>
      </c>
      <c r="J230">
        <v>0</v>
      </c>
      <c r="K230">
        <v>0</v>
      </c>
      <c r="L230" s="3">
        <v>54636</v>
      </c>
      <c r="M230" s="6">
        <f t="shared" si="6"/>
        <v>16.100000000000001</v>
      </c>
      <c r="N230" t="s">
        <v>1177</v>
      </c>
      <c r="O230" t="str">
        <f t="shared" si="7"/>
        <v>Desconocido</v>
      </c>
      <c r="Q230" t="s">
        <v>905</v>
      </c>
    </row>
    <row r="231" spans="1:17" x14ac:dyDescent="0.25">
      <c r="A231">
        <v>452</v>
      </c>
      <c r="B231">
        <v>0</v>
      </c>
      <c r="C231">
        <v>3</v>
      </c>
      <c r="D231" t="s">
        <v>1609</v>
      </c>
      <c r="E231" t="s">
        <v>902</v>
      </c>
      <c r="F231">
        <f>ROUNDUP(Titanic_DATASET[[#This Row],[Age Correción 2]],0)</f>
        <v>41</v>
      </c>
      <c r="G231" s="4">
        <f>VALUE(SUBSTITUTE(Titanic_DATASET[[#This Row],[Age Correción.]],".",","))</f>
        <v>41</v>
      </c>
      <c r="H231" s="5">
        <v>41</v>
      </c>
      <c r="J231">
        <v>1</v>
      </c>
      <c r="K231">
        <v>0</v>
      </c>
      <c r="L231" s="3">
        <v>65303</v>
      </c>
      <c r="M231" s="6">
        <f t="shared" si="6"/>
        <v>199667</v>
      </c>
      <c r="N231" s="1">
        <v>199667</v>
      </c>
      <c r="O231" s="1" t="str">
        <f t="shared" si="7"/>
        <v>Desconocido</v>
      </c>
      <c r="Q231" t="s">
        <v>905</v>
      </c>
    </row>
    <row r="232" spans="1:17" x14ac:dyDescent="0.25">
      <c r="A232">
        <v>491</v>
      </c>
      <c r="B232">
        <v>0</v>
      </c>
      <c r="C232">
        <v>3</v>
      </c>
      <c r="D232" t="s">
        <v>1665</v>
      </c>
      <c r="E232" t="s">
        <v>902</v>
      </c>
      <c r="F232">
        <f>ROUNDUP(Titanic_DATASET[[#This Row],[Age Correción 2]],0)</f>
        <v>73</v>
      </c>
      <c r="G232" s="4">
        <f>VALUE(SUBSTITUTE(Titanic_DATASET[[#This Row],[Age Correción.]],".",","))</f>
        <v>73</v>
      </c>
      <c r="H232" s="5">
        <v>73</v>
      </c>
      <c r="J232">
        <v>1</v>
      </c>
      <c r="K232">
        <v>0</v>
      </c>
      <c r="L232" s="3">
        <v>65304</v>
      </c>
      <c r="M232" s="6">
        <f t="shared" si="6"/>
        <v>199667</v>
      </c>
      <c r="N232" s="1">
        <v>199667</v>
      </c>
      <c r="O232" s="1" t="str">
        <f t="shared" si="7"/>
        <v>Desconocido</v>
      </c>
      <c r="Q232" t="s">
        <v>905</v>
      </c>
    </row>
    <row r="233" spans="1:17" x14ac:dyDescent="0.25">
      <c r="A233">
        <v>445</v>
      </c>
      <c r="B233">
        <v>1</v>
      </c>
      <c r="C233">
        <v>3</v>
      </c>
      <c r="D233" t="s">
        <v>1600</v>
      </c>
      <c r="E233" t="s">
        <v>902</v>
      </c>
      <c r="F233">
        <f>ROUNDUP(Titanic_DATASET[[#This Row],[Age Correción 2]],0)</f>
        <v>56</v>
      </c>
      <c r="G233" s="4">
        <f>VALUE(SUBSTITUTE(Titanic_DATASET[[#This Row],[Age Correción.]],".",","))</f>
        <v>56</v>
      </c>
      <c r="H233" s="5">
        <v>56</v>
      </c>
      <c r="J233">
        <v>0</v>
      </c>
      <c r="K233">
        <v>0</v>
      </c>
      <c r="L233" s="3">
        <v>65306</v>
      </c>
      <c r="M233" s="6">
        <f t="shared" si="6"/>
        <v>81125</v>
      </c>
      <c r="N233" s="1">
        <v>81125</v>
      </c>
      <c r="O233" s="1" t="str">
        <f t="shared" si="7"/>
        <v>Desconocido</v>
      </c>
      <c r="Q233" t="s">
        <v>905</v>
      </c>
    </row>
    <row r="234" spans="1:17" x14ac:dyDescent="0.25">
      <c r="A234">
        <v>258</v>
      </c>
      <c r="B234">
        <v>1</v>
      </c>
      <c r="C234">
        <v>1</v>
      </c>
      <c r="D234" t="s">
        <v>1323</v>
      </c>
      <c r="E234" t="s">
        <v>907</v>
      </c>
      <c r="F234">
        <f>ROUNDUP(Titanic_DATASET[[#This Row],[Age Correción 2]],0)</f>
        <v>30</v>
      </c>
      <c r="G234" s="4">
        <f>VALUE(SUBSTITUTE(Titanic_DATASET[[#This Row],[Age Correción.]],".",","))</f>
        <v>30</v>
      </c>
      <c r="H234" s="5">
        <v>30</v>
      </c>
      <c r="I234">
        <v>30</v>
      </c>
      <c r="J234">
        <v>0</v>
      </c>
      <c r="K234">
        <v>0</v>
      </c>
      <c r="L234" s="3">
        <v>110152</v>
      </c>
      <c r="M234" s="6">
        <f t="shared" si="6"/>
        <v>86.5</v>
      </c>
      <c r="N234" t="s">
        <v>1324</v>
      </c>
      <c r="O234" t="str">
        <f t="shared" si="7"/>
        <v>B77</v>
      </c>
      <c r="P234" t="s">
        <v>1325</v>
      </c>
      <c r="Q234" t="s">
        <v>905</v>
      </c>
    </row>
    <row r="235" spans="1:17" x14ac:dyDescent="0.25">
      <c r="A235">
        <v>505</v>
      </c>
      <c r="B235">
        <v>1</v>
      </c>
      <c r="C235">
        <v>1</v>
      </c>
      <c r="D235" t="s">
        <v>1686</v>
      </c>
      <c r="E235" t="s">
        <v>907</v>
      </c>
      <c r="F235">
        <f>ROUNDUP(Titanic_DATASET[[#This Row],[Age Correción 2]],0)</f>
        <v>16</v>
      </c>
      <c r="G235" s="4">
        <f>VALUE(SUBSTITUTE(Titanic_DATASET[[#This Row],[Age Correción.]],".",","))</f>
        <v>16</v>
      </c>
      <c r="H235" s="5">
        <v>16</v>
      </c>
      <c r="I235">
        <v>16</v>
      </c>
      <c r="J235">
        <v>0</v>
      </c>
      <c r="K235">
        <v>0</v>
      </c>
      <c r="L235" s="3">
        <v>110152</v>
      </c>
      <c r="M235" s="6">
        <f t="shared" si="6"/>
        <v>86.5</v>
      </c>
      <c r="N235" t="s">
        <v>1324</v>
      </c>
      <c r="O235" t="str">
        <f t="shared" si="7"/>
        <v>B79</v>
      </c>
      <c r="P235" t="s">
        <v>1687</v>
      </c>
      <c r="Q235" t="s">
        <v>905</v>
      </c>
    </row>
    <row r="236" spans="1:17" x14ac:dyDescent="0.25">
      <c r="A236">
        <v>760</v>
      </c>
      <c r="B236">
        <v>1</v>
      </c>
      <c r="C236">
        <v>1</v>
      </c>
      <c r="D236" t="s">
        <v>2026</v>
      </c>
      <c r="E236" t="s">
        <v>907</v>
      </c>
      <c r="F236">
        <f>ROUNDUP(Titanic_DATASET[[#This Row],[Age Correción 2]],0)</f>
        <v>33</v>
      </c>
      <c r="G236" s="4">
        <f>VALUE(SUBSTITUTE(Titanic_DATASET[[#This Row],[Age Correción.]],".",","))</f>
        <v>33</v>
      </c>
      <c r="H236" s="5">
        <v>33</v>
      </c>
      <c r="I236">
        <v>33</v>
      </c>
      <c r="J236">
        <v>0</v>
      </c>
      <c r="K236">
        <v>0</v>
      </c>
      <c r="L236" s="3">
        <v>110152</v>
      </c>
      <c r="M236" s="6">
        <f t="shared" si="6"/>
        <v>86.5</v>
      </c>
      <c r="N236" t="s">
        <v>1324</v>
      </c>
      <c r="O236" t="str">
        <f t="shared" si="7"/>
        <v>B77</v>
      </c>
      <c r="P236" t="s">
        <v>1325</v>
      </c>
      <c r="Q236" t="s">
        <v>905</v>
      </c>
    </row>
    <row r="237" spans="1:17" x14ac:dyDescent="0.25">
      <c r="A237">
        <v>263</v>
      </c>
      <c r="B237">
        <v>0</v>
      </c>
      <c r="C237">
        <v>1</v>
      </c>
      <c r="D237" t="s">
        <v>1331</v>
      </c>
      <c r="E237" t="s">
        <v>902</v>
      </c>
      <c r="F237">
        <f>ROUNDUP(Titanic_DATASET[[#This Row],[Age Correción 2]],0)</f>
        <v>52</v>
      </c>
      <c r="G237" s="4">
        <f>VALUE(SUBSTITUTE(Titanic_DATASET[[#This Row],[Age Correción.]],".",","))</f>
        <v>52</v>
      </c>
      <c r="H237" s="5">
        <v>52</v>
      </c>
      <c r="I237">
        <v>52</v>
      </c>
      <c r="J237">
        <v>1</v>
      </c>
      <c r="K237">
        <v>1</v>
      </c>
      <c r="L237" s="3">
        <v>110413</v>
      </c>
      <c r="M237" s="6">
        <f t="shared" si="6"/>
        <v>79.650000000000006</v>
      </c>
      <c r="N237" t="s">
        <v>1332</v>
      </c>
      <c r="O237" t="str">
        <f t="shared" si="7"/>
        <v>E67</v>
      </c>
      <c r="P237" t="s">
        <v>1333</v>
      </c>
      <c r="Q237" t="s">
        <v>905</v>
      </c>
    </row>
    <row r="238" spans="1:17" x14ac:dyDescent="0.25">
      <c r="A238">
        <v>559</v>
      </c>
      <c r="B238">
        <v>1</v>
      </c>
      <c r="C238">
        <v>1</v>
      </c>
      <c r="D238" t="s">
        <v>1765</v>
      </c>
      <c r="E238" t="s">
        <v>907</v>
      </c>
      <c r="F238">
        <f>ROUNDUP(Titanic_DATASET[[#This Row],[Age Correción 2]],0)</f>
        <v>39</v>
      </c>
      <c r="G238" s="4">
        <f>VALUE(SUBSTITUTE(Titanic_DATASET[[#This Row],[Age Correción.]],".",","))</f>
        <v>39</v>
      </c>
      <c r="H238" s="5">
        <v>39</v>
      </c>
      <c r="I238">
        <v>39</v>
      </c>
      <c r="J238">
        <v>1</v>
      </c>
      <c r="K238">
        <v>1</v>
      </c>
      <c r="L238" s="3">
        <v>110413</v>
      </c>
      <c r="M238" s="6">
        <f t="shared" si="6"/>
        <v>79.650000000000006</v>
      </c>
      <c r="N238" t="s">
        <v>1332</v>
      </c>
      <c r="O238" t="str">
        <f t="shared" si="7"/>
        <v>E67</v>
      </c>
      <c r="P238" t="s">
        <v>1333</v>
      </c>
      <c r="Q238" t="s">
        <v>905</v>
      </c>
    </row>
    <row r="239" spans="1:17" x14ac:dyDescent="0.25">
      <c r="A239">
        <v>586</v>
      </c>
      <c r="B239">
        <v>1</v>
      </c>
      <c r="C239">
        <v>1</v>
      </c>
      <c r="D239" t="s">
        <v>1803</v>
      </c>
      <c r="E239" t="s">
        <v>907</v>
      </c>
      <c r="F239">
        <f>ROUNDUP(Titanic_DATASET[[#This Row],[Age Correción 2]],0)</f>
        <v>18</v>
      </c>
      <c r="G239" s="4">
        <f>VALUE(SUBSTITUTE(Titanic_DATASET[[#This Row],[Age Correción.]],".",","))</f>
        <v>18</v>
      </c>
      <c r="H239" s="5">
        <v>18</v>
      </c>
      <c r="I239">
        <v>18</v>
      </c>
      <c r="J239">
        <v>0</v>
      </c>
      <c r="K239">
        <v>2</v>
      </c>
      <c r="L239" s="3">
        <v>110413</v>
      </c>
      <c r="M239" s="6">
        <f t="shared" si="6"/>
        <v>79.650000000000006</v>
      </c>
      <c r="N239" t="s">
        <v>1332</v>
      </c>
      <c r="O239" t="str">
        <f t="shared" si="7"/>
        <v>E68</v>
      </c>
      <c r="P239" t="s">
        <v>1804</v>
      </c>
      <c r="Q239" t="s">
        <v>905</v>
      </c>
    </row>
    <row r="240" spans="1:17" x14ac:dyDescent="0.25">
      <c r="A240">
        <v>111</v>
      </c>
      <c r="B240">
        <v>0</v>
      </c>
      <c r="C240">
        <v>1</v>
      </c>
      <c r="D240" t="s">
        <v>1087</v>
      </c>
      <c r="E240" t="s">
        <v>902</v>
      </c>
      <c r="F240">
        <f>ROUNDUP(Titanic_DATASET[[#This Row],[Age Correción 2]],0)</f>
        <v>47</v>
      </c>
      <c r="G240" s="4">
        <f>VALUE(SUBSTITUTE(Titanic_DATASET[[#This Row],[Age Correción.]],".",","))</f>
        <v>47</v>
      </c>
      <c r="H240" s="5">
        <v>47</v>
      </c>
      <c r="I240">
        <v>47</v>
      </c>
      <c r="J240">
        <v>0</v>
      </c>
      <c r="K240">
        <v>0</v>
      </c>
      <c r="L240" s="3">
        <v>110465</v>
      </c>
      <c r="M240" s="6">
        <f t="shared" si="6"/>
        <v>52</v>
      </c>
      <c r="N240">
        <v>52</v>
      </c>
      <c r="O240" t="str">
        <f t="shared" si="7"/>
        <v>C110</v>
      </c>
      <c r="P240" t="s">
        <v>1088</v>
      </c>
      <c r="Q240" t="s">
        <v>905</v>
      </c>
    </row>
    <row r="241" spans="1:17" x14ac:dyDescent="0.25">
      <c r="A241">
        <v>476</v>
      </c>
      <c r="B241">
        <v>0</v>
      </c>
      <c r="C241">
        <v>1</v>
      </c>
      <c r="D241" t="s">
        <v>1646</v>
      </c>
      <c r="E241" t="s">
        <v>902</v>
      </c>
      <c r="F241">
        <f>ROUNDUP(Titanic_DATASET[[#This Row],[Age Correción 2]],0)</f>
        <v>44</v>
      </c>
      <c r="G241" s="4">
        <f>VALUE(SUBSTITUTE(Titanic_DATASET[[#This Row],[Age Correción.]],".",","))</f>
        <v>44</v>
      </c>
      <c r="H241" s="5">
        <v>44</v>
      </c>
      <c r="J241">
        <v>0</v>
      </c>
      <c r="K241">
        <v>0</v>
      </c>
      <c r="L241" s="3">
        <v>110465</v>
      </c>
      <c r="M241" s="6">
        <f t="shared" si="6"/>
        <v>52</v>
      </c>
      <c r="N241">
        <v>52</v>
      </c>
      <c r="O241" t="str">
        <f t="shared" si="7"/>
        <v>A14</v>
      </c>
      <c r="P241" t="s">
        <v>1647</v>
      </c>
      <c r="Q241" t="s">
        <v>905</v>
      </c>
    </row>
    <row r="242" spans="1:17" x14ac:dyDescent="0.25">
      <c r="A242">
        <v>431</v>
      </c>
      <c r="B242">
        <v>1</v>
      </c>
      <c r="C242">
        <v>1</v>
      </c>
      <c r="D242" t="s">
        <v>1581</v>
      </c>
      <c r="E242" t="s">
        <v>902</v>
      </c>
      <c r="F242">
        <f>ROUNDUP(Titanic_DATASET[[#This Row],[Age Correción 2]],0)</f>
        <v>28</v>
      </c>
      <c r="G242" s="4">
        <f>VALUE(SUBSTITUTE(Titanic_DATASET[[#This Row],[Age Correción.]],".",","))</f>
        <v>28</v>
      </c>
      <c r="H242" s="5">
        <v>28</v>
      </c>
      <c r="I242">
        <v>28</v>
      </c>
      <c r="J242">
        <v>0</v>
      </c>
      <c r="K242">
        <v>0</v>
      </c>
      <c r="L242" s="3">
        <v>110564</v>
      </c>
      <c r="M242" s="6">
        <f t="shared" si="6"/>
        <v>26.55</v>
      </c>
      <c r="N242" t="s">
        <v>930</v>
      </c>
      <c r="O242" t="str">
        <f t="shared" si="7"/>
        <v>C52</v>
      </c>
      <c r="P242" t="s">
        <v>998</v>
      </c>
      <c r="Q242" t="s">
        <v>905</v>
      </c>
    </row>
    <row r="243" spans="1:17" x14ac:dyDescent="0.25">
      <c r="A243">
        <v>367</v>
      </c>
      <c r="B243">
        <v>1</v>
      </c>
      <c r="C243">
        <v>1</v>
      </c>
      <c r="D243" t="s">
        <v>1495</v>
      </c>
      <c r="E243" t="s">
        <v>907</v>
      </c>
      <c r="F243">
        <f>ROUNDUP(Titanic_DATASET[[#This Row],[Age Correción 2]],0)</f>
        <v>60</v>
      </c>
      <c r="G243" s="4">
        <f>VALUE(SUBSTITUTE(Titanic_DATASET[[#This Row],[Age Correción.]],".",","))</f>
        <v>60</v>
      </c>
      <c r="H243" s="5">
        <v>60</v>
      </c>
      <c r="I243">
        <v>60</v>
      </c>
      <c r="J243">
        <v>1</v>
      </c>
      <c r="K243">
        <v>0</v>
      </c>
      <c r="L243" s="3">
        <v>110813</v>
      </c>
      <c r="M243" s="6">
        <f t="shared" si="6"/>
        <v>75.25</v>
      </c>
      <c r="N243" t="s">
        <v>1496</v>
      </c>
      <c r="O243" t="str">
        <f t="shared" si="7"/>
        <v>D37</v>
      </c>
      <c r="P243" t="s">
        <v>1497</v>
      </c>
      <c r="Q243" t="s">
        <v>910</v>
      </c>
    </row>
    <row r="244" spans="1:17" x14ac:dyDescent="0.25">
      <c r="A244">
        <v>171</v>
      </c>
      <c r="B244">
        <v>0</v>
      </c>
      <c r="C244">
        <v>1</v>
      </c>
      <c r="D244" t="s">
        <v>1191</v>
      </c>
      <c r="E244" t="s">
        <v>902</v>
      </c>
      <c r="F244">
        <f>ROUNDUP(Titanic_DATASET[[#This Row],[Age Correción 2]],0)</f>
        <v>61</v>
      </c>
      <c r="G244" s="4">
        <f>VALUE(SUBSTITUTE(Titanic_DATASET[[#This Row],[Age Correción.]],".",","))</f>
        <v>61</v>
      </c>
      <c r="H244" s="5">
        <v>61</v>
      </c>
      <c r="I244">
        <v>61</v>
      </c>
      <c r="J244">
        <v>0</v>
      </c>
      <c r="K244">
        <v>0</v>
      </c>
      <c r="L244" s="3">
        <v>111240</v>
      </c>
      <c r="M244" s="6">
        <f t="shared" si="6"/>
        <v>33.5</v>
      </c>
      <c r="N244" t="s">
        <v>1192</v>
      </c>
      <c r="O244" t="str">
        <f t="shared" si="7"/>
        <v>B19</v>
      </c>
      <c r="P244" t="s">
        <v>1193</v>
      </c>
      <c r="Q244" t="s">
        <v>905</v>
      </c>
    </row>
    <row r="245" spans="1:17" x14ac:dyDescent="0.25">
      <c r="A245">
        <v>463</v>
      </c>
      <c r="B245">
        <v>0</v>
      </c>
      <c r="C245">
        <v>1</v>
      </c>
      <c r="D245" t="s">
        <v>1627</v>
      </c>
      <c r="E245" t="s">
        <v>902</v>
      </c>
      <c r="F245">
        <f>ROUNDUP(Titanic_DATASET[[#This Row],[Age Correción 2]],0)</f>
        <v>47</v>
      </c>
      <c r="G245" s="4">
        <f>VALUE(SUBSTITUTE(Titanic_DATASET[[#This Row],[Age Correción.]],".",","))</f>
        <v>47</v>
      </c>
      <c r="H245" s="5">
        <v>47</v>
      </c>
      <c r="I245">
        <v>47</v>
      </c>
      <c r="J245">
        <v>0</v>
      </c>
      <c r="K245">
        <v>0</v>
      </c>
      <c r="L245" s="3">
        <v>111320</v>
      </c>
      <c r="M245" s="6">
        <f t="shared" si="6"/>
        <v>38.5</v>
      </c>
      <c r="N245" t="s">
        <v>1628</v>
      </c>
      <c r="O245" t="str">
        <f t="shared" si="7"/>
        <v>E63</v>
      </c>
      <c r="P245" t="s">
        <v>1629</v>
      </c>
      <c r="Q245" t="s">
        <v>905</v>
      </c>
    </row>
    <row r="246" spans="1:17" x14ac:dyDescent="0.25">
      <c r="A246">
        <v>330</v>
      </c>
      <c r="B246">
        <v>1</v>
      </c>
      <c r="C246">
        <v>1</v>
      </c>
      <c r="D246" t="s">
        <v>1445</v>
      </c>
      <c r="E246" t="s">
        <v>907</v>
      </c>
      <c r="F246">
        <f>ROUNDUP(Titanic_DATASET[[#This Row],[Age Correción 2]],0)</f>
        <v>16</v>
      </c>
      <c r="G246" s="4">
        <f>VALUE(SUBSTITUTE(Titanic_DATASET[[#This Row],[Age Correción.]],".",","))</f>
        <v>16</v>
      </c>
      <c r="H246" s="5">
        <v>16</v>
      </c>
      <c r="I246">
        <v>16</v>
      </c>
      <c r="J246">
        <v>0</v>
      </c>
      <c r="K246">
        <v>1</v>
      </c>
      <c r="L246" s="3">
        <v>111361</v>
      </c>
      <c r="M246" s="6">
        <f t="shared" si="6"/>
        <v>579792</v>
      </c>
      <c r="N246" s="1">
        <v>579792</v>
      </c>
      <c r="O246" s="1" t="str">
        <f t="shared" si="7"/>
        <v>B18</v>
      </c>
      <c r="P246" t="s">
        <v>1446</v>
      </c>
      <c r="Q246" t="s">
        <v>910</v>
      </c>
    </row>
    <row r="247" spans="1:17" x14ac:dyDescent="0.25">
      <c r="A247">
        <v>524</v>
      </c>
      <c r="B247">
        <v>1</v>
      </c>
      <c r="C247">
        <v>1</v>
      </c>
      <c r="D247" t="s">
        <v>1716</v>
      </c>
      <c r="E247" t="s">
        <v>907</v>
      </c>
      <c r="F247">
        <f>ROUNDUP(Titanic_DATASET[[#This Row],[Age Correción 2]],0)</f>
        <v>44</v>
      </c>
      <c r="G247" s="4">
        <f>VALUE(SUBSTITUTE(Titanic_DATASET[[#This Row],[Age Correción.]],".",","))</f>
        <v>44</v>
      </c>
      <c r="H247" s="5">
        <v>44</v>
      </c>
      <c r="I247">
        <v>44</v>
      </c>
      <c r="J247">
        <v>0</v>
      </c>
      <c r="K247">
        <v>1</v>
      </c>
      <c r="L247" s="3">
        <v>111361</v>
      </c>
      <c r="M247" s="6">
        <f t="shared" si="6"/>
        <v>579792</v>
      </c>
      <c r="N247" s="1">
        <v>579792</v>
      </c>
      <c r="O247" s="1" t="str">
        <f t="shared" si="7"/>
        <v>B18</v>
      </c>
      <c r="P247" t="s">
        <v>1446</v>
      </c>
      <c r="Q247" t="s">
        <v>910</v>
      </c>
    </row>
    <row r="248" spans="1:17" x14ac:dyDescent="0.25">
      <c r="A248">
        <v>890</v>
      </c>
      <c r="B248">
        <v>1</v>
      </c>
      <c r="C248">
        <v>1</v>
      </c>
      <c r="D248" t="s">
        <v>2196</v>
      </c>
      <c r="E248" t="s">
        <v>902</v>
      </c>
      <c r="F248">
        <f>ROUNDUP(Titanic_DATASET[[#This Row],[Age Correción 2]],0)</f>
        <v>26</v>
      </c>
      <c r="G248" s="4">
        <f>VALUE(SUBSTITUTE(Titanic_DATASET[[#This Row],[Age Correción.]],".",","))</f>
        <v>26</v>
      </c>
      <c r="H248" s="5">
        <v>26</v>
      </c>
      <c r="I248">
        <v>26</v>
      </c>
      <c r="J248">
        <v>0</v>
      </c>
      <c r="K248">
        <v>0</v>
      </c>
      <c r="L248" s="3">
        <v>111369</v>
      </c>
      <c r="M248" s="6">
        <f t="shared" si="6"/>
        <v>30</v>
      </c>
      <c r="N248">
        <v>30</v>
      </c>
      <c r="O248" t="str">
        <f t="shared" si="7"/>
        <v>C148</v>
      </c>
      <c r="P248" t="s">
        <v>2197</v>
      </c>
      <c r="Q248" t="s">
        <v>910</v>
      </c>
    </row>
    <row r="249" spans="1:17" x14ac:dyDescent="0.25">
      <c r="A249">
        <v>605</v>
      </c>
      <c r="B249">
        <v>1</v>
      </c>
      <c r="C249">
        <v>1</v>
      </c>
      <c r="D249" t="s">
        <v>1830</v>
      </c>
      <c r="E249" t="s">
        <v>902</v>
      </c>
      <c r="F249">
        <f>ROUNDUP(Titanic_DATASET[[#This Row],[Age Correción 2]],0)</f>
        <v>35</v>
      </c>
      <c r="G249" s="4">
        <f>VALUE(SUBSTITUTE(Titanic_DATASET[[#This Row],[Age Correción.]],".",","))</f>
        <v>35</v>
      </c>
      <c r="H249" s="5">
        <v>35</v>
      </c>
      <c r="I249">
        <v>35</v>
      </c>
      <c r="J249">
        <v>0</v>
      </c>
      <c r="K249">
        <v>0</v>
      </c>
      <c r="L249" s="3">
        <v>111426</v>
      </c>
      <c r="M249" s="6">
        <f t="shared" si="6"/>
        <v>26.55</v>
      </c>
      <c r="N249" t="s">
        <v>930</v>
      </c>
      <c r="O249" t="str">
        <f t="shared" si="7"/>
        <v>Desconocido</v>
      </c>
      <c r="Q249" t="s">
        <v>910</v>
      </c>
    </row>
    <row r="250" spans="1:17" x14ac:dyDescent="0.25">
      <c r="A250">
        <v>508</v>
      </c>
      <c r="B250">
        <v>1</v>
      </c>
      <c r="C250">
        <v>1</v>
      </c>
      <c r="D250" t="s">
        <v>1690</v>
      </c>
      <c r="E250" t="s">
        <v>902</v>
      </c>
      <c r="F250">
        <f>ROUNDUP(Titanic_DATASET[[#This Row],[Age Correción 2]],0)</f>
        <v>16</v>
      </c>
      <c r="G250" s="4">
        <f>VALUE(SUBSTITUTE(Titanic_DATASET[[#This Row],[Age Correción.]],".",","))</f>
        <v>16</v>
      </c>
      <c r="H250" s="5">
        <v>16</v>
      </c>
      <c r="J250">
        <v>0</v>
      </c>
      <c r="K250">
        <v>0</v>
      </c>
      <c r="L250" s="3">
        <v>111427</v>
      </c>
      <c r="M250" s="6">
        <f t="shared" si="6"/>
        <v>26.55</v>
      </c>
      <c r="N250" t="s">
        <v>930</v>
      </c>
      <c r="O250" t="str">
        <f t="shared" si="7"/>
        <v>Desconocido</v>
      </c>
      <c r="Q250" t="s">
        <v>905</v>
      </c>
    </row>
    <row r="251" spans="1:17" x14ac:dyDescent="0.25">
      <c r="A251">
        <v>188</v>
      </c>
      <c r="B251">
        <v>1</v>
      </c>
      <c r="C251">
        <v>1</v>
      </c>
      <c r="D251" t="s">
        <v>1219</v>
      </c>
      <c r="E251" t="s">
        <v>902</v>
      </c>
      <c r="F251">
        <f>ROUNDUP(Titanic_DATASET[[#This Row],[Age Correción 2]],0)</f>
        <v>45</v>
      </c>
      <c r="G251" s="4">
        <f>VALUE(SUBSTITUTE(Titanic_DATASET[[#This Row],[Age Correción.]],".",","))</f>
        <v>45</v>
      </c>
      <c r="H251" s="5">
        <v>45</v>
      </c>
      <c r="I251">
        <v>45</v>
      </c>
      <c r="J251">
        <v>0</v>
      </c>
      <c r="K251">
        <v>0</v>
      </c>
      <c r="L251" s="3">
        <v>111428</v>
      </c>
      <c r="M251" s="6">
        <f t="shared" si="6"/>
        <v>26.55</v>
      </c>
      <c r="N251" t="s">
        <v>930</v>
      </c>
      <c r="O251" t="str">
        <f t="shared" si="7"/>
        <v>Desconocido</v>
      </c>
      <c r="Q251" t="s">
        <v>905</v>
      </c>
    </row>
    <row r="252" spans="1:17" x14ac:dyDescent="0.25">
      <c r="A252">
        <v>807</v>
      </c>
      <c r="B252">
        <v>0</v>
      </c>
      <c r="C252">
        <v>1</v>
      </c>
      <c r="D252" t="s">
        <v>2087</v>
      </c>
      <c r="E252" t="s">
        <v>902</v>
      </c>
      <c r="F252">
        <f>ROUNDUP(Titanic_DATASET[[#This Row],[Age Correción 2]],0)</f>
        <v>39</v>
      </c>
      <c r="G252" s="4">
        <f>VALUE(SUBSTITUTE(Titanic_DATASET[[#This Row],[Age Correción.]],".",","))</f>
        <v>39</v>
      </c>
      <c r="H252" s="5">
        <v>39</v>
      </c>
      <c r="I252">
        <v>39</v>
      </c>
      <c r="J252">
        <v>0</v>
      </c>
      <c r="K252">
        <v>0</v>
      </c>
      <c r="L252" s="3">
        <v>112050</v>
      </c>
      <c r="M252" s="6">
        <f t="shared" si="6"/>
        <v>0</v>
      </c>
      <c r="N252">
        <v>0</v>
      </c>
      <c r="O252" t="str">
        <f t="shared" si="7"/>
        <v>A36</v>
      </c>
      <c r="P252" t="s">
        <v>2088</v>
      </c>
      <c r="Q252" t="s">
        <v>905</v>
      </c>
    </row>
    <row r="253" spans="1:17" x14ac:dyDescent="0.25">
      <c r="A253">
        <v>634</v>
      </c>
      <c r="B253">
        <v>0</v>
      </c>
      <c r="C253">
        <v>1</v>
      </c>
      <c r="D253" t="s">
        <v>1866</v>
      </c>
      <c r="E253" t="s">
        <v>902</v>
      </c>
      <c r="F253">
        <f>ROUNDUP(Titanic_DATASET[[#This Row],[Age Correción 2]],0)</f>
        <v>65</v>
      </c>
      <c r="G253" s="4">
        <f>VALUE(SUBSTITUTE(Titanic_DATASET[[#This Row],[Age Correción.]],".",","))</f>
        <v>65</v>
      </c>
      <c r="H253" s="5">
        <v>65</v>
      </c>
      <c r="J253">
        <v>0</v>
      </c>
      <c r="K253">
        <v>0</v>
      </c>
      <c r="L253" s="3">
        <v>112052</v>
      </c>
      <c r="M253" s="6">
        <f t="shared" si="6"/>
        <v>0</v>
      </c>
      <c r="N253">
        <v>0</v>
      </c>
      <c r="O253" t="str">
        <f t="shared" si="7"/>
        <v>Desconocido</v>
      </c>
      <c r="Q253" t="s">
        <v>905</v>
      </c>
    </row>
    <row r="254" spans="1:17" x14ac:dyDescent="0.25">
      <c r="A254">
        <v>888</v>
      </c>
      <c r="B254">
        <v>1</v>
      </c>
      <c r="C254">
        <v>1</v>
      </c>
      <c r="D254" t="s">
        <v>2193</v>
      </c>
      <c r="E254" t="s">
        <v>907</v>
      </c>
      <c r="F254">
        <f>ROUNDUP(Titanic_DATASET[[#This Row],[Age Correción 2]],0)</f>
        <v>19</v>
      </c>
      <c r="G254" s="4">
        <f>VALUE(SUBSTITUTE(Titanic_DATASET[[#This Row],[Age Correción.]],".",","))</f>
        <v>19</v>
      </c>
      <c r="H254" s="5">
        <v>19</v>
      </c>
      <c r="I254">
        <v>19</v>
      </c>
      <c r="J254">
        <v>0</v>
      </c>
      <c r="K254">
        <v>0</v>
      </c>
      <c r="L254" s="3">
        <v>112053</v>
      </c>
      <c r="M254" s="6">
        <f t="shared" si="6"/>
        <v>30</v>
      </c>
      <c r="N254">
        <v>30</v>
      </c>
      <c r="O254" t="str">
        <f t="shared" si="7"/>
        <v>B42</v>
      </c>
      <c r="P254" t="s">
        <v>2194</v>
      </c>
      <c r="Q254" t="s">
        <v>905</v>
      </c>
    </row>
    <row r="255" spans="1:17" x14ac:dyDescent="0.25">
      <c r="A255">
        <v>816</v>
      </c>
      <c r="B255">
        <v>0</v>
      </c>
      <c r="C255">
        <v>1</v>
      </c>
      <c r="D255" t="s">
        <v>2097</v>
      </c>
      <c r="E255" t="s">
        <v>902</v>
      </c>
      <c r="F255">
        <f>ROUNDUP(Titanic_DATASET[[#This Row],[Age Correción 2]],0)</f>
        <v>37</v>
      </c>
      <c r="G255" s="4">
        <f>VALUE(SUBSTITUTE(Titanic_DATASET[[#This Row],[Age Correción.]],".",","))</f>
        <v>37</v>
      </c>
      <c r="H255" s="5">
        <v>37</v>
      </c>
      <c r="J255">
        <v>0</v>
      </c>
      <c r="K255">
        <v>0</v>
      </c>
      <c r="L255" s="3">
        <v>112058</v>
      </c>
      <c r="M255" s="6">
        <f t="shared" si="6"/>
        <v>0</v>
      </c>
      <c r="N255">
        <v>0</v>
      </c>
      <c r="O255" t="str">
        <f t="shared" si="7"/>
        <v>B102</v>
      </c>
      <c r="P255" t="s">
        <v>2098</v>
      </c>
      <c r="Q255" t="s">
        <v>905</v>
      </c>
    </row>
    <row r="256" spans="1:17" x14ac:dyDescent="0.25">
      <c r="A256">
        <v>264</v>
      </c>
      <c r="B256">
        <v>0</v>
      </c>
      <c r="C256">
        <v>1</v>
      </c>
      <c r="D256" t="s">
        <v>1334</v>
      </c>
      <c r="E256" t="s">
        <v>902</v>
      </c>
      <c r="F256">
        <f>ROUNDUP(Titanic_DATASET[[#This Row],[Age Correción 2]],0)</f>
        <v>40</v>
      </c>
      <c r="G256" s="4">
        <f>VALUE(SUBSTITUTE(Titanic_DATASET[[#This Row],[Age Correción.]],".",","))</f>
        <v>40</v>
      </c>
      <c r="H256" s="5">
        <v>40</v>
      </c>
      <c r="I256">
        <v>40</v>
      </c>
      <c r="J256">
        <v>0</v>
      </c>
      <c r="K256">
        <v>0</v>
      </c>
      <c r="L256" s="3">
        <v>112059</v>
      </c>
      <c r="M256" s="6">
        <f t="shared" si="6"/>
        <v>0</v>
      </c>
      <c r="N256">
        <v>0</v>
      </c>
      <c r="O256" t="str">
        <f t="shared" si="7"/>
        <v>B94</v>
      </c>
      <c r="P256" t="s">
        <v>1335</v>
      </c>
      <c r="Q256" t="s">
        <v>905</v>
      </c>
    </row>
    <row r="257" spans="1:17" x14ac:dyDescent="0.25">
      <c r="A257">
        <v>210</v>
      </c>
      <c r="B257">
        <v>1</v>
      </c>
      <c r="C257">
        <v>1</v>
      </c>
      <c r="D257" t="s">
        <v>1246</v>
      </c>
      <c r="E257" t="s">
        <v>902</v>
      </c>
      <c r="F257">
        <f>ROUNDUP(Titanic_DATASET[[#This Row],[Age Correción 2]],0)</f>
        <v>40</v>
      </c>
      <c r="G257" s="4">
        <f>VALUE(SUBSTITUTE(Titanic_DATASET[[#This Row],[Age Correción.]],".",","))</f>
        <v>40</v>
      </c>
      <c r="H257" s="5">
        <v>40</v>
      </c>
      <c r="I257">
        <v>40</v>
      </c>
      <c r="J257">
        <v>0</v>
      </c>
      <c r="K257">
        <v>0</v>
      </c>
      <c r="L257" s="3">
        <v>112277</v>
      </c>
      <c r="M257" s="6">
        <f t="shared" si="6"/>
        <v>31</v>
      </c>
      <c r="N257">
        <v>31</v>
      </c>
      <c r="O257" t="str">
        <f t="shared" si="7"/>
        <v>A31</v>
      </c>
      <c r="P257" t="s">
        <v>1247</v>
      </c>
      <c r="Q257" t="s">
        <v>910</v>
      </c>
    </row>
    <row r="258" spans="1:17" x14ac:dyDescent="0.25">
      <c r="A258">
        <v>767</v>
      </c>
      <c r="B258">
        <v>0</v>
      </c>
      <c r="C258">
        <v>1</v>
      </c>
      <c r="D258" t="s">
        <v>2035</v>
      </c>
      <c r="E258" t="s">
        <v>902</v>
      </c>
      <c r="F258">
        <f>ROUNDUP(Titanic_DATASET[[#This Row],[Age Correción 2]],0)</f>
        <v>31</v>
      </c>
      <c r="G258" s="4">
        <f>VALUE(SUBSTITUTE(Titanic_DATASET[[#This Row],[Age Correción.]],".",","))</f>
        <v>31</v>
      </c>
      <c r="H258" s="5">
        <v>31</v>
      </c>
      <c r="J258">
        <v>0</v>
      </c>
      <c r="K258">
        <v>0</v>
      </c>
      <c r="L258" s="3">
        <v>112379</v>
      </c>
      <c r="M258" s="6">
        <f t="shared" si="6"/>
        <v>39.6</v>
      </c>
      <c r="N258" t="s">
        <v>1762</v>
      </c>
      <c r="O258" t="str">
        <f t="shared" si="7"/>
        <v>Desconocido</v>
      </c>
      <c r="Q258" t="s">
        <v>910</v>
      </c>
    </row>
    <row r="259" spans="1:17" x14ac:dyDescent="0.25">
      <c r="A259">
        <v>712</v>
      </c>
      <c r="B259">
        <v>0</v>
      </c>
      <c r="C259">
        <v>1</v>
      </c>
      <c r="D259" t="s">
        <v>1968</v>
      </c>
      <c r="E259" t="s">
        <v>902</v>
      </c>
      <c r="F259">
        <f>ROUNDUP(Titanic_DATASET[[#This Row],[Age Correción 2]],0)</f>
        <v>7</v>
      </c>
      <c r="G259" s="4">
        <f>VALUE(SUBSTITUTE(Titanic_DATASET[[#This Row],[Age Correción.]],".",","))</f>
        <v>7</v>
      </c>
      <c r="H259" s="5">
        <v>7</v>
      </c>
      <c r="J259">
        <v>0</v>
      </c>
      <c r="K259">
        <v>0</v>
      </c>
      <c r="L259" s="3">
        <v>113028</v>
      </c>
      <c r="M259" s="6">
        <f t="shared" si="6"/>
        <v>26.55</v>
      </c>
      <c r="N259" t="s">
        <v>930</v>
      </c>
      <c r="O259" t="str">
        <f t="shared" si="7"/>
        <v>C124</v>
      </c>
      <c r="P259" t="s">
        <v>1449</v>
      </c>
      <c r="Q259" t="s">
        <v>905</v>
      </c>
    </row>
    <row r="260" spans="1:17" x14ac:dyDescent="0.25">
      <c r="A260">
        <v>332</v>
      </c>
      <c r="B260">
        <v>0</v>
      </c>
      <c r="C260">
        <v>1</v>
      </c>
      <c r="D260" t="s">
        <v>1448</v>
      </c>
      <c r="E260" t="s">
        <v>902</v>
      </c>
      <c r="F260">
        <f>ROUNDUP(Titanic_DATASET[[#This Row],[Age Correción 2]],0)</f>
        <v>46</v>
      </c>
      <c r="G260" s="4">
        <f>VALUE(SUBSTITUTE(Titanic_DATASET[[#This Row],[Age Correción.]],".",","))</f>
        <v>45.5</v>
      </c>
      <c r="H260" s="5" t="s">
        <v>1239</v>
      </c>
      <c r="I260" t="s">
        <v>1239</v>
      </c>
      <c r="J260">
        <v>0</v>
      </c>
      <c r="K260">
        <v>0</v>
      </c>
      <c r="L260" s="3">
        <v>113043</v>
      </c>
      <c r="M260" s="6">
        <f t="shared" ref="M260:M323" si="8">VALUE(SUBSTITUTE(N260,".",","))</f>
        <v>28.5</v>
      </c>
      <c r="N260" t="s">
        <v>1002</v>
      </c>
      <c r="O260" t="str">
        <f t="shared" ref="O260:O323" si="9">IF(ISBLANK(P260),"Desconocido",P260)</f>
        <v>C124</v>
      </c>
      <c r="P260" t="s">
        <v>1449</v>
      </c>
      <c r="Q260" t="s">
        <v>905</v>
      </c>
    </row>
    <row r="261" spans="1:17" x14ac:dyDescent="0.25">
      <c r="A261">
        <v>537</v>
      </c>
      <c r="B261">
        <v>0</v>
      </c>
      <c r="C261">
        <v>1</v>
      </c>
      <c r="D261" t="s">
        <v>1732</v>
      </c>
      <c r="E261" t="s">
        <v>902</v>
      </c>
      <c r="F261">
        <f>ROUNDUP(Titanic_DATASET[[#This Row],[Age Correción 2]],0)</f>
        <v>45</v>
      </c>
      <c r="G261" s="4">
        <f>VALUE(SUBSTITUTE(Titanic_DATASET[[#This Row],[Age Correción.]],".",","))</f>
        <v>45</v>
      </c>
      <c r="H261" s="5">
        <v>45</v>
      </c>
      <c r="I261">
        <v>45</v>
      </c>
      <c r="J261">
        <v>0</v>
      </c>
      <c r="K261">
        <v>0</v>
      </c>
      <c r="L261" s="3">
        <v>113050</v>
      </c>
      <c r="M261" s="6">
        <f t="shared" si="8"/>
        <v>26.55</v>
      </c>
      <c r="N261" t="s">
        <v>930</v>
      </c>
      <c r="O261" t="str">
        <f t="shared" si="9"/>
        <v>B38</v>
      </c>
      <c r="P261" t="s">
        <v>1733</v>
      </c>
      <c r="Q261" t="s">
        <v>905</v>
      </c>
    </row>
    <row r="262" spans="1:17" x14ac:dyDescent="0.25">
      <c r="A262">
        <v>453</v>
      </c>
      <c r="B262">
        <v>0</v>
      </c>
      <c r="C262">
        <v>1</v>
      </c>
      <c r="D262" t="s">
        <v>1610</v>
      </c>
      <c r="E262" t="s">
        <v>902</v>
      </c>
      <c r="F262">
        <f>ROUNDUP(Titanic_DATASET[[#This Row],[Age Correción 2]],0)</f>
        <v>30</v>
      </c>
      <c r="G262" s="4">
        <f>VALUE(SUBSTITUTE(Titanic_DATASET[[#This Row],[Age Correción.]],".",","))</f>
        <v>30</v>
      </c>
      <c r="H262" s="5">
        <v>30</v>
      </c>
      <c r="I262">
        <v>30</v>
      </c>
      <c r="J262">
        <v>0</v>
      </c>
      <c r="K262">
        <v>0</v>
      </c>
      <c r="L262" s="3">
        <v>113051</v>
      </c>
      <c r="M262" s="6">
        <f t="shared" si="8"/>
        <v>27.75</v>
      </c>
      <c r="N262" t="s">
        <v>1005</v>
      </c>
      <c r="O262" t="str">
        <f t="shared" si="9"/>
        <v>C111</v>
      </c>
      <c r="P262" t="s">
        <v>1611</v>
      </c>
      <c r="Q262" t="s">
        <v>910</v>
      </c>
    </row>
    <row r="263" spans="1:17" x14ac:dyDescent="0.25">
      <c r="A263">
        <v>858</v>
      </c>
      <c r="B263">
        <v>1</v>
      </c>
      <c r="C263">
        <v>1</v>
      </c>
      <c r="D263" t="s">
        <v>2156</v>
      </c>
      <c r="E263" t="s">
        <v>902</v>
      </c>
      <c r="F263">
        <f>ROUNDUP(Titanic_DATASET[[#This Row],[Age Correción 2]],0)</f>
        <v>51</v>
      </c>
      <c r="G263" s="4">
        <f>VALUE(SUBSTITUTE(Titanic_DATASET[[#This Row],[Age Correción.]],".",","))</f>
        <v>51</v>
      </c>
      <c r="H263" s="5">
        <v>51</v>
      </c>
      <c r="I263">
        <v>51</v>
      </c>
      <c r="J263">
        <v>0</v>
      </c>
      <c r="K263">
        <v>0</v>
      </c>
      <c r="L263" s="3">
        <v>113055</v>
      </c>
      <c r="M263" s="6">
        <f t="shared" si="8"/>
        <v>26.55</v>
      </c>
      <c r="N263" t="s">
        <v>930</v>
      </c>
      <c r="O263" t="str">
        <f t="shared" si="9"/>
        <v>E17</v>
      </c>
      <c r="P263" t="s">
        <v>2157</v>
      </c>
      <c r="Q263" t="s">
        <v>905</v>
      </c>
    </row>
    <row r="264" spans="1:17" x14ac:dyDescent="0.25">
      <c r="A264">
        <v>285</v>
      </c>
      <c r="B264">
        <v>0</v>
      </c>
      <c r="C264">
        <v>1</v>
      </c>
      <c r="D264" t="s">
        <v>1369</v>
      </c>
      <c r="E264" t="s">
        <v>902</v>
      </c>
      <c r="F264">
        <f>ROUNDUP(Titanic_DATASET[[#This Row],[Age Correción 2]],0)</f>
        <v>71</v>
      </c>
      <c r="G264" s="4">
        <f>VALUE(SUBSTITUTE(Titanic_DATASET[[#This Row],[Age Correción.]],".",","))</f>
        <v>71</v>
      </c>
      <c r="H264" s="5">
        <v>71</v>
      </c>
      <c r="J264">
        <v>0</v>
      </c>
      <c r="K264">
        <v>0</v>
      </c>
      <c r="L264" s="3">
        <v>113056</v>
      </c>
      <c r="M264" s="6">
        <f t="shared" si="8"/>
        <v>26</v>
      </c>
      <c r="N264">
        <v>26</v>
      </c>
      <c r="O264" t="str">
        <f t="shared" si="9"/>
        <v>A19</v>
      </c>
      <c r="P264" t="s">
        <v>1370</v>
      </c>
      <c r="Q264" t="s">
        <v>905</v>
      </c>
    </row>
    <row r="265" spans="1:17" x14ac:dyDescent="0.25">
      <c r="A265">
        <v>84</v>
      </c>
      <c r="B265">
        <v>0</v>
      </c>
      <c r="C265">
        <v>1</v>
      </c>
      <c r="D265" t="s">
        <v>1046</v>
      </c>
      <c r="E265" t="s">
        <v>902</v>
      </c>
      <c r="F265">
        <f>ROUNDUP(Titanic_DATASET[[#This Row],[Age Correción 2]],0)</f>
        <v>28</v>
      </c>
      <c r="G265" s="4">
        <f>VALUE(SUBSTITUTE(Titanic_DATASET[[#This Row],[Age Correción.]],".",","))</f>
        <v>28</v>
      </c>
      <c r="H265" s="5">
        <v>28</v>
      </c>
      <c r="I265">
        <v>28</v>
      </c>
      <c r="J265">
        <v>0</v>
      </c>
      <c r="K265">
        <v>0</v>
      </c>
      <c r="L265" s="3">
        <v>113059</v>
      </c>
      <c r="M265" s="6">
        <f t="shared" si="8"/>
        <v>47.1</v>
      </c>
      <c r="N265" t="s">
        <v>1047</v>
      </c>
      <c r="O265" t="str">
        <f t="shared" si="9"/>
        <v>Desconocido</v>
      </c>
      <c r="Q265" t="s">
        <v>905</v>
      </c>
    </row>
    <row r="266" spans="1:17" x14ac:dyDescent="0.25">
      <c r="A266">
        <v>783</v>
      </c>
      <c r="B266">
        <v>0</v>
      </c>
      <c r="C266">
        <v>1</v>
      </c>
      <c r="D266" t="s">
        <v>2055</v>
      </c>
      <c r="E266" t="s">
        <v>902</v>
      </c>
      <c r="F266">
        <f>ROUNDUP(Titanic_DATASET[[#This Row],[Age Correción 2]],0)</f>
        <v>29</v>
      </c>
      <c r="G266" s="4">
        <f>VALUE(SUBSTITUTE(Titanic_DATASET[[#This Row],[Age Correción.]],".",","))</f>
        <v>29</v>
      </c>
      <c r="H266" s="5">
        <v>29</v>
      </c>
      <c r="I266">
        <v>29</v>
      </c>
      <c r="J266">
        <v>0</v>
      </c>
      <c r="K266">
        <v>0</v>
      </c>
      <c r="L266" s="3">
        <v>113501</v>
      </c>
      <c r="M266" s="6">
        <f t="shared" si="8"/>
        <v>30</v>
      </c>
      <c r="N266">
        <v>30</v>
      </c>
      <c r="O266" t="str">
        <f t="shared" si="9"/>
        <v>D6</v>
      </c>
      <c r="P266" t="s">
        <v>2056</v>
      </c>
      <c r="Q266" t="s">
        <v>905</v>
      </c>
    </row>
    <row r="267" spans="1:17" x14ac:dyDescent="0.25">
      <c r="A267">
        <v>378</v>
      </c>
      <c r="B267">
        <v>0</v>
      </c>
      <c r="C267">
        <v>1</v>
      </c>
      <c r="D267" t="s">
        <v>1513</v>
      </c>
      <c r="E267" t="s">
        <v>902</v>
      </c>
      <c r="F267">
        <f>ROUNDUP(Titanic_DATASET[[#This Row],[Age Correción 2]],0)</f>
        <v>27</v>
      </c>
      <c r="G267" s="4">
        <f>VALUE(SUBSTITUTE(Titanic_DATASET[[#This Row],[Age Correción.]],".",","))</f>
        <v>27</v>
      </c>
      <c r="H267" s="5">
        <v>27</v>
      </c>
      <c r="I267">
        <v>27</v>
      </c>
      <c r="J267">
        <v>0</v>
      </c>
      <c r="K267">
        <v>2</v>
      </c>
      <c r="L267" s="3">
        <v>113503</v>
      </c>
      <c r="M267" s="6">
        <f t="shared" si="8"/>
        <v>211.5</v>
      </c>
      <c r="N267" t="s">
        <v>1514</v>
      </c>
      <c r="O267" t="str">
        <f t="shared" si="9"/>
        <v>C82</v>
      </c>
      <c r="P267" t="s">
        <v>1515</v>
      </c>
      <c r="Q267" t="s">
        <v>910</v>
      </c>
    </row>
    <row r="268" spans="1:17" x14ac:dyDescent="0.25">
      <c r="A268">
        <v>167</v>
      </c>
      <c r="B268">
        <v>1</v>
      </c>
      <c r="C268">
        <v>1</v>
      </c>
      <c r="D268" t="s">
        <v>1185</v>
      </c>
      <c r="E268" t="s">
        <v>907</v>
      </c>
      <c r="F268">
        <f>ROUNDUP(Titanic_DATASET[[#This Row],[Age Correción 2]],0)</f>
        <v>54</v>
      </c>
      <c r="G268" s="4">
        <f>VALUE(SUBSTITUTE(Titanic_DATASET[[#This Row],[Age Correción.]],".",","))</f>
        <v>54</v>
      </c>
      <c r="H268" s="5">
        <v>54</v>
      </c>
      <c r="J268">
        <v>0</v>
      </c>
      <c r="K268">
        <v>1</v>
      </c>
      <c r="L268" s="3">
        <v>113505</v>
      </c>
      <c r="M268" s="6">
        <f t="shared" si="8"/>
        <v>55</v>
      </c>
      <c r="N268">
        <v>55</v>
      </c>
      <c r="O268" t="str">
        <f t="shared" si="9"/>
        <v>E33</v>
      </c>
      <c r="P268" t="s">
        <v>1186</v>
      </c>
      <c r="Q268" t="s">
        <v>905</v>
      </c>
    </row>
    <row r="269" spans="1:17" x14ac:dyDescent="0.25">
      <c r="A269">
        <v>357</v>
      </c>
      <c r="B269">
        <v>1</v>
      </c>
      <c r="C269">
        <v>1</v>
      </c>
      <c r="D269" t="s">
        <v>1482</v>
      </c>
      <c r="E269" t="s">
        <v>907</v>
      </c>
      <c r="F269">
        <f>ROUNDUP(Titanic_DATASET[[#This Row],[Age Correción 2]],0)</f>
        <v>22</v>
      </c>
      <c r="G269" s="4">
        <f>VALUE(SUBSTITUTE(Titanic_DATASET[[#This Row],[Age Correción.]],".",","))</f>
        <v>22</v>
      </c>
      <c r="H269" s="5">
        <v>22</v>
      </c>
      <c r="I269">
        <v>22</v>
      </c>
      <c r="J269">
        <v>0</v>
      </c>
      <c r="K269">
        <v>1</v>
      </c>
      <c r="L269" s="3">
        <v>113505</v>
      </c>
      <c r="M269" s="6">
        <f t="shared" si="8"/>
        <v>55</v>
      </c>
      <c r="N269">
        <v>55</v>
      </c>
      <c r="O269" t="str">
        <f t="shared" si="9"/>
        <v>E33</v>
      </c>
      <c r="P269" t="s">
        <v>1186</v>
      </c>
      <c r="Q269" t="s">
        <v>905</v>
      </c>
    </row>
    <row r="270" spans="1:17" x14ac:dyDescent="0.25">
      <c r="A270">
        <v>55</v>
      </c>
      <c r="B270">
        <v>0</v>
      </c>
      <c r="C270">
        <v>1</v>
      </c>
      <c r="D270" t="s">
        <v>995</v>
      </c>
      <c r="E270" t="s">
        <v>902</v>
      </c>
      <c r="F270">
        <f>ROUNDUP(Titanic_DATASET[[#This Row],[Age Correción 2]],0)</f>
        <v>65</v>
      </c>
      <c r="G270" s="4">
        <f>VALUE(SUBSTITUTE(Titanic_DATASET[[#This Row],[Age Correción.]],".",","))</f>
        <v>65</v>
      </c>
      <c r="H270" s="5">
        <v>65</v>
      </c>
      <c r="I270">
        <v>65</v>
      </c>
      <c r="J270">
        <v>0</v>
      </c>
      <c r="K270">
        <v>1</v>
      </c>
      <c r="L270" s="3">
        <v>113509</v>
      </c>
      <c r="M270" s="6">
        <f t="shared" si="8"/>
        <v>619792</v>
      </c>
      <c r="N270" s="1">
        <v>619792</v>
      </c>
      <c r="O270" s="1" t="str">
        <f t="shared" si="9"/>
        <v>B30</v>
      </c>
      <c r="P270" t="s">
        <v>996</v>
      </c>
      <c r="Q270" t="s">
        <v>910</v>
      </c>
    </row>
    <row r="271" spans="1:17" x14ac:dyDescent="0.25">
      <c r="A271">
        <v>352</v>
      </c>
      <c r="B271">
        <v>0</v>
      </c>
      <c r="C271">
        <v>1</v>
      </c>
      <c r="D271" t="s">
        <v>1476</v>
      </c>
      <c r="E271" t="s">
        <v>902</v>
      </c>
      <c r="F271">
        <f>ROUNDUP(Titanic_DATASET[[#This Row],[Age Correción 2]],0)</f>
        <v>36</v>
      </c>
      <c r="G271" s="4">
        <f>VALUE(SUBSTITUTE(Titanic_DATASET[[#This Row],[Age Correción.]],".",","))</f>
        <v>36</v>
      </c>
      <c r="H271" s="5">
        <v>36</v>
      </c>
      <c r="J271">
        <v>0</v>
      </c>
      <c r="K271">
        <v>0</v>
      </c>
      <c r="L271" s="3">
        <v>113510</v>
      </c>
      <c r="M271" s="6">
        <f t="shared" si="8"/>
        <v>35</v>
      </c>
      <c r="N271">
        <v>35</v>
      </c>
      <c r="O271" t="str">
        <f t="shared" si="9"/>
        <v>C128</v>
      </c>
      <c r="P271" t="s">
        <v>1477</v>
      </c>
      <c r="Q271" t="s">
        <v>905</v>
      </c>
    </row>
    <row r="272" spans="1:17" x14ac:dyDescent="0.25">
      <c r="A272">
        <v>253</v>
      </c>
      <c r="B272">
        <v>0</v>
      </c>
      <c r="C272">
        <v>1</v>
      </c>
      <c r="D272" t="s">
        <v>1315</v>
      </c>
      <c r="E272" t="s">
        <v>902</v>
      </c>
      <c r="F272">
        <f>ROUNDUP(Titanic_DATASET[[#This Row],[Age Correción 2]],0)</f>
        <v>62</v>
      </c>
      <c r="G272" s="4">
        <f>VALUE(SUBSTITUTE(Titanic_DATASET[[#This Row],[Age Correción.]],".",","))</f>
        <v>62</v>
      </c>
      <c r="H272" s="5">
        <v>62</v>
      </c>
      <c r="I272">
        <v>62</v>
      </c>
      <c r="J272">
        <v>0</v>
      </c>
      <c r="K272">
        <v>0</v>
      </c>
      <c r="L272" s="3">
        <v>113514</v>
      </c>
      <c r="M272" s="6">
        <f t="shared" si="8"/>
        <v>26.55</v>
      </c>
      <c r="N272" t="s">
        <v>930</v>
      </c>
      <c r="O272" t="str">
        <f t="shared" si="9"/>
        <v>C87</v>
      </c>
      <c r="P272" t="s">
        <v>1316</v>
      </c>
      <c r="Q272" t="s">
        <v>905</v>
      </c>
    </row>
    <row r="273" spans="1:17" x14ac:dyDescent="0.25">
      <c r="A273">
        <v>62</v>
      </c>
      <c r="B273">
        <v>1</v>
      </c>
      <c r="C273">
        <v>1</v>
      </c>
      <c r="D273" t="s">
        <v>1010</v>
      </c>
      <c r="E273" t="s">
        <v>907</v>
      </c>
      <c r="F273">
        <f>ROUNDUP(Titanic_DATASET[[#This Row],[Age Correción 2]],0)</f>
        <v>38</v>
      </c>
      <c r="G273" s="4">
        <f>VALUE(SUBSTITUTE(Titanic_DATASET[[#This Row],[Age Correción.]],".",","))</f>
        <v>38</v>
      </c>
      <c r="H273" s="5">
        <v>38</v>
      </c>
      <c r="I273">
        <v>38</v>
      </c>
      <c r="J273">
        <v>0</v>
      </c>
      <c r="K273">
        <v>0</v>
      </c>
      <c r="L273" s="3">
        <v>113572</v>
      </c>
      <c r="M273" s="6">
        <f t="shared" si="8"/>
        <v>80</v>
      </c>
      <c r="N273">
        <v>80</v>
      </c>
      <c r="O273" t="str">
        <f t="shared" si="9"/>
        <v>B28</v>
      </c>
      <c r="P273" t="s">
        <v>1011</v>
      </c>
      <c r="Q273" t="s">
        <v>905</v>
      </c>
    </row>
    <row r="274" spans="1:17" x14ac:dyDescent="0.25">
      <c r="A274">
        <v>830</v>
      </c>
      <c r="B274">
        <v>1</v>
      </c>
      <c r="C274">
        <v>1</v>
      </c>
      <c r="D274" t="s">
        <v>2118</v>
      </c>
      <c r="E274" t="s">
        <v>907</v>
      </c>
      <c r="F274">
        <f>ROUNDUP(Titanic_DATASET[[#This Row],[Age Correción 2]],0)</f>
        <v>62</v>
      </c>
      <c r="G274" s="4">
        <f>VALUE(SUBSTITUTE(Titanic_DATASET[[#This Row],[Age Correción.]],".",","))</f>
        <v>62</v>
      </c>
      <c r="H274" s="5">
        <v>62</v>
      </c>
      <c r="I274">
        <v>62</v>
      </c>
      <c r="J274">
        <v>0</v>
      </c>
      <c r="K274">
        <v>0</v>
      </c>
      <c r="L274" s="3">
        <v>113572</v>
      </c>
      <c r="M274" s="6">
        <f t="shared" si="8"/>
        <v>80</v>
      </c>
      <c r="N274">
        <v>80</v>
      </c>
      <c r="O274" t="str">
        <f t="shared" si="9"/>
        <v>B28</v>
      </c>
      <c r="P274" t="s">
        <v>1011</v>
      </c>
      <c r="Q274" t="s">
        <v>905</v>
      </c>
    </row>
    <row r="275" spans="1:17" x14ac:dyDescent="0.25">
      <c r="A275">
        <v>391</v>
      </c>
      <c r="B275">
        <v>1</v>
      </c>
      <c r="C275">
        <v>1</v>
      </c>
      <c r="D275" t="s">
        <v>1531</v>
      </c>
      <c r="E275" t="s">
        <v>902</v>
      </c>
      <c r="F275">
        <f>ROUNDUP(Titanic_DATASET[[#This Row],[Age Correción 2]],0)</f>
        <v>36</v>
      </c>
      <c r="G275" s="4">
        <f>VALUE(SUBSTITUTE(Titanic_DATASET[[#This Row],[Age Correción.]],".",","))</f>
        <v>36</v>
      </c>
      <c r="H275" s="5">
        <v>36</v>
      </c>
      <c r="I275">
        <v>36</v>
      </c>
      <c r="J275">
        <v>1</v>
      </c>
      <c r="K275">
        <v>2</v>
      </c>
      <c r="L275" s="3">
        <v>113760</v>
      </c>
      <c r="M275" s="6">
        <f t="shared" si="8"/>
        <v>120</v>
      </c>
      <c r="N275">
        <v>120</v>
      </c>
      <c r="O275" t="str">
        <f t="shared" si="9"/>
        <v>B96 B98</v>
      </c>
      <c r="P275" t="s">
        <v>1532</v>
      </c>
      <c r="Q275" t="s">
        <v>905</v>
      </c>
    </row>
    <row r="276" spans="1:17" x14ac:dyDescent="0.25">
      <c r="A276">
        <v>436</v>
      </c>
      <c r="B276">
        <v>1</v>
      </c>
      <c r="C276">
        <v>1</v>
      </c>
      <c r="D276" t="s">
        <v>1590</v>
      </c>
      <c r="E276" t="s">
        <v>907</v>
      </c>
      <c r="F276">
        <f>ROUNDUP(Titanic_DATASET[[#This Row],[Age Correción 2]],0)</f>
        <v>14</v>
      </c>
      <c r="G276" s="4">
        <f>VALUE(SUBSTITUTE(Titanic_DATASET[[#This Row],[Age Correción.]],".",","))</f>
        <v>14</v>
      </c>
      <c r="H276" s="5">
        <v>14</v>
      </c>
      <c r="I276">
        <v>14</v>
      </c>
      <c r="J276">
        <v>1</v>
      </c>
      <c r="K276">
        <v>2</v>
      </c>
      <c r="L276" s="3">
        <v>113760</v>
      </c>
      <c r="M276" s="6">
        <f t="shared" si="8"/>
        <v>120</v>
      </c>
      <c r="N276">
        <v>120</v>
      </c>
      <c r="O276" t="str">
        <f t="shared" si="9"/>
        <v>B96 B98</v>
      </c>
      <c r="P276" t="s">
        <v>1532</v>
      </c>
      <c r="Q276" t="s">
        <v>905</v>
      </c>
    </row>
    <row r="277" spans="1:17" x14ac:dyDescent="0.25">
      <c r="A277">
        <v>764</v>
      </c>
      <c r="B277">
        <v>1</v>
      </c>
      <c r="C277">
        <v>1</v>
      </c>
      <c r="D277" t="s">
        <v>2031</v>
      </c>
      <c r="E277" t="s">
        <v>907</v>
      </c>
      <c r="F277">
        <f>ROUNDUP(Titanic_DATASET[[#This Row],[Age Correción 2]],0)</f>
        <v>36</v>
      </c>
      <c r="G277" s="4">
        <f>VALUE(SUBSTITUTE(Titanic_DATASET[[#This Row],[Age Correción.]],".",","))</f>
        <v>36</v>
      </c>
      <c r="H277" s="5">
        <v>36</v>
      </c>
      <c r="I277">
        <v>36</v>
      </c>
      <c r="J277">
        <v>1</v>
      </c>
      <c r="K277">
        <v>2</v>
      </c>
      <c r="L277" s="3">
        <v>113760</v>
      </c>
      <c r="M277" s="6">
        <f t="shared" si="8"/>
        <v>120</v>
      </c>
      <c r="N277">
        <v>120</v>
      </c>
      <c r="O277" t="str">
        <f t="shared" si="9"/>
        <v>B96 B98</v>
      </c>
      <c r="P277" t="s">
        <v>1532</v>
      </c>
      <c r="Q277" t="s">
        <v>905</v>
      </c>
    </row>
    <row r="278" spans="1:17" x14ac:dyDescent="0.25">
      <c r="A278">
        <v>803</v>
      </c>
      <c r="B278">
        <v>1</v>
      </c>
      <c r="C278">
        <v>1</v>
      </c>
      <c r="D278" t="s">
        <v>2082</v>
      </c>
      <c r="E278" t="s">
        <v>902</v>
      </c>
      <c r="F278">
        <f>ROUNDUP(Titanic_DATASET[[#This Row],[Age Correción 2]],0)</f>
        <v>11</v>
      </c>
      <c r="G278" s="4">
        <f>VALUE(SUBSTITUTE(Titanic_DATASET[[#This Row],[Age Correción.]],".",","))</f>
        <v>11</v>
      </c>
      <c r="H278" s="5">
        <v>11</v>
      </c>
      <c r="I278">
        <v>11</v>
      </c>
      <c r="J278">
        <v>1</v>
      </c>
      <c r="K278">
        <v>2</v>
      </c>
      <c r="L278" s="3">
        <v>113760</v>
      </c>
      <c r="M278" s="6">
        <f t="shared" si="8"/>
        <v>120</v>
      </c>
      <c r="N278">
        <v>120</v>
      </c>
      <c r="O278" t="str">
        <f t="shared" si="9"/>
        <v>B96 B98</v>
      </c>
      <c r="P278" t="s">
        <v>1532</v>
      </c>
      <c r="Q278" t="s">
        <v>905</v>
      </c>
    </row>
    <row r="279" spans="1:17" x14ac:dyDescent="0.25">
      <c r="A279">
        <v>186</v>
      </c>
      <c r="B279">
        <v>0</v>
      </c>
      <c r="C279">
        <v>1</v>
      </c>
      <c r="D279" t="s">
        <v>1216</v>
      </c>
      <c r="E279" t="s">
        <v>902</v>
      </c>
      <c r="F279">
        <f>ROUNDUP(Titanic_DATASET[[#This Row],[Age Correción 2]],0)</f>
        <v>61</v>
      </c>
      <c r="G279" s="4">
        <f>VALUE(SUBSTITUTE(Titanic_DATASET[[#This Row],[Age Correción.]],".",","))</f>
        <v>61</v>
      </c>
      <c r="H279" s="5">
        <v>61</v>
      </c>
      <c r="J279">
        <v>0</v>
      </c>
      <c r="K279">
        <v>0</v>
      </c>
      <c r="L279" s="3">
        <v>113767</v>
      </c>
      <c r="M279" s="6">
        <f t="shared" si="8"/>
        <v>50</v>
      </c>
      <c r="N279">
        <v>50</v>
      </c>
      <c r="O279" t="str">
        <f t="shared" si="9"/>
        <v>A32</v>
      </c>
      <c r="P279" t="s">
        <v>1217</v>
      </c>
      <c r="Q279" t="s">
        <v>905</v>
      </c>
    </row>
    <row r="280" spans="1:17" x14ac:dyDescent="0.25">
      <c r="A280">
        <v>749</v>
      </c>
      <c r="B280">
        <v>0</v>
      </c>
      <c r="C280">
        <v>1</v>
      </c>
      <c r="D280" t="s">
        <v>2012</v>
      </c>
      <c r="E280" t="s">
        <v>902</v>
      </c>
      <c r="F280">
        <f>ROUNDUP(Titanic_DATASET[[#This Row],[Age Correción 2]],0)</f>
        <v>19</v>
      </c>
      <c r="G280" s="4">
        <f>VALUE(SUBSTITUTE(Titanic_DATASET[[#This Row],[Age Correción.]],".",","))</f>
        <v>19</v>
      </c>
      <c r="H280" s="5">
        <v>19</v>
      </c>
      <c r="I280">
        <v>19</v>
      </c>
      <c r="J280">
        <v>1</v>
      </c>
      <c r="K280">
        <v>0</v>
      </c>
      <c r="L280" s="3">
        <v>113773</v>
      </c>
      <c r="M280" s="6">
        <f t="shared" si="8"/>
        <v>53.1</v>
      </c>
      <c r="N280" t="s">
        <v>914</v>
      </c>
      <c r="O280" t="str">
        <f t="shared" si="9"/>
        <v>D30</v>
      </c>
      <c r="P280" t="s">
        <v>2013</v>
      </c>
      <c r="Q280" t="s">
        <v>905</v>
      </c>
    </row>
    <row r="281" spans="1:17" x14ac:dyDescent="0.25">
      <c r="A281">
        <v>152</v>
      </c>
      <c r="B281">
        <v>1</v>
      </c>
      <c r="C281">
        <v>1</v>
      </c>
      <c r="D281" t="s">
        <v>1156</v>
      </c>
      <c r="E281" t="s">
        <v>907</v>
      </c>
      <c r="F281">
        <f>ROUNDUP(Titanic_DATASET[[#This Row],[Age Correción 2]],0)</f>
        <v>22</v>
      </c>
      <c r="G281" s="4">
        <f>VALUE(SUBSTITUTE(Titanic_DATASET[[#This Row],[Age Correción.]],".",","))</f>
        <v>22</v>
      </c>
      <c r="H281" s="5">
        <v>22</v>
      </c>
      <c r="I281">
        <v>22</v>
      </c>
      <c r="J281">
        <v>1</v>
      </c>
      <c r="K281">
        <v>0</v>
      </c>
      <c r="L281" s="3">
        <v>113776</v>
      </c>
      <c r="M281" s="6">
        <f t="shared" si="8"/>
        <v>66.599999999999994</v>
      </c>
      <c r="N281" t="s">
        <v>1157</v>
      </c>
      <c r="O281" t="str">
        <f t="shared" si="9"/>
        <v>C2</v>
      </c>
      <c r="P281" t="s">
        <v>1158</v>
      </c>
      <c r="Q281" t="s">
        <v>905</v>
      </c>
    </row>
    <row r="282" spans="1:17" x14ac:dyDescent="0.25">
      <c r="A282">
        <v>337</v>
      </c>
      <c r="B282">
        <v>0</v>
      </c>
      <c r="C282">
        <v>1</v>
      </c>
      <c r="D282" t="s">
        <v>1457</v>
      </c>
      <c r="E282" t="s">
        <v>902</v>
      </c>
      <c r="F282">
        <f>ROUNDUP(Titanic_DATASET[[#This Row],[Age Correción 2]],0)</f>
        <v>29</v>
      </c>
      <c r="G282" s="4">
        <f>VALUE(SUBSTITUTE(Titanic_DATASET[[#This Row],[Age Correción.]],".",","))</f>
        <v>29</v>
      </c>
      <c r="H282" s="5">
        <v>29</v>
      </c>
      <c r="I282">
        <v>29</v>
      </c>
      <c r="J282">
        <v>1</v>
      </c>
      <c r="K282">
        <v>0</v>
      </c>
      <c r="L282" s="3">
        <v>113776</v>
      </c>
      <c r="M282" s="6">
        <f t="shared" si="8"/>
        <v>66.599999999999994</v>
      </c>
      <c r="N282" t="s">
        <v>1157</v>
      </c>
      <c r="O282" t="str">
        <f t="shared" si="9"/>
        <v>C2</v>
      </c>
      <c r="P282" t="s">
        <v>1158</v>
      </c>
      <c r="Q282" t="s">
        <v>905</v>
      </c>
    </row>
    <row r="283" spans="1:17" x14ac:dyDescent="0.25">
      <c r="A283">
        <v>298</v>
      </c>
      <c r="B283">
        <v>0</v>
      </c>
      <c r="C283">
        <v>1</v>
      </c>
      <c r="D283" t="s">
        <v>1390</v>
      </c>
      <c r="E283" t="s">
        <v>907</v>
      </c>
      <c r="F283">
        <f>ROUNDUP(Titanic_DATASET[[#This Row],[Age Correción 2]],0)</f>
        <v>2</v>
      </c>
      <c r="G283" s="4">
        <f>VALUE(SUBSTITUTE(Titanic_DATASET[[#This Row],[Age Correción.]],".",","))</f>
        <v>2</v>
      </c>
      <c r="H283" s="5">
        <v>2</v>
      </c>
      <c r="I283">
        <v>2</v>
      </c>
      <c r="J283">
        <v>1</v>
      </c>
      <c r="K283">
        <v>2</v>
      </c>
      <c r="L283" s="3">
        <v>113781</v>
      </c>
      <c r="M283" s="6">
        <f t="shared" si="8"/>
        <v>151.55000000000001</v>
      </c>
      <c r="N283" t="s">
        <v>1391</v>
      </c>
      <c r="O283" t="str">
        <f t="shared" si="9"/>
        <v>C22 C26</v>
      </c>
      <c r="P283" t="s">
        <v>1392</v>
      </c>
      <c r="Q283" t="s">
        <v>905</v>
      </c>
    </row>
    <row r="284" spans="1:17" x14ac:dyDescent="0.25">
      <c r="A284">
        <v>306</v>
      </c>
      <c r="B284">
        <v>1</v>
      </c>
      <c r="C284">
        <v>1</v>
      </c>
      <c r="D284" t="s">
        <v>1405</v>
      </c>
      <c r="E284" t="s">
        <v>902</v>
      </c>
      <c r="F284">
        <f>ROUNDUP(Titanic_DATASET[[#This Row],[Age Correción 2]],0)</f>
        <v>1</v>
      </c>
      <c r="G284" s="4">
        <f>VALUE(SUBSTITUTE(Titanic_DATASET[[#This Row],[Age Correción.]],".",","))</f>
        <v>0.92</v>
      </c>
      <c r="H284" s="5" t="s">
        <v>1406</v>
      </c>
      <c r="I284" t="s">
        <v>1406</v>
      </c>
      <c r="J284">
        <v>1</v>
      </c>
      <c r="K284">
        <v>2</v>
      </c>
      <c r="L284" s="3">
        <v>113781</v>
      </c>
      <c r="M284" s="6">
        <f t="shared" si="8"/>
        <v>151.55000000000001</v>
      </c>
      <c r="N284" t="s">
        <v>1391</v>
      </c>
      <c r="O284" t="str">
        <f t="shared" si="9"/>
        <v>C22 C26</v>
      </c>
      <c r="P284" t="s">
        <v>1392</v>
      </c>
      <c r="Q284" t="s">
        <v>905</v>
      </c>
    </row>
    <row r="285" spans="1:17" x14ac:dyDescent="0.25">
      <c r="A285">
        <v>499</v>
      </c>
      <c r="B285">
        <v>0</v>
      </c>
      <c r="C285">
        <v>1</v>
      </c>
      <c r="D285" t="s">
        <v>1680</v>
      </c>
      <c r="E285" t="s">
        <v>907</v>
      </c>
      <c r="F285">
        <f>ROUNDUP(Titanic_DATASET[[#This Row],[Age Correción 2]],0)</f>
        <v>25</v>
      </c>
      <c r="G285" s="4">
        <f>VALUE(SUBSTITUTE(Titanic_DATASET[[#This Row],[Age Correción.]],".",","))</f>
        <v>25</v>
      </c>
      <c r="H285" s="5">
        <v>25</v>
      </c>
      <c r="I285">
        <v>25</v>
      </c>
      <c r="J285">
        <v>1</v>
      </c>
      <c r="K285">
        <v>2</v>
      </c>
      <c r="L285" s="3">
        <v>113781</v>
      </c>
      <c r="M285" s="6">
        <f t="shared" si="8"/>
        <v>151.55000000000001</v>
      </c>
      <c r="N285" t="s">
        <v>1391</v>
      </c>
      <c r="O285" t="str">
        <f t="shared" si="9"/>
        <v>C22 C26</v>
      </c>
      <c r="P285" t="s">
        <v>1392</v>
      </c>
      <c r="Q285" t="s">
        <v>905</v>
      </c>
    </row>
    <row r="286" spans="1:17" x14ac:dyDescent="0.25">
      <c r="A286">
        <v>709</v>
      </c>
      <c r="B286">
        <v>1</v>
      </c>
      <c r="C286">
        <v>1</v>
      </c>
      <c r="D286" t="s">
        <v>1963</v>
      </c>
      <c r="E286" t="s">
        <v>907</v>
      </c>
      <c r="F286">
        <f>ROUNDUP(Titanic_DATASET[[#This Row],[Age Correción 2]],0)</f>
        <v>22</v>
      </c>
      <c r="G286" s="4">
        <f>VALUE(SUBSTITUTE(Titanic_DATASET[[#This Row],[Age Correción.]],".",","))</f>
        <v>22</v>
      </c>
      <c r="H286" s="5">
        <v>22</v>
      </c>
      <c r="I286">
        <v>22</v>
      </c>
      <c r="J286">
        <v>0</v>
      </c>
      <c r="K286">
        <v>0</v>
      </c>
      <c r="L286" s="3">
        <v>113781</v>
      </c>
      <c r="M286" s="6">
        <f t="shared" si="8"/>
        <v>151.55000000000001</v>
      </c>
      <c r="N286" t="s">
        <v>1391</v>
      </c>
      <c r="O286" t="str">
        <f t="shared" si="9"/>
        <v>Desconocido</v>
      </c>
      <c r="Q286" t="s">
        <v>905</v>
      </c>
    </row>
    <row r="287" spans="1:17" x14ac:dyDescent="0.25">
      <c r="A287">
        <v>12</v>
      </c>
      <c r="B287">
        <v>1</v>
      </c>
      <c r="C287">
        <v>1</v>
      </c>
      <c r="D287" t="s">
        <v>929</v>
      </c>
      <c r="E287" t="s">
        <v>907</v>
      </c>
      <c r="F287">
        <f>ROUNDUP(Titanic_DATASET[[#This Row],[Age Correción 2]],0)</f>
        <v>58</v>
      </c>
      <c r="G287" s="4">
        <f>VALUE(SUBSTITUTE(Titanic_DATASET[[#This Row],[Age Correción.]],".",","))</f>
        <v>58</v>
      </c>
      <c r="H287" s="5">
        <v>58</v>
      </c>
      <c r="I287">
        <v>58</v>
      </c>
      <c r="J287">
        <v>0</v>
      </c>
      <c r="K287">
        <v>0</v>
      </c>
      <c r="L287" s="3">
        <v>113783</v>
      </c>
      <c r="M287" s="6">
        <f t="shared" si="8"/>
        <v>26.55</v>
      </c>
      <c r="N287" t="s">
        <v>930</v>
      </c>
      <c r="O287" t="str">
        <f t="shared" si="9"/>
        <v>C103</v>
      </c>
      <c r="P287" t="s">
        <v>931</v>
      </c>
      <c r="Q287" t="s">
        <v>905</v>
      </c>
    </row>
    <row r="288" spans="1:17" x14ac:dyDescent="0.25">
      <c r="A288">
        <v>340</v>
      </c>
      <c r="B288">
        <v>0</v>
      </c>
      <c r="C288">
        <v>1</v>
      </c>
      <c r="D288" t="s">
        <v>1461</v>
      </c>
      <c r="E288" t="s">
        <v>902</v>
      </c>
      <c r="F288">
        <f>ROUNDUP(Titanic_DATASET[[#This Row],[Age Correción 2]],0)</f>
        <v>45</v>
      </c>
      <c r="G288" s="4">
        <f>VALUE(SUBSTITUTE(Titanic_DATASET[[#This Row],[Age Correción.]],".",","))</f>
        <v>45</v>
      </c>
      <c r="H288" s="5">
        <v>45</v>
      </c>
      <c r="I288">
        <v>45</v>
      </c>
      <c r="J288">
        <v>0</v>
      </c>
      <c r="K288">
        <v>0</v>
      </c>
      <c r="L288" s="3">
        <v>113784</v>
      </c>
      <c r="M288" s="6">
        <f t="shared" si="8"/>
        <v>35.5</v>
      </c>
      <c r="N288" t="s">
        <v>946</v>
      </c>
      <c r="O288" t="str">
        <f t="shared" si="9"/>
        <v>T</v>
      </c>
      <c r="P288" t="s">
        <v>1462</v>
      </c>
      <c r="Q288" t="s">
        <v>905</v>
      </c>
    </row>
    <row r="289" spans="1:17" x14ac:dyDescent="0.25">
      <c r="A289">
        <v>450</v>
      </c>
      <c r="B289">
        <v>1</v>
      </c>
      <c r="C289">
        <v>1</v>
      </c>
      <c r="D289" t="s">
        <v>1606</v>
      </c>
      <c r="E289" t="s">
        <v>902</v>
      </c>
      <c r="F289">
        <f>ROUNDUP(Titanic_DATASET[[#This Row],[Age Correción 2]],0)</f>
        <v>52</v>
      </c>
      <c r="G289" s="4">
        <f>VALUE(SUBSTITUTE(Titanic_DATASET[[#This Row],[Age Correción.]],".",","))</f>
        <v>52</v>
      </c>
      <c r="H289" s="5">
        <v>52</v>
      </c>
      <c r="I289">
        <v>52</v>
      </c>
      <c r="J289">
        <v>0</v>
      </c>
      <c r="K289">
        <v>0</v>
      </c>
      <c r="L289" s="3">
        <v>113786</v>
      </c>
      <c r="M289" s="6">
        <f t="shared" si="8"/>
        <v>30.5</v>
      </c>
      <c r="N289" t="s">
        <v>1394</v>
      </c>
      <c r="O289" t="str">
        <f t="shared" si="9"/>
        <v>C104</v>
      </c>
      <c r="P289" t="s">
        <v>1607</v>
      </c>
      <c r="Q289" t="s">
        <v>905</v>
      </c>
    </row>
    <row r="290" spans="1:17" x14ac:dyDescent="0.25">
      <c r="A290">
        <v>493</v>
      </c>
      <c r="B290">
        <v>0</v>
      </c>
      <c r="C290">
        <v>1</v>
      </c>
      <c r="D290" t="s">
        <v>1668</v>
      </c>
      <c r="E290" t="s">
        <v>902</v>
      </c>
      <c r="F290">
        <f>ROUNDUP(Titanic_DATASET[[#This Row],[Age Correción 2]],0)</f>
        <v>55</v>
      </c>
      <c r="G290" s="4">
        <f>VALUE(SUBSTITUTE(Titanic_DATASET[[#This Row],[Age Correción.]],".",","))</f>
        <v>55</v>
      </c>
      <c r="H290" s="5">
        <v>55</v>
      </c>
      <c r="I290">
        <v>55</v>
      </c>
      <c r="J290">
        <v>0</v>
      </c>
      <c r="K290">
        <v>0</v>
      </c>
      <c r="L290" s="3">
        <v>113787</v>
      </c>
      <c r="M290" s="6">
        <f t="shared" si="8"/>
        <v>30.5</v>
      </c>
      <c r="N290" t="s">
        <v>1394</v>
      </c>
      <c r="O290" t="str">
        <f t="shared" si="9"/>
        <v>C30</v>
      </c>
      <c r="P290" t="s">
        <v>1669</v>
      </c>
      <c r="Q290" t="s">
        <v>905</v>
      </c>
    </row>
    <row r="291" spans="1:17" x14ac:dyDescent="0.25">
      <c r="A291">
        <v>24</v>
      </c>
      <c r="B291">
        <v>1</v>
      </c>
      <c r="C291">
        <v>1</v>
      </c>
      <c r="D291" t="s">
        <v>945</v>
      </c>
      <c r="E291" t="s">
        <v>902</v>
      </c>
      <c r="F291">
        <f>ROUNDUP(Titanic_DATASET[[#This Row],[Age Correción 2]],0)</f>
        <v>28</v>
      </c>
      <c r="G291" s="4">
        <f>VALUE(SUBSTITUTE(Titanic_DATASET[[#This Row],[Age Correción.]],".",","))</f>
        <v>28</v>
      </c>
      <c r="H291" s="5">
        <v>28</v>
      </c>
      <c r="I291">
        <v>28</v>
      </c>
      <c r="J291">
        <v>0</v>
      </c>
      <c r="K291">
        <v>0</v>
      </c>
      <c r="L291" s="3">
        <v>113788</v>
      </c>
      <c r="M291" s="6">
        <f t="shared" si="8"/>
        <v>35.5</v>
      </c>
      <c r="N291" t="s">
        <v>946</v>
      </c>
      <c r="O291" t="str">
        <f t="shared" si="9"/>
        <v>A6</v>
      </c>
      <c r="P291" t="s">
        <v>947</v>
      </c>
      <c r="Q291" t="s">
        <v>905</v>
      </c>
    </row>
    <row r="292" spans="1:17" x14ac:dyDescent="0.25">
      <c r="A292">
        <v>36</v>
      </c>
      <c r="B292">
        <v>0</v>
      </c>
      <c r="C292">
        <v>1</v>
      </c>
      <c r="D292" t="s">
        <v>967</v>
      </c>
      <c r="E292" t="s">
        <v>902</v>
      </c>
      <c r="F292">
        <f>ROUNDUP(Titanic_DATASET[[#This Row],[Age Correción 2]],0)</f>
        <v>42</v>
      </c>
      <c r="G292" s="4">
        <f>VALUE(SUBSTITUTE(Titanic_DATASET[[#This Row],[Age Correción.]],".",","))</f>
        <v>42</v>
      </c>
      <c r="H292" s="5">
        <v>42</v>
      </c>
      <c r="I292">
        <v>42</v>
      </c>
      <c r="J292">
        <v>1</v>
      </c>
      <c r="K292">
        <v>0</v>
      </c>
      <c r="L292" s="3">
        <v>113789</v>
      </c>
      <c r="M292" s="6">
        <f t="shared" si="8"/>
        <v>52</v>
      </c>
      <c r="N292">
        <v>52</v>
      </c>
      <c r="O292" t="str">
        <f t="shared" si="9"/>
        <v>Desconocido</v>
      </c>
      <c r="Q292" t="s">
        <v>905</v>
      </c>
    </row>
    <row r="293" spans="1:17" x14ac:dyDescent="0.25">
      <c r="A293">
        <v>384</v>
      </c>
      <c r="B293">
        <v>1</v>
      </c>
      <c r="C293">
        <v>1</v>
      </c>
      <c r="D293" t="s">
        <v>1523</v>
      </c>
      <c r="E293" t="s">
        <v>907</v>
      </c>
      <c r="F293">
        <f>ROUNDUP(Titanic_DATASET[[#This Row],[Age Correción 2]],0)</f>
        <v>35</v>
      </c>
      <c r="G293" s="4">
        <f>VALUE(SUBSTITUTE(Titanic_DATASET[[#This Row],[Age Correción.]],".",","))</f>
        <v>35</v>
      </c>
      <c r="H293" s="5">
        <v>35</v>
      </c>
      <c r="I293">
        <v>35</v>
      </c>
      <c r="J293">
        <v>1</v>
      </c>
      <c r="K293">
        <v>0</v>
      </c>
      <c r="L293" s="3">
        <v>113789</v>
      </c>
      <c r="M293" s="6">
        <f t="shared" si="8"/>
        <v>52</v>
      </c>
      <c r="N293">
        <v>52</v>
      </c>
      <c r="O293" t="str">
        <f t="shared" si="9"/>
        <v>Desconocido</v>
      </c>
      <c r="Q293" t="s">
        <v>905</v>
      </c>
    </row>
    <row r="294" spans="1:17" x14ac:dyDescent="0.25">
      <c r="A294">
        <v>468</v>
      </c>
      <c r="B294">
        <v>0</v>
      </c>
      <c r="C294">
        <v>1</v>
      </c>
      <c r="D294" t="s">
        <v>1636</v>
      </c>
      <c r="E294" t="s">
        <v>902</v>
      </c>
      <c r="F294">
        <f>ROUNDUP(Titanic_DATASET[[#This Row],[Age Correción 2]],0)</f>
        <v>56</v>
      </c>
      <c r="G294" s="4">
        <f>VALUE(SUBSTITUTE(Titanic_DATASET[[#This Row],[Age Correción.]],".",","))</f>
        <v>56</v>
      </c>
      <c r="H294" s="5">
        <v>56</v>
      </c>
      <c r="I294">
        <v>56</v>
      </c>
      <c r="J294">
        <v>0</v>
      </c>
      <c r="K294">
        <v>0</v>
      </c>
      <c r="L294" s="3">
        <v>113792</v>
      </c>
      <c r="M294" s="6">
        <f t="shared" si="8"/>
        <v>26.55</v>
      </c>
      <c r="N294" t="s">
        <v>930</v>
      </c>
      <c r="O294" t="str">
        <f t="shared" si="9"/>
        <v>Desconocido</v>
      </c>
      <c r="Q294" t="s">
        <v>905</v>
      </c>
    </row>
    <row r="295" spans="1:17" x14ac:dyDescent="0.25">
      <c r="A295">
        <v>448</v>
      </c>
      <c r="B295">
        <v>1</v>
      </c>
      <c r="C295">
        <v>1</v>
      </c>
      <c r="D295" t="s">
        <v>1604</v>
      </c>
      <c r="E295" t="s">
        <v>902</v>
      </c>
      <c r="F295">
        <f>ROUNDUP(Titanic_DATASET[[#This Row],[Age Correción 2]],0)</f>
        <v>34</v>
      </c>
      <c r="G295" s="4">
        <f>VALUE(SUBSTITUTE(Titanic_DATASET[[#This Row],[Age Correción.]],".",","))</f>
        <v>34</v>
      </c>
      <c r="H295" s="5">
        <v>34</v>
      </c>
      <c r="I295">
        <v>34</v>
      </c>
      <c r="J295">
        <v>0</v>
      </c>
      <c r="K295">
        <v>0</v>
      </c>
      <c r="L295" s="3">
        <v>113794</v>
      </c>
      <c r="M295" s="6">
        <f t="shared" si="8"/>
        <v>26.55</v>
      </c>
      <c r="N295" t="s">
        <v>930</v>
      </c>
      <c r="O295" t="str">
        <f t="shared" si="9"/>
        <v>Desconocido</v>
      </c>
      <c r="Q295" t="s">
        <v>905</v>
      </c>
    </row>
    <row r="296" spans="1:17" x14ac:dyDescent="0.25">
      <c r="A296">
        <v>603</v>
      </c>
      <c r="B296">
        <v>0</v>
      </c>
      <c r="C296">
        <v>1</v>
      </c>
      <c r="D296" t="s">
        <v>1827</v>
      </c>
      <c r="E296" t="s">
        <v>902</v>
      </c>
      <c r="F296">
        <f>ROUNDUP(Titanic_DATASET[[#This Row],[Age Correción 2]],0)</f>
        <v>27</v>
      </c>
      <c r="G296" s="4">
        <f>VALUE(SUBSTITUTE(Titanic_DATASET[[#This Row],[Age Correción.]],".",","))</f>
        <v>27</v>
      </c>
      <c r="H296" s="5">
        <v>27</v>
      </c>
      <c r="J296">
        <v>0</v>
      </c>
      <c r="K296">
        <v>0</v>
      </c>
      <c r="L296" s="3">
        <v>113796</v>
      </c>
      <c r="M296" s="6">
        <f t="shared" si="8"/>
        <v>42.4</v>
      </c>
      <c r="N296" t="s">
        <v>1828</v>
      </c>
      <c r="O296" t="str">
        <f t="shared" si="9"/>
        <v>Desconocido</v>
      </c>
      <c r="Q296" t="s">
        <v>905</v>
      </c>
    </row>
    <row r="297" spans="1:17" x14ac:dyDescent="0.25">
      <c r="A297">
        <v>271</v>
      </c>
      <c r="B297">
        <v>0</v>
      </c>
      <c r="C297">
        <v>1</v>
      </c>
      <c r="D297" t="s">
        <v>1347</v>
      </c>
      <c r="E297" t="s">
        <v>902</v>
      </c>
      <c r="F297">
        <f>ROUNDUP(Titanic_DATASET[[#This Row],[Age Correción 2]],0)</f>
        <v>9</v>
      </c>
      <c r="G297" s="4">
        <f>VALUE(SUBSTITUTE(Titanic_DATASET[[#This Row],[Age Correción.]],".",","))</f>
        <v>9</v>
      </c>
      <c r="H297" s="5">
        <v>9</v>
      </c>
      <c r="J297">
        <v>0</v>
      </c>
      <c r="K297">
        <v>0</v>
      </c>
      <c r="L297" s="3">
        <v>113798</v>
      </c>
      <c r="M297" s="6">
        <f t="shared" si="8"/>
        <v>31</v>
      </c>
      <c r="N297">
        <v>31</v>
      </c>
      <c r="O297" t="str">
        <f t="shared" si="9"/>
        <v>Desconocido</v>
      </c>
      <c r="Q297" t="s">
        <v>905</v>
      </c>
    </row>
    <row r="298" spans="1:17" x14ac:dyDescent="0.25">
      <c r="A298">
        <v>843</v>
      </c>
      <c r="B298">
        <v>1</v>
      </c>
      <c r="C298">
        <v>1</v>
      </c>
      <c r="D298" t="s">
        <v>2136</v>
      </c>
      <c r="E298" t="s">
        <v>907</v>
      </c>
      <c r="F298">
        <f>ROUNDUP(Titanic_DATASET[[#This Row],[Age Correción 2]],0)</f>
        <v>30</v>
      </c>
      <c r="G298" s="4">
        <f>VALUE(SUBSTITUTE(Titanic_DATASET[[#This Row],[Age Correción.]],".",","))</f>
        <v>30</v>
      </c>
      <c r="H298" s="5">
        <v>30</v>
      </c>
      <c r="I298">
        <v>30</v>
      </c>
      <c r="J298">
        <v>0</v>
      </c>
      <c r="K298">
        <v>0</v>
      </c>
      <c r="L298" s="3">
        <v>113798</v>
      </c>
      <c r="M298" s="6">
        <f t="shared" si="8"/>
        <v>31</v>
      </c>
      <c r="N298">
        <v>31</v>
      </c>
      <c r="O298" t="str">
        <f t="shared" si="9"/>
        <v>Desconocido</v>
      </c>
      <c r="Q298" t="s">
        <v>910</v>
      </c>
    </row>
    <row r="299" spans="1:17" x14ac:dyDescent="0.25">
      <c r="A299">
        <v>695</v>
      </c>
      <c r="B299">
        <v>0</v>
      </c>
      <c r="C299">
        <v>1</v>
      </c>
      <c r="D299" t="s">
        <v>1944</v>
      </c>
      <c r="E299" t="s">
        <v>902</v>
      </c>
      <c r="F299">
        <f>ROUNDUP(Titanic_DATASET[[#This Row],[Age Correción 2]],0)</f>
        <v>60</v>
      </c>
      <c r="G299" s="4">
        <f>VALUE(SUBSTITUTE(Titanic_DATASET[[#This Row],[Age Correción.]],".",","))</f>
        <v>60</v>
      </c>
      <c r="H299" s="5">
        <v>60</v>
      </c>
      <c r="I299">
        <v>60</v>
      </c>
      <c r="J299">
        <v>0</v>
      </c>
      <c r="K299">
        <v>0</v>
      </c>
      <c r="L299" s="3">
        <v>113800</v>
      </c>
      <c r="M299" s="6">
        <f t="shared" si="8"/>
        <v>26.55</v>
      </c>
      <c r="N299" t="s">
        <v>930</v>
      </c>
      <c r="O299" t="str">
        <f t="shared" si="9"/>
        <v>Desconocido</v>
      </c>
      <c r="Q299" t="s">
        <v>905</v>
      </c>
    </row>
    <row r="300" spans="1:17" x14ac:dyDescent="0.25">
      <c r="A300">
        <v>4</v>
      </c>
      <c r="B300">
        <v>1</v>
      </c>
      <c r="C300">
        <v>1</v>
      </c>
      <c r="D300" t="s">
        <v>913</v>
      </c>
      <c r="E300" t="s">
        <v>907</v>
      </c>
      <c r="F300">
        <f>ROUNDUP(Titanic_DATASET[[#This Row],[Age Correción 2]],0)</f>
        <v>35</v>
      </c>
      <c r="G300" s="4">
        <f>VALUE(SUBSTITUTE(Titanic_DATASET[[#This Row],[Age Correción.]],".",","))</f>
        <v>35</v>
      </c>
      <c r="H300" s="5">
        <v>35</v>
      </c>
      <c r="I300">
        <v>35</v>
      </c>
      <c r="J300">
        <v>1</v>
      </c>
      <c r="K300">
        <v>0</v>
      </c>
      <c r="L300" s="3">
        <v>113803</v>
      </c>
      <c r="M300" s="6">
        <f t="shared" si="8"/>
        <v>53.1</v>
      </c>
      <c r="N300" t="s">
        <v>914</v>
      </c>
      <c r="O300" t="str">
        <f t="shared" si="9"/>
        <v>C123</v>
      </c>
      <c r="P300" t="s">
        <v>915</v>
      </c>
      <c r="Q300" t="s">
        <v>905</v>
      </c>
    </row>
    <row r="301" spans="1:17" x14ac:dyDescent="0.25">
      <c r="A301">
        <v>138</v>
      </c>
      <c r="B301">
        <v>0</v>
      </c>
      <c r="C301">
        <v>1</v>
      </c>
      <c r="D301" t="s">
        <v>1131</v>
      </c>
      <c r="E301" t="s">
        <v>902</v>
      </c>
      <c r="F301">
        <f>ROUNDUP(Titanic_DATASET[[#This Row],[Age Correción 2]],0)</f>
        <v>37</v>
      </c>
      <c r="G301" s="4">
        <f>VALUE(SUBSTITUTE(Titanic_DATASET[[#This Row],[Age Correción.]],".",","))</f>
        <v>37</v>
      </c>
      <c r="H301" s="5">
        <v>37</v>
      </c>
      <c r="I301">
        <v>37</v>
      </c>
      <c r="J301">
        <v>1</v>
      </c>
      <c r="K301">
        <v>0</v>
      </c>
      <c r="L301" s="3">
        <v>113803</v>
      </c>
      <c r="M301" s="6">
        <f t="shared" si="8"/>
        <v>53.1</v>
      </c>
      <c r="N301" t="s">
        <v>914</v>
      </c>
      <c r="O301" t="str">
        <f t="shared" si="9"/>
        <v>C123</v>
      </c>
      <c r="P301" t="s">
        <v>915</v>
      </c>
      <c r="Q301" t="s">
        <v>905</v>
      </c>
    </row>
    <row r="302" spans="1:17" x14ac:dyDescent="0.25">
      <c r="A302">
        <v>608</v>
      </c>
      <c r="B302">
        <v>1</v>
      </c>
      <c r="C302">
        <v>1</v>
      </c>
      <c r="D302" t="s">
        <v>1834</v>
      </c>
      <c r="E302" t="s">
        <v>902</v>
      </c>
      <c r="F302">
        <f>ROUNDUP(Titanic_DATASET[[#This Row],[Age Correción 2]],0)</f>
        <v>27</v>
      </c>
      <c r="G302" s="4">
        <f>VALUE(SUBSTITUTE(Titanic_DATASET[[#This Row],[Age Correción.]],".",","))</f>
        <v>27</v>
      </c>
      <c r="H302" s="5">
        <v>27</v>
      </c>
      <c r="I302">
        <v>27</v>
      </c>
      <c r="J302">
        <v>0</v>
      </c>
      <c r="K302">
        <v>0</v>
      </c>
      <c r="L302" s="3">
        <v>113804</v>
      </c>
      <c r="M302" s="6">
        <f t="shared" si="8"/>
        <v>30.5</v>
      </c>
      <c r="N302" t="s">
        <v>1394</v>
      </c>
      <c r="O302" t="str">
        <f t="shared" si="9"/>
        <v>Desconocido</v>
      </c>
      <c r="Q302" t="s">
        <v>905</v>
      </c>
    </row>
    <row r="303" spans="1:17" x14ac:dyDescent="0.25">
      <c r="A303">
        <v>725</v>
      </c>
      <c r="B303">
        <v>1</v>
      </c>
      <c r="C303">
        <v>1</v>
      </c>
      <c r="D303" t="s">
        <v>1982</v>
      </c>
      <c r="E303" t="s">
        <v>902</v>
      </c>
      <c r="F303">
        <f>ROUNDUP(Titanic_DATASET[[#This Row],[Age Correción 2]],0)</f>
        <v>27</v>
      </c>
      <c r="G303" s="4">
        <f>VALUE(SUBSTITUTE(Titanic_DATASET[[#This Row],[Age Correción.]],".",","))</f>
        <v>27</v>
      </c>
      <c r="H303" s="5">
        <v>27</v>
      </c>
      <c r="I303">
        <v>27</v>
      </c>
      <c r="J303">
        <v>1</v>
      </c>
      <c r="K303">
        <v>0</v>
      </c>
      <c r="L303" s="3">
        <v>113806</v>
      </c>
      <c r="M303" s="6">
        <f t="shared" si="8"/>
        <v>53.1</v>
      </c>
      <c r="N303" t="s">
        <v>914</v>
      </c>
      <c r="O303" t="str">
        <f t="shared" si="9"/>
        <v>E8</v>
      </c>
      <c r="P303" t="s">
        <v>1983</v>
      </c>
      <c r="Q303" t="s">
        <v>905</v>
      </c>
    </row>
    <row r="304" spans="1:17" x14ac:dyDescent="0.25">
      <c r="A304">
        <v>810</v>
      </c>
      <c r="B304">
        <v>1</v>
      </c>
      <c r="C304">
        <v>1</v>
      </c>
      <c r="D304" t="s">
        <v>2091</v>
      </c>
      <c r="E304" t="s">
        <v>907</v>
      </c>
      <c r="F304">
        <f>ROUNDUP(Titanic_DATASET[[#This Row],[Age Correción 2]],0)</f>
        <v>33</v>
      </c>
      <c r="G304" s="4">
        <f>VALUE(SUBSTITUTE(Titanic_DATASET[[#This Row],[Age Correción.]],".",","))</f>
        <v>33</v>
      </c>
      <c r="H304" s="5">
        <v>33</v>
      </c>
      <c r="I304">
        <v>33</v>
      </c>
      <c r="J304">
        <v>1</v>
      </c>
      <c r="K304">
        <v>0</v>
      </c>
      <c r="L304" s="3">
        <v>113806</v>
      </c>
      <c r="M304" s="6">
        <f t="shared" si="8"/>
        <v>53.1</v>
      </c>
      <c r="N304" t="s">
        <v>914</v>
      </c>
      <c r="O304" t="str">
        <f t="shared" si="9"/>
        <v>E8</v>
      </c>
      <c r="P304" t="s">
        <v>1983</v>
      </c>
      <c r="Q304" t="s">
        <v>905</v>
      </c>
    </row>
    <row r="305" spans="1:17" x14ac:dyDescent="0.25">
      <c r="A305">
        <v>556</v>
      </c>
      <c r="B305">
        <v>0</v>
      </c>
      <c r="C305">
        <v>1</v>
      </c>
      <c r="D305" t="s">
        <v>1760</v>
      </c>
      <c r="E305" t="s">
        <v>902</v>
      </c>
      <c r="F305">
        <f>ROUNDUP(Titanic_DATASET[[#This Row],[Age Correción 2]],0)</f>
        <v>62</v>
      </c>
      <c r="G305" s="4">
        <f>VALUE(SUBSTITUTE(Titanic_DATASET[[#This Row],[Age Correción.]],".",","))</f>
        <v>62</v>
      </c>
      <c r="H305" s="5">
        <v>62</v>
      </c>
      <c r="I305">
        <v>62</v>
      </c>
      <c r="J305">
        <v>0</v>
      </c>
      <c r="K305">
        <v>0</v>
      </c>
      <c r="L305" s="3">
        <v>113807</v>
      </c>
      <c r="M305" s="6">
        <f t="shared" si="8"/>
        <v>26.55</v>
      </c>
      <c r="N305" t="s">
        <v>930</v>
      </c>
      <c r="O305" t="str">
        <f t="shared" si="9"/>
        <v>Desconocido</v>
      </c>
      <c r="Q305" t="s">
        <v>905</v>
      </c>
    </row>
    <row r="306" spans="1:17" x14ac:dyDescent="0.25">
      <c r="A306">
        <v>887</v>
      </c>
      <c r="B306">
        <v>0</v>
      </c>
      <c r="C306">
        <v>2</v>
      </c>
      <c r="D306" t="s">
        <v>2192</v>
      </c>
      <c r="E306" t="s">
        <v>902</v>
      </c>
      <c r="F306">
        <f>ROUNDUP(Titanic_DATASET[[#This Row],[Age Correción 2]],0)</f>
        <v>27</v>
      </c>
      <c r="G306" s="4">
        <f>VALUE(SUBSTITUTE(Titanic_DATASET[[#This Row],[Age Correción.]],".",","))</f>
        <v>27</v>
      </c>
      <c r="H306" s="5">
        <v>27</v>
      </c>
      <c r="I306">
        <v>27</v>
      </c>
      <c r="J306">
        <v>0</v>
      </c>
      <c r="K306">
        <v>0</v>
      </c>
      <c r="L306" s="3">
        <v>211536</v>
      </c>
      <c r="M306" s="6">
        <f t="shared" si="8"/>
        <v>13</v>
      </c>
      <c r="N306">
        <v>13</v>
      </c>
      <c r="O306" t="str">
        <f t="shared" si="9"/>
        <v>Desconocido</v>
      </c>
      <c r="Q306" t="s">
        <v>905</v>
      </c>
    </row>
    <row r="307" spans="1:17" x14ac:dyDescent="0.25">
      <c r="A307">
        <v>563</v>
      </c>
      <c r="B307">
        <v>0</v>
      </c>
      <c r="C307">
        <v>2</v>
      </c>
      <c r="D307" t="s">
        <v>1770</v>
      </c>
      <c r="E307" t="s">
        <v>902</v>
      </c>
      <c r="F307">
        <f>ROUNDUP(Titanic_DATASET[[#This Row],[Age Correción 2]],0)</f>
        <v>28</v>
      </c>
      <c r="G307" s="4">
        <f>VALUE(SUBSTITUTE(Titanic_DATASET[[#This Row],[Age Correción.]],".",","))</f>
        <v>28</v>
      </c>
      <c r="H307" s="5">
        <v>28</v>
      </c>
      <c r="I307">
        <v>28</v>
      </c>
      <c r="J307">
        <v>0</v>
      </c>
      <c r="K307">
        <v>0</v>
      </c>
      <c r="L307" s="3">
        <v>218629</v>
      </c>
      <c r="M307" s="6">
        <f t="shared" si="8"/>
        <v>13.5</v>
      </c>
      <c r="N307" t="s">
        <v>1285</v>
      </c>
      <c r="O307" t="str">
        <f t="shared" si="9"/>
        <v>Desconocido</v>
      </c>
      <c r="Q307" t="s">
        <v>905</v>
      </c>
    </row>
    <row r="308" spans="1:17" x14ac:dyDescent="0.25">
      <c r="A308">
        <v>627</v>
      </c>
      <c r="B308">
        <v>0</v>
      </c>
      <c r="C308">
        <v>2</v>
      </c>
      <c r="D308" t="s">
        <v>1856</v>
      </c>
      <c r="E308" t="s">
        <v>902</v>
      </c>
      <c r="F308">
        <f>ROUNDUP(Titanic_DATASET[[#This Row],[Age Correción 2]],0)</f>
        <v>57</v>
      </c>
      <c r="G308" s="4">
        <f>VALUE(SUBSTITUTE(Titanic_DATASET[[#This Row],[Age Correción.]],".",","))</f>
        <v>57</v>
      </c>
      <c r="H308" s="5">
        <v>57</v>
      </c>
      <c r="I308">
        <v>57</v>
      </c>
      <c r="J308">
        <v>0</v>
      </c>
      <c r="K308">
        <v>0</v>
      </c>
      <c r="L308" s="3">
        <v>219533</v>
      </c>
      <c r="M308" s="6">
        <f t="shared" si="8"/>
        <v>12.35</v>
      </c>
      <c r="N308" t="s">
        <v>1402</v>
      </c>
      <c r="O308" t="str">
        <f t="shared" si="9"/>
        <v>Desconocido</v>
      </c>
      <c r="Q308" t="s">
        <v>919</v>
      </c>
    </row>
    <row r="309" spans="1:17" x14ac:dyDescent="0.25">
      <c r="A309">
        <v>222</v>
      </c>
      <c r="B309">
        <v>0</v>
      </c>
      <c r="C309">
        <v>2</v>
      </c>
      <c r="D309" t="s">
        <v>1267</v>
      </c>
      <c r="E309" t="s">
        <v>902</v>
      </c>
      <c r="F309">
        <f>ROUNDUP(Titanic_DATASET[[#This Row],[Age Correción 2]],0)</f>
        <v>27</v>
      </c>
      <c r="G309" s="4">
        <f>VALUE(SUBSTITUTE(Titanic_DATASET[[#This Row],[Age Correción.]],".",","))</f>
        <v>27</v>
      </c>
      <c r="H309" s="5">
        <v>27</v>
      </c>
      <c r="I309">
        <v>27</v>
      </c>
      <c r="J309">
        <v>0</v>
      </c>
      <c r="K309">
        <v>0</v>
      </c>
      <c r="L309" s="3">
        <v>220367</v>
      </c>
      <c r="M309" s="6">
        <f t="shared" si="8"/>
        <v>13</v>
      </c>
      <c r="N309">
        <v>13</v>
      </c>
      <c r="O309" t="str">
        <f t="shared" si="9"/>
        <v>Desconocido</v>
      </c>
      <c r="Q309" t="s">
        <v>905</v>
      </c>
    </row>
    <row r="310" spans="1:17" x14ac:dyDescent="0.25">
      <c r="A310">
        <v>616</v>
      </c>
      <c r="B310">
        <v>1</v>
      </c>
      <c r="C310">
        <v>2</v>
      </c>
      <c r="D310" t="s">
        <v>1843</v>
      </c>
      <c r="E310" t="s">
        <v>907</v>
      </c>
      <c r="F310">
        <f>ROUNDUP(Titanic_DATASET[[#This Row],[Age Correción 2]],0)</f>
        <v>24</v>
      </c>
      <c r="G310" s="4">
        <f>VALUE(SUBSTITUTE(Titanic_DATASET[[#This Row],[Age Correción.]],".",","))</f>
        <v>24</v>
      </c>
      <c r="H310" s="5">
        <v>24</v>
      </c>
      <c r="I310">
        <v>24</v>
      </c>
      <c r="J310">
        <v>1</v>
      </c>
      <c r="K310">
        <v>2</v>
      </c>
      <c r="L310" s="3">
        <v>220845</v>
      </c>
      <c r="M310" s="6">
        <f t="shared" si="8"/>
        <v>65</v>
      </c>
      <c r="N310">
        <v>65</v>
      </c>
      <c r="O310" t="str">
        <f t="shared" si="9"/>
        <v>Desconocido</v>
      </c>
      <c r="Q310" t="s">
        <v>905</v>
      </c>
    </row>
    <row r="311" spans="1:17" x14ac:dyDescent="0.25">
      <c r="A311">
        <v>755</v>
      </c>
      <c r="B311">
        <v>1</v>
      </c>
      <c r="C311">
        <v>2</v>
      </c>
      <c r="D311" t="s">
        <v>2020</v>
      </c>
      <c r="E311" t="s">
        <v>907</v>
      </c>
      <c r="F311">
        <f>ROUNDUP(Titanic_DATASET[[#This Row],[Age Correción 2]],0)</f>
        <v>48</v>
      </c>
      <c r="G311" s="4">
        <f>VALUE(SUBSTITUTE(Titanic_DATASET[[#This Row],[Age Correción.]],".",","))</f>
        <v>48</v>
      </c>
      <c r="H311" s="5">
        <v>48</v>
      </c>
      <c r="I311">
        <v>48</v>
      </c>
      <c r="J311">
        <v>1</v>
      </c>
      <c r="K311">
        <v>2</v>
      </c>
      <c r="L311" s="3">
        <v>220845</v>
      </c>
      <c r="M311" s="6">
        <f t="shared" si="8"/>
        <v>65</v>
      </c>
      <c r="N311">
        <v>65</v>
      </c>
      <c r="O311" t="str">
        <f t="shared" si="9"/>
        <v>Desconocido</v>
      </c>
      <c r="Q311" t="s">
        <v>905</v>
      </c>
    </row>
    <row r="312" spans="1:17" x14ac:dyDescent="0.25">
      <c r="A312">
        <v>707</v>
      </c>
      <c r="B312">
        <v>1</v>
      </c>
      <c r="C312">
        <v>2</v>
      </c>
      <c r="D312" t="s">
        <v>1960</v>
      </c>
      <c r="E312" t="s">
        <v>907</v>
      </c>
      <c r="F312">
        <f>ROUNDUP(Titanic_DATASET[[#This Row],[Age Correción 2]],0)</f>
        <v>45</v>
      </c>
      <c r="G312" s="4">
        <f>VALUE(SUBSTITUTE(Titanic_DATASET[[#This Row],[Age Correción.]],".",","))</f>
        <v>45</v>
      </c>
      <c r="H312" s="5">
        <v>45</v>
      </c>
      <c r="I312">
        <v>45</v>
      </c>
      <c r="J312">
        <v>0</v>
      </c>
      <c r="K312">
        <v>0</v>
      </c>
      <c r="L312" s="3">
        <v>223596</v>
      </c>
      <c r="M312" s="6">
        <f t="shared" si="8"/>
        <v>13.5</v>
      </c>
      <c r="N312" t="s">
        <v>1285</v>
      </c>
      <c r="O312" t="str">
        <f t="shared" si="9"/>
        <v>Desconocido</v>
      </c>
      <c r="Q312" t="s">
        <v>905</v>
      </c>
    </row>
    <row r="313" spans="1:17" x14ac:dyDescent="0.25">
      <c r="A313">
        <v>304</v>
      </c>
      <c r="B313">
        <v>1</v>
      </c>
      <c r="C313">
        <v>2</v>
      </c>
      <c r="D313" t="s">
        <v>1401</v>
      </c>
      <c r="E313" t="s">
        <v>907</v>
      </c>
      <c r="F313">
        <f>ROUNDUP(Titanic_DATASET[[#This Row],[Age Correción 2]],0)</f>
        <v>46</v>
      </c>
      <c r="G313" s="4">
        <f>VALUE(SUBSTITUTE(Titanic_DATASET[[#This Row],[Age Correción.]],".",","))</f>
        <v>46</v>
      </c>
      <c r="H313" s="5">
        <v>46</v>
      </c>
      <c r="J313">
        <v>0</v>
      </c>
      <c r="K313">
        <v>0</v>
      </c>
      <c r="L313" s="3">
        <v>226593</v>
      </c>
      <c r="M313" s="6">
        <f t="shared" si="8"/>
        <v>12.35</v>
      </c>
      <c r="N313" t="s">
        <v>1402</v>
      </c>
      <c r="O313" t="str">
        <f t="shared" si="9"/>
        <v>E101</v>
      </c>
      <c r="P313" t="s">
        <v>1109</v>
      </c>
      <c r="Q313" t="s">
        <v>919</v>
      </c>
    </row>
    <row r="314" spans="1:17" x14ac:dyDescent="0.25">
      <c r="A314">
        <v>519</v>
      </c>
      <c r="B314">
        <v>1</v>
      </c>
      <c r="C314">
        <v>2</v>
      </c>
      <c r="D314" t="s">
        <v>1709</v>
      </c>
      <c r="E314" t="s">
        <v>907</v>
      </c>
      <c r="F314">
        <f>ROUNDUP(Titanic_DATASET[[#This Row],[Age Correción 2]],0)</f>
        <v>36</v>
      </c>
      <c r="G314" s="4">
        <f>VALUE(SUBSTITUTE(Titanic_DATASET[[#This Row],[Age Correción.]],".",","))</f>
        <v>36</v>
      </c>
      <c r="H314" s="5">
        <v>36</v>
      </c>
      <c r="I314">
        <v>36</v>
      </c>
      <c r="J314">
        <v>1</v>
      </c>
      <c r="K314">
        <v>0</v>
      </c>
      <c r="L314" s="3">
        <v>226875</v>
      </c>
      <c r="M314" s="6">
        <f t="shared" si="8"/>
        <v>26</v>
      </c>
      <c r="N314">
        <v>26</v>
      </c>
      <c r="O314" t="str">
        <f t="shared" si="9"/>
        <v>Desconocido</v>
      </c>
      <c r="Q314" t="s">
        <v>905</v>
      </c>
    </row>
    <row r="315" spans="1:17" x14ac:dyDescent="0.25">
      <c r="A315">
        <v>134</v>
      </c>
      <c r="B315">
        <v>1</v>
      </c>
      <c r="C315">
        <v>2</v>
      </c>
      <c r="D315" t="s">
        <v>1124</v>
      </c>
      <c r="E315" t="s">
        <v>907</v>
      </c>
      <c r="F315">
        <f>ROUNDUP(Titanic_DATASET[[#This Row],[Age Correción 2]],0)</f>
        <v>29</v>
      </c>
      <c r="G315" s="4">
        <f>VALUE(SUBSTITUTE(Titanic_DATASET[[#This Row],[Age Correción.]],".",","))</f>
        <v>29</v>
      </c>
      <c r="H315" s="5">
        <v>29</v>
      </c>
      <c r="I315">
        <v>29</v>
      </c>
      <c r="J315">
        <v>1</v>
      </c>
      <c r="K315">
        <v>0</v>
      </c>
      <c r="L315" s="3">
        <v>228414</v>
      </c>
      <c r="M315" s="6">
        <f t="shared" si="8"/>
        <v>26</v>
      </c>
      <c r="N315">
        <v>26</v>
      </c>
      <c r="O315" t="str">
        <f t="shared" si="9"/>
        <v>Desconocido</v>
      </c>
      <c r="Q315" t="s">
        <v>905</v>
      </c>
    </row>
    <row r="316" spans="1:17" x14ac:dyDescent="0.25">
      <c r="A316">
        <v>345</v>
      </c>
      <c r="B316">
        <v>0</v>
      </c>
      <c r="C316">
        <v>2</v>
      </c>
      <c r="D316" t="s">
        <v>1467</v>
      </c>
      <c r="E316" t="s">
        <v>902</v>
      </c>
      <c r="F316">
        <f>ROUNDUP(Titanic_DATASET[[#This Row],[Age Correción 2]],0)</f>
        <v>36</v>
      </c>
      <c r="G316" s="4">
        <f>VALUE(SUBSTITUTE(Titanic_DATASET[[#This Row],[Age Correción.]],".",","))</f>
        <v>36</v>
      </c>
      <c r="H316" s="5">
        <v>36</v>
      </c>
      <c r="I316">
        <v>36</v>
      </c>
      <c r="J316">
        <v>0</v>
      </c>
      <c r="K316">
        <v>0</v>
      </c>
      <c r="L316" s="3">
        <v>229236</v>
      </c>
      <c r="M316" s="6">
        <f t="shared" si="8"/>
        <v>13</v>
      </c>
      <c r="N316">
        <v>13</v>
      </c>
      <c r="O316" t="str">
        <f t="shared" si="9"/>
        <v>Desconocido</v>
      </c>
      <c r="Q316" t="s">
        <v>905</v>
      </c>
    </row>
    <row r="317" spans="1:17" x14ac:dyDescent="0.25">
      <c r="A317">
        <v>149</v>
      </c>
      <c r="B317">
        <v>0</v>
      </c>
      <c r="C317">
        <v>2</v>
      </c>
      <c r="D317" t="s">
        <v>1150</v>
      </c>
      <c r="E317" t="s">
        <v>902</v>
      </c>
      <c r="F317">
        <f>ROUNDUP(Titanic_DATASET[[#This Row],[Age Correción 2]],0)</f>
        <v>37</v>
      </c>
      <c r="G317" s="4">
        <f>VALUE(SUBSTITUTE(Titanic_DATASET[[#This Row],[Age Correción.]],".",","))</f>
        <v>36.5</v>
      </c>
      <c r="H317" s="5" t="s">
        <v>1151</v>
      </c>
      <c r="I317" t="s">
        <v>1151</v>
      </c>
      <c r="J317">
        <v>0</v>
      </c>
      <c r="K317">
        <v>2</v>
      </c>
      <c r="L317" s="3">
        <v>230080</v>
      </c>
      <c r="M317" s="6">
        <f t="shared" si="8"/>
        <v>26</v>
      </c>
      <c r="N317">
        <v>26</v>
      </c>
      <c r="O317" t="str">
        <f t="shared" si="9"/>
        <v>F2</v>
      </c>
      <c r="P317" t="s">
        <v>1152</v>
      </c>
      <c r="Q317" t="s">
        <v>905</v>
      </c>
    </row>
    <row r="318" spans="1:17" x14ac:dyDescent="0.25">
      <c r="A318">
        <v>194</v>
      </c>
      <c r="B318">
        <v>1</v>
      </c>
      <c r="C318">
        <v>2</v>
      </c>
      <c r="D318" t="s">
        <v>1225</v>
      </c>
      <c r="E318" t="s">
        <v>902</v>
      </c>
      <c r="F318">
        <f>ROUNDUP(Titanic_DATASET[[#This Row],[Age Correción 2]],0)</f>
        <v>3</v>
      </c>
      <c r="G318" s="4">
        <f>VALUE(SUBSTITUTE(Titanic_DATASET[[#This Row],[Age Correción.]],".",","))</f>
        <v>3</v>
      </c>
      <c r="H318" s="5">
        <v>3</v>
      </c>
      <c r="I318">
        <v>3</v>
      </c>
      <c r="J318">
        <v>1</v>
      </c>
      <c r="K318">
        <v>1</v>
      </c>
      <c r="L318" s="3">
        <v>230080</v>
      </c>
      <c r="M318" s="6">
        <f t="shared" si="8"/>
        <v>26</v>
      </c>
      <c r="N318">
        <v>26</v>
      </c>
      <c r="O318" t="str">
        <f t="shared" si="9"/>
        <v>F2</v>
      </c>
      <c r="P318" t="s">
        <v>1152</v>
      </c>
      <c r="Q318" t="s">
        <v>905</v>
      </c>
    </row>
    <row r="319" spans="1:17" x14ac:dyDescent="0.25">
      <c r="A319">
        <v>341</v>
      </c>
      <c r="B319">
        <v>1</v>
      </c>
      <c r="C319">
        <v>2</v>
      </c>
      <c r="D319" t="s">
        <v>1463</v>
      </c>
      <c r="E319" t="s">
        <v>902</v>
      </c>
      <c r="F319">
        <f>ROUNDUP(Titanic_DATASET[[#This Row],[Age Correción 2]],0)</f>
        <v>2</v>
      </c>
      <c r="G319" s="4">
        <f>VALUE(SUBSTITUTE(Titanic_DATASET[[#This Row],[Age Correción.]],".",","))</f>
        <v>2</v>
      </c>
      <c r="H319" s="5">
        <v>2</v>
      </c>
      <c r="I319">
        <v>2</v>
      </c>
      <c r="J319">
        <v>1</v>
      </c>
      <c r="K319">
        <v>1</v>
      </c>
      <c r="L319" s="3">
        <v>230080</v>
      </c>
      <c r="M319" s="6">
        <f t="shared" si="8"/>
        <v>26</v>
      </c>
      <c r="N319">
        <v>26</v>
      </c>
      <c r="O319" t="str">
        <f t="shared" si="9"/>
        <v>F2</v>
      </c>
      <c r="P319" t="s">
        <v>1152</v>
      </c>
      <c r="Q319" t="s">
        <v>905</v>
      </c>
    </row>
    <row r="320" spans="1:17" x14ac:dyDescent="0.25">
      <c r="A320">
        <v>184</v>
      </c>
      <c r="B320">
        <v>1</v>
      </c>
      <c r="C320">
        <v>2</v>
      </c>
      <c r="D320" t="s">
        <v>1213</v>
      </c>
      <c r="E320" t="s">
        <v>902</v>
      </c>
      <c r="F320">
        <f>ROUNDUP(Titanic_DATASET[[#This Row],[Age Correción 2]],0)</f>
        <v>1</v>
      </c>
      <c r="G320" s="4">
        <f>VALUE(SUBSTITUTE(Titanic_DATASET[[#This Row],[Age Correción.]],".",","))</f>
        <v>1</v>
      </c>
      <c r="H320" s="5">
        <v>1</v>
      </c>
      <c r="I320">
        <v>1</v>
      </c>
      <c r="J320">
        <v>2</v>
      </c>
      <c r="K320">
        <v>1</v>
      </c>
      <c r="L320" s="3">
        <v>230136</v>
      </c>
      <c r="M320" s="6">
        <f t="shared" si="8"/>
        <v>39</v>
      </c>
      <c r="N320">
        <v>39</v>
      </c>
      <c r="O320" t="str">
        <f t="shared" si="9"/>
        <v>F4</v>
      </c>
      <c r="P320" t="s">
        <v>1214</v>
      </c>
      <c r="Q320" t="s">
        <v>905</v>
      </c>
    </row>
    <row r="321" spans="1:17" x14ac:dyDescent="0.25">
      <c r="A321">
        <v>619</v>
      </c>
      <c r="B321">
        <v>1</v>
      </c>
      <c r="C321">
        <v>2</v>
      </c>
      <c r="D321" t="s">
        <v>1846</v>
      </c>
      <c r="E321" t="s">
        <v>907</v>
      </c>
      <c r="F321">
        <f>ROUNDUP(Titanic_DATASET[[#This Row],[Age Correción 2]],0)</f>
        <v>4</v>
      </c>
      <c r="G321" s="4">
        <f>VALUE(SUBSTITUTE(Titanic_DATASET[[#This Row],[Age Correción.]],".",","))</f>
        <v>4</v>
      </c>
      <c r="H321" s="5">
        <v>4</v>
      </c>
      <c r="I321">
        <v>4</v>
      </c>
      <c r="J321">
        <v>2</v>
      </c>
      <c r="K321">
        <v>1</v>
      </c>
      <c r="L321" s="3">
        <v>230136</v>
      </c>
      <c r="M321" s="6">
        <f t="shared" si="8"/>
        <v>39</v>
      </c>
      <c r="N321">
        <v>39</v>
      </c>
      <c r="O321" t="str">
        <f t="shared" si="9"/>
        <v>F4</v>
      </c>
      <c r="P321" t="s">
        <v>1214</v>
      </c>
      <c r="Q321" t="s">
        <v>905</v>
      </c>
    </row>
    <row r="322" spans="1:17" x14ac:dyDescent="0.25">
      <c r="A322">
        <v>260</v>
      </c>
      <c r="B322">
        <v>1</v>
      </c>
      <c r="C322">
        <v>2</v>
      </c>
      <c r="D322" t="s">
        <v>1328</v>
      </c>
      <c r="E322" t="s">
        <v>907</v>
      </c>
      <c r="F322">
        <f>ROUNDUP(Titanic_DATASET[[#This Row],[Age Correción 2]],0)</f>
        <v>50</v>
      </c>
      <c r="G322" s="4">
        <f>VALUE(SUBSTITUTE(Titanic_DATASET[[#This Row],[Age Correción.]],".",","))</f>
        <v>50</v>
      </c>
      <c r="H322" s="5">
        <v>50</v>
      </c>
      <c r="I322">
        <v>50</v>
      </c>
      <c r="J322">
        <v>0</v>
      </c>
      <c r="K322">
        <v>1</v>
      </c>
      <c r="L322" s="3">
        <v>230433</v>
      </c>
      <c r="M322" s="6">
        <f t="shared" si="8"/>
        <v>26</v>
      </c>
      <c r="N322">
        <v>26</v>
      </c>
      <c r="O322" t="str">
        <f t="shared" si="9"/>
        <v>Desconocido</v>
      </c>
      <c r="Q322" t="s">
        <v>905</v>
      </c>
    </row>
    <row r="323" spans="1:17" x14ac:dyDescent="0.25">
      <c r="A323">
        <v>881</v>
      </c>
      <c r="B323">
        <v>1</v>
      </c>
      <c r="C323">
        <v>2</v>
      </c>
      <c r="D323" t="s">
        <v>2184</v>
      </c>
      <c r="E323" t="s">
        <v>907</v>
      </c>
      <c r="F323">
        <f>ROUNDUP(Titanic_DATASET[[#This Row],[Age Correción 2]],0)</f>
        <v>25</v>
      </c>
      <c r="G323" s="4">
        <f>VALUE(SUBSTITUTE(Titanic_DATASET[[#This Row],[Age Correción.]],".",","))</f>
        <v>25</v>
      </c>
      <c r="H323" s="5">
        <v>25</v>
      </c>
      <c r="I323">
        <v>25</v>
      </c>
      <c r="J323">
        <v>0</v>
      </c>
      <c r="K323">
        <v>1</v>
      </c>
      <c r="L323" s="3">
        <v>230433</v>
      </c>
      <c r="M323" s="6">
        <f t="shared" si="8"/>
        <v>26</v>
      </c>
      <c r="N323">
        <v>26</v>
      </c>
      <c r="O323" t="str">
        <f t="shared" si="9"/>
        <v>Desconocido</v>
      </c>
      <c r="Q323" t="s">
        <v>905</v>
      </c>
    </row>
    <row r="324" spans="1:17" x14ac:dyDescent="0.25">
      <c r="A324">
        <v>444</v>
      </c>
      <c r="B324">
        <v>1</v>
      </c>
      <c r="C324">
        <v>2</v>
      </c>
      <c r="D324" t="s">
        <v>1599</v>
      </c>
      <c r="E324" t="s">
        <v>907</v>
      </c>
      <c r="F324">
        <f>ROUNDUP(Titanic_DATASET[[#This Row],[Age Correción 2]],0)</f>
        <v>28</v>
      </c>
      <c r="G324" s="4">
        <f>VALUE(SUBSTITUTE(Titanic_DATASET[[#This Row],[Age Correción.]],".",","))</f>
        <v>28</v>
      </c>
      <c r="H324" s="5">
        <v>28</v>
      </c>
      <c r="I324">
        <v>28</v>
      </c>
      <c r="J324">
        <v>0</v>
      </c>
      <c r="K324">
        <v>0</v>
      </c>
      <c r="L324" s="3">
        <v>230434</v>
      </c>
      <c r="M324" s="6">
        <f t="shared" ref="M324:M387" si="10">VALUE(SUBSTITUTE(N324,".",","))</f>
        <v>13</v>
      </c>
      <c r="N324">
        <v>13</v>
      </c>
      <c r="O324" t="str">
        <f t="shared" ref="O324:O387" si="11">IF(ISBLANK(P324),"Desconocido",P324)</f>
        <v>Desconocido</v>
      </c>
      <c r="Q324" t="s">
        <v>905</v>
      </c>
    </row>
    <row r="325" spans="1:17" x14ac:dyDescent="0.25">
      <c r="A325">
        <v>99</v>
      </c>
      <c r="B325">
        <v>1</v>
      </c>
      <c r="C325">
        <v>2</v>
      </c>
      <c r="D325" t="s">
        <v>1073</v>
      </c>
      <c r="E325" t="s">
        <v>907</v>
      </c>
      <c r="F325">
        <f>ROUNDUP(Titanic_DATASET[[#This Row],[Age Correción 2]],0)</f>
        <v>34</v>
      </c>
      <c r="G325" s="4">
        <f>VALUE(SUBSTITUTE(Titanic_DATASET[[#This Row],[Age Correción.]],".",","))</f>
        <v>34</v>
      </c>
      <c r="H325" s="5">
        <v>34</v>
      </c>
      <c r="I325">
        <v>34</v>
      </c>
      <c r="J325">
        <v>0</v>
      </c>
      <c r="K325">
        <v>1</v>
      </c>
      <c r="L325" s="3">
        <v>231919</v>
      </c>
      <c r="M325" s="6">
        <f t="shared" si="10"/>
        <v>23</v>
      </c>
      <c r="N325">
        <v>23</v>
      </c>
      <c r="O325" t="str">
        <f t="shared" si="11"/>
        <v>Desconocido</v>
      </c>
      <c r="Q325" t="s">
        <v>905</v>
      </c>
    </row>
    <row r="326" spans="1:17" x14ac:dyDescent="0.25">
      <c r="A326">
        <v>652</v>
      </c>
      <c r="B326">
        <v>1</v>
      </c>
      <c r="C326">
        <v>2</v>
      </c>
      <c r="D326" t="s">
        <v>1888</v>
      </c>
      <c r="E326" t="s">
        <v>907</v>
      </c>
      <c r="F326">
        <f>ROUNDUP(Titanic_DATASET[[#This Row],[Age Correción 2]],0)</f>
        <v>18</v>
      </c>
      <c r="G326" s="4">
        <f>VALUE(SUBSTITUTE(Titanic_DATASET[[#This Row],[Age Correción.]],".",","))</f>
        <v>18</v>
      </c>
      <c r="H326" s="5">
        <v>18</v>
      </c>
      <c r="I326">
        <v>18</v>
      </c>
      <c r="J326">
        <v>0</v>
      </c>
      <c r="K326">
        <v>1</v>
      </c>
      <c r="L326" s="3">
        <v>231919</v>
      </c>
      <c r="M326" s="6">
        <f t="shared" si="10"/>
        <v>23</v>
      </c>
      <c r="N326">
        <v>23</v>
      </c>
      <c r="O326" t="str">
        <f t="shared" si="11"/>
        <v>Desconocido</v>
      </c>
      <c r="Q326" t="s">
        <v>905</v>
      </c>
    </row>
    <row r="327" spans="1:17" x14ac:dyDescent="0.25">
      <c r="A327">
        <v>145</v>
      </c>
      <c r="B327">
        <v>0</v>
      </c>
      <c r="C327">
        <v>2</v>
      </c>
      <c r="D327" t="s">
        <v>1143</v>
      </c>
      <c r="E327" t="s">
        <v>902</v>
      </c>
      <c r="F327">
        <f>ROUNDUP(Titanic_DATASET[[#This Row],[Age Correción 2]],0)</f>
        <v>18</v>
      </c>
      <c r="G327" s="4">
        <f>VALUE(SUBSTITUTE(Titanic_DATASET[[#This Row],[Age Correción.]],".",","))</f>
        <v>18</v>
      </c>
      <c r="H327" s="5">
        <v>18</v>
      </c>
      <c r="I327">
        <v>18</v>
      </c>
      <c r="J327">
        <v>0</v>
      </c>
      <c r="K327">
        <v>0</v>
      </c>
      <c r="L327" s="3">
        <v>231945</v>
      </c>
      <c r="M327" s="6">
        <f t="shared" si="10"/>
        <v>11.5</v>
      </c>
      <c r="N327" t="s">
        <v>1144</v>
      </c>
      <c r="O327" t="str">
        <f t="shared" si="11"/>
        <v>Desconocido</v>
      </c>
      <c r="Q327" t="s">
        <v>905</v>
      </c>
    </row>
    <row r="328" spans="1:17" x14ac:dyDescent="0.25">
      <c r="A328">
        <v>735</v>
      </c>
      <c r="B328">
        <v>0</v>
      </c>
      <c r="C328">
        <v>2</v>
      </c>
      <c r="D328" t="s">
        <v>1994</v>
      </c>
      <c r="E328" t="s">
        <v>902</v>
      </c>
      <c r="F328">
        <f>ROUNDUP(Titanic_DATASET[[#This Row],[Age Correción 2]],0)</f>
        <v>23</v>
      </c>
      <c r="G328" s="4">
        <f>VALUE(SUBSTITUTE(Titanic_DATASET[[#This Row],[Age Correción.]],".",","))</f>
        <v>23</v>
      </c>
      <c r="H328" s="5">
        <v>23</v>
      </c>
      <c r="I328">
        <v>23</v>
      </c>
      <c r="J328">
        <v>0</v>
      </c>
      <c r="K328">
        <v>0</v>
      </c>
      <c r="L328" s="3">
        <v>233639</v>
      </c>
      <c r="M328" s="6">
        <f t="shared" si="10"/>
        <v>13</v>
      </c>
      <c r="N328">
        <v>13</v>
      </c>
      <c r="O328" t="str">
        <f t="shared" si="11"/>
        <v>Desconocido</v>
      </c>
      <c r="Q328" t="s">
        <v>905</v>
      </c>
    </row>
    <row r="329" spans="1:17" x14ac:dyDescent="0.25">
      <c r="A329">
        <v>865</v>
      </c>
      <c r="B329">
        <v>0</v>
      </c>
      <c r="C329">
        <v>2</v>
      </c>
      <c r="D329" t="s">
        <v>2164</v>
      </c>
      <c r="E329" t="s">
        <v>902</v>
      </c>
      <c r="F329">
        <f>ROUNDUP(Titanic_DATASET[[#This Row],[Age Correción 2]],0)</f>
        <v>24</v>
      </c>
      <c r="G329" s="4">
        <f>VALUE(SUBSTITUTE(Titanic_DATASET[[#This Row],[Age Correción.]],".",","))</f>
        <v>24</v>
      </c>
      <c r="H329" s="5">
        <v>24</v>
      </c>
      <c r="I329">
        <v>24</v>
      </c>
      <c r="J329">
        <v>0</v>
      </c>
      <c r="K329">
        <v>0</v>
      </c>
      <c r="L329" s="3">
        <v>233866</v>
      </c>
      <c r="M329" s="6">
        <f t="shared" si="10"/>
        <v>13</v>
      </c>
      <c r="N329">
        <v>13</v>
      </c>
      <c r="O329" t="str">
        <f t="shared" si="11"/>
        <v>Desconocido</v>
      </c>
      <c r="Q329" t="s">
        <v>905</v>
      </c>
    </row>
    <row r="330" spans="1:17" x14ac:dyDescent="0.25">
      <c r="A330">
        <v>464</v>
      </c>
      <c r="B330">
        <v>0</v>
      </c>
      <c r="C330">
        <v>2</v>
      </c>
      <c r="D330" t="s">
        <v>1630</v>
      </c>
      <c r="E330" t="s">
        <v>902</v>
      </c>
      <c r="F330">
        <f>ROUNDUP(Titanic_DATASET[[#This Row],[Age Correción 2]],0)</f>
        <v>48</v>
      </c>
      <c r="G330" s="4">
        <f>VALUE(SUBSTITUTE(Titanic_DATASET[[#This Row],[Age Correción.]],".",","))</f>
        <v>48</v>
      </c>
      <c r="H330" s="5">
        <v>48</v>
      </c>
      <c r="I330">
        <v>48</v>
      </c>
      <c r="J330">
        <v>0</v>
      </c>
      <c r="K330">
        <v>0</v>
      </c>
      <c r="L330" s="3">
        <v>234360</v>
      </c>
      <c r="M330" s="6">
        <f t="shared" si="10"/>
        <v>13</v>
      </c>
      <c r="N330">
        <v>13</v>
      </c>
      <c r="O330" t="str">
        <f t="shared" si="11"/>
        <v>Desconocido</v>
      </c>
      <c r="Q330" t="s">
        <v>905</v>
      </c>
    </row>
    <row r="331" spans="1:17" x14ac:dyDescent="0.25">
      <c r="A331">
        <v>191</v>
      </c>
      <c r="B331">
        <v>1</v>
      </c>
      <c r="C331">
        <v>2</v>
      </c>
      <c r="D331" t="s">
        <v>1222</v>
      </c>
      <c r="E331" t="s">
        <v>907</v>
      </c>
      <c r="F331">
        <f>ROUNDUP(Titanic_DATASET[[#This Row],[Age Correción 2]],0)</f>
        <v>32</v>
      </c>
      <c r="G331" s="4">
        <f>VALUE(SUBSTITUTE(Titanic_DATASET[[#This Row],[Age Correción.]],".",","))</f>
        <v>32</v>
      </c>
      <c r="H331" s="5">
        <v>32</v>
      </c>
      <c r="I331">
        <v>32</v>
      </c>
      <c r="J331">
        <v>0</v>
      </c>
      <c r="K331">
        <v>0</v>
      </c>
      <c r="L331" s="3">
        <v>234604</v>
      </c>
      <c r="M331" s="6">
        <f t="shared" si="10"/>
        <v>13</v>
      </c>
      <c r="N331">
        <v>13</v>
      </c>
      <c r="O331" t="str">
        <f t="shared" si="11"/>
        <v>Desconocido</v>
      </c>
      <c r="Q331" t="s">
        <v>905</v>
      </c>
    </row>
    <row r="332" spans="1:17" x14ac:dyDescent="0.25">
      <c r="A332">
        <v>667</v>
      </c>
      <c r="B332">
        <v>0</v>
      </c>
      <c r="C332">
        <v>2</v>
      </c>
      <c r="D332" t="s">
        <v>1906</v>
      </c>
      <c r="E332" t="s">
        <v>902</v>
      </c>
      <c r="F332">
        <f>ROUNDUP(Titanic_DATASET[[#This Row],[Age Correción 2]],0)</f>
        <v>25</v>
      </c>
      <c r="G332" s="4">
        <f>VALUE(SUBSTITUTE(Titanic_DATASET[[#This Row],[Age Correción.]],".",","))</f>
        <v>25</v>
      </c>
      <c r="H332" s="5">
        <v>25</v>
      </c>
      <c r="I332">
        <v>25</v>
      </c>
      <c r="J332">
        <v>0</v>
      </c>
      <c r="K332">
        <v>0</v>
      </c>
      <c r="L332" s="3">
        <v>234686</v>
      </c>
      <c r="M332" s="6">
        <f t="shared" si="10"/>
        <v>13</v>
      </c>
      <c r="N332">
        <v>13</v>
      </c>
      <c r="O332" t="str">
        <f t="shared" si="11"/>
        <v>Desconocido</v>
      </c>
      <c r="Q332" t="s">
        <v>905</v>
      </c>
    </row>
    <row r="333" spans="1:17" x14ac:dyDescent="0.25">
      <c r="A333">
        <v>323</v>
      </c>
      <c r="B333">
        <v>1</v>
      </c>
      <c r="C333">
        <v>2</v>
      </c>
      <c r="D333" t="s">
        <v>1437</v>
      </c>
      <c r="E333" t="s">
        <v>907</v>
      </c>
      <c r="F333">
        <f>ROUNDUP(Titanic_DATASET[[#This Row],[Age Correción 2]],0)</f>
        <v>30</v>
      </c>
      <c r="G333" s="4">
        <f>VALUE(SUBSTITUTE(Titanic_DATASET[[#This Row],[Age Correción.]],".",","))</f>
        <v>30</v>
      </c>
      <c r="H333" s="5">
        <v>30</v>
      </c>
      <c r="I333">
        <v>30</v>
      </c>
      <c r="J333">
        <v>0</v>
      </c>
      <c r="K333">
        <v>0</v>
      </c>
      <c r="L333" s="3">
        <v>234818</v>
      </c>
      <c r="M333" s="6">
        <f t="shared" si="10"/>
        <v>12.35</v>
      </c>
      <c r="N333" t="s">
        <v>1402</v>
      </c>
      <c r="O333" t="str">
        <f t="shared" si="11"/>
        <v>Desconocido</v>
      </c>
      <c r="Q333" t="s">
        <v>919</v>
      </c>
    </row>
    <row r="334" spans="1:17" x14ac:dyDescent="0.25">
      <c r="A334">
        <v>229</v>
      </c>
      <c r="B334">
        <v>0</v>
      </c>
      <c r="C334">
        <v>2</v>
      </c>
      <c r="D334" t="s">
        <v>1280</v>
      </c>
      <c r="E334" t="s">
        <v>902</v>
      </c>
      <c r="F334">
        <f>ROUNDUP(Titanic_DATASET[[#This Row],[Age Correción 2]],0)</f>
        <v>18</v>
      </c>
      <c r="G334" s="4">
        <f>VALUE(SUBSTITUTE(Titanic_DATASET[[#This Row],[Age Correción.]],".",","))</f>
        <v>18</v>
      </c>
      <c r="H334" s="5">
        <v>18</v>
      </c>
      <c r="I334">
        <v>18</v>
      </c>
      <c r="J334">
        <v>0</v>
      </c>
      <c r="K334">
        <v>0</v>
      </c>
      <c r="L334" s="3">
        <v>236171</v>
      </c>
      <c r="M334" s="6">
        <f t="shared" si="10"/>
        <v>13</v>
      </c>
      <c r="N334">
        <v>13</v>
      </c>
      <c r="O334" t="str">
        <f t="shared" si="11"/>
        <v>Desconocido</v>
      </c>
      <c r="Q334" t="s">
        <v>905</v>
      </c>
    </row>
    <row r="335" spans="1:17" x14ac:dyDescent="0.25">
      <c r="A335">
        <v>866</v>
      </c>
      <c r="B335">
        <v>1</v>
      </c>
      <c r="C335">
        <v>2</v>
      </c>
      <c r="D335" t="s">
        <v>2165</v>
      </c>
      <c r="E335" t="s">
        <v>907</v>
      </c>
      <c r="F335">
        <f>ROUNDUP(Titanic_DATASET[[#This Row],[Age Correción 2]],0)</f>
        <v>42</v>
      </c>
      <c r="G335" s="4">
        <f>VALUE(SUBSTITUTE(Titanic_DATASET[[#This Row],[Age Correción.]],".",","))</f>
        <v>42</v>
      </c>
      <c r="H335" s="5">
        <v>42</v>
      </c>
      <c r="I335">
        <v>42</v>
      </c>
      <c r="J335">
        <v>0</v>
      </c>
      <c r="K335">
        <v>0</v>
      </c>
      <c r="L335" s="3">
        <v>236852</v>
      </c>
      <c r="M335" s="6">
        <f t="shared" si="10"/>
        <v>13</v>
      </c>
      <c r="N335">
        <v>13</v>
      </c>
      <c r="O335" t="str">
        <f t="shared" si="11"/>
        <v>Desconocido</v>
      </c>
      <c r="Q335" t="s">
        <v>905</v>
      </c>
    </row>
    <row r="336" spans="1:17" x14ac:dyDescent="0.25">
      <c r="A336">
        <v>729</v>
      </c>
      <c r="B336">
        <v>0</v>
      </c>
      <c r="C336">
        <v>2</v>
      </c>
      <c r="D336" t="s">
        <v>1987</v>
      </c>
      <c r="E336" t="s">
        <v>902</v>
      </c>
      <c r="F336">
        <f>ROUNDUP(Titanic_DATASET[[#This Row],[Age Correción 2]],0)</f>
        <v>25</v>
      </c>
      <c r="G336" s="4">
        <f>VALUE(SUBSTITUTE(Titanic_DATASET[[#This Row],[Age Correción.]],".",","))</f>
        <v>25</v>
      </c>
      <c r="H336" s="5">
        <v>25</v>
      </c>
      <c r="I336">
        <v>25</v>
      </c>
      <c r="J336">
        <v>1</v>
      </c>
      <c r="K336">
        <v>0</v>
      </c>
      <c r="L336" s="3">
        <v>236853</v>
      </c>
      <c r="M336" s="6">
        <f t="shared" si="10"/>
        <v>26</v>
      </c>
      <c r="N336">
        <v>26</v>
      </c>
      <c r="O336" t="str">
        <f t="shared" si="11"/>
        <v>Desconocido</v>
      </c>
      <c r="Q336" t="s">
        <v>905</v>
      </c>
    </row>
    <row r="337" spans="1:17" x14ac:dyDescent="0.25">
      <c r="A337">
        <v>233</v>
      </c>
      <c r="B337">
        <v>0</v>
      </c>
      <c r="C337">
        <v>2</v>
      </c>
      <c r="D337" t="s">
        <v>1284</v>
      </c>
      <c r="E337" t="s">
        <v>902</v>
      </c>
      <c r="F337">
        <f>ROUNDUP(Titanic_DATASET[[#This Row],[Age Correción 2]],0)</f>
        <v>59</v>
      </c>
      <c r="G337" s="4">
        <f>VALUE(SUBSTITUTE(Titanic_DATASET[[#This Row],[Age Correción.]],".",","))</f>
        <v>59</v>
      </c>
      <c r="H337" s="5">
        <v>59</v>
      </c>
      <c r="I337">
        <v>59</v>
      </c>
      <c r="J337">
        <v>0</v>
      </c>
      <c r="K337">
        <v>0</v>
      </c>
      <c r="L337" s="3">
        <v>237442</v>
      </c>
      <c r="M337" s="6">
        <f t="shared" si="10"/>
        <v>13.5</v>
      </c>
      <c r="N337" t="s">
        <v>1285</v>
      </c>
      <c r="O337" t="str">
        <f t="shared" si="11"/>
        <v>Desconocido</v>
      </c>
      <c r="Q337" t="s">
        <v>905</v>
      </c>
    </row>
    <row r="338" spans="1:17" x14ac:dyDescent="0.25">
      <c r="A338">
        <v>587</v>
      </c>
      <c r="B338">
        <v>0</v>
      </c>
      <c r="C338">
        <v>2</v>
      </c>
      <c r="D338" t="s">
        <v>1805</v>
      </c>
      <c r="E338" t="s">
        <v>902</v>
      </c>
      <c r="F338">
        <f>ROUNDUP(Titanic_DATASET[[#This Row],[Age Correción 2]],0)</f>
        <v>47</v>
      </c>
      <c r="G338" s="4">
        <f>VALUE(SUBSTITUTE(Titanic_DATASET[[#This Row],[Age Correción.]],".",","))</f>
        <v>47</v>
      </c>
      <c r="H338" s="5">
        <v>47</v>
      </c>
      <c r="I338">
        <v>47</v>
      </c>
      <c r="J338">
        <v>0</v>
      </c>
      <c r="K338">
        <v>0</v>
      </c>
      <c r="L338" s="3">
        <v>237565</v>
      </c>
      <c r="M338" s="6">
        <f t="shared" si="10"/>
        <v>15</v>
      </c>
      <c r="N338">
        <v>15</v>
      </c>
      <c r="O338" t="str">
        <f t="shared" si="11"/>
        <v>Desconocido</v>
      </c>
      <c r="Q338" t="s">
        <v>905</v>
      </c>
    </row>
    <row r="339" spans="1:17" x14ac:dyDescent="0.25">
      <c r="A339">
        <v>636</v>
      </c>
      <c r="B339">
        <v>1</v>
      </c>
      <c r="C339">
        <v>2</v>
      </c>
      <c r="D339" t="s">
        <v>1868</v>
      </c>
      <c r="E339" t="s">
        <v>907</v>
      </c>
      <c r="F339">
        <f>ROUNDUP(Titanic_DATASET[[#This Row],[Age Correción 2]],0)</f>
        <v>28</v>
      </c>
      <c r="G339" s="4">
        <f>VALUE(SUBSTITUTE(Titanic_DATASET[[#This Row],[Age Correción.]],".",","))</f>
        <v>28</v>
      </c>
      <c r="H339" s="5">
        <v>28</v>
      </c>
      <c r="I339">
        <v>28</v>
      </c>
      <c r="J339">
        <v>0</v>
      </c>
      <c r="K339">
        <v>0</v>
      </c>
      <c r="L339" s="3">
        <v>237668</v>
      </c>
      <c r="M339" s="6">
        <f t="shared" si="10"/>
        <v>13</v>
      </c>
      <c r="N339">
        <v>13</v>
      </c>
      <c r="O339" t="str">
        <f t="shared" si="11"/>
        <v>Desconocido</v>
      </c>
      <c r="Q339" t="s">
        <v>905</v>
      </c>
    </row>
    <row r="340" spans="1:17" x14ac:dyDescent="0.25">
      <c r="A340">
        <v>358</v>
      </c>
      <c r="B340">
        <v>0</v>
      </c>
      <c r="C340">
        <v>2</v>
      </c>
      <c r="D340" t="s">
        <v>1483</v>
      </c>
      <c r="E340" t="s">
        <v>907</v>
      </c>
      <c r="F340">
        <f>ROUNDUP(Titanic_DATASET[[#This Row],[Age Correción 2]],0)</f>
        <v>38</v>
      </c>
      <c r="G340" s="4">
        <f>VALUE(SUBSTITUTE(Titanic_DATASET[[#This Row],[Age Correción.]],".",","))</f>
        <v>38</v>
      </c>
      <c r="H340" s="5">
        <v>38</v>
      </c>
      <c r="I340">
        <v>38</v>
      </c>
      <c r="J340">
        <v>0</v>
      </c>
      <c r="K340">
        <v>0</v>
      </c>
      <c r="L340" s="3">
        <v>237671</v>
      </c>
      <c r="M340" s="6">
        <f t="shared" si="10"/>
        <v>13</v>
      </c>
      <c r="N340">
        <v>13</v>
      </c>
      <c r="O340" t="str">
        <f t="shared" si="11"/>
        <v>Desconocido</v>
      </c>
      <c r="Q340" t="s">
        <v>905</v>
      </c>
    </row>
    <row r="341" spans="1:17" x14ac:dyDescent="0.25">
      <c r="A341">
        <v>10</v>
      </c>
      <c r="B341">
        <v>1</v>
      </c>
      <c r="C341">
        <v>2</v>
      </c>
      <c r="D341" t="s">
        <v>924</v>
      </c>
      <c r="E341" t="s">
        <v>907</v>
      </c>
      <c r="F341">
        <f>ROUNDUP(Titanic_DATASET[[#This Row],[Age Correción 2]],0)</f>
        <v>14</v>
      </c>
      <c r="G341" s="4">
        <f>VALUE(SUBSTITUTE(Titanic_DATASET[[#This Row],[Age Correción.]],".",","))</f>
        <v>14</v>
      </c>
      <c r="H341" s="5">
        <v>14</v>
      </c>
      <c r="I341">
        <v>14</v>
      </c>
      <c r="J341">
        <v>1</v>
      </c>
      <c r="K341">
        <v>0</v>
      </c>
      <c r="L341" s="3">
        <v>237736</v>
      </c>
      <c r="M341" s="6">
        <f t="shared" si="10"/>
        <v>300708</v>
      </c>
      <c r="N341" s="1">
        <v>300708</v>
      </c>
      <c r="O341" s="1" t="str">
        <f t="shared" si="11"/>
        <v>Desconocido</v>
      </c>
      <c r="Q341" t="s">
        <v>910</v>
      </c>
    </row>
    <row r="342" spans="1:17" x14ac:dyDescent="0.25">
      <c r="A342">
        <v>123</v>
      </c>
      <c r="B342">
        <v>0</v>
      </c>
      <c r="C342">
        <v>2</v>
      </c>
      <c r="D342" t="s">
        <v>1106</v>
      </c>
      <c r="E342" t="s">
        <v>902</v>
      </c>
      <c r="F342">
        <f>ROUNDUP(Titanic_DATASET[[#This Row],[Age Correción 2]],0)</f>
        <v>33</v>
      </c>
      <c r="G342" s="4">
        <f>VALUE(SUBSTITUTE(Titanic_DATASET[[#This Row],[Age Correción.]],".",","))</f>
        <v>32.5</v>
      </c>
      <c r="H342" s="5" t="s">
        <v>1107</v>
      </c>
      <c r="I342" t="s">
        <v>1107</v>
      </c>
      <c r="J342">
        <v>1</v>
      </c>
      <c r="K342">
        <v>0</v>
      </c>
      <c r="L342" s="3">
        <v>237736</v>
      </c>
      <c r="M342" s="6">
        <f t="shared" si="10"/>
        <v>300708</v>
      </c>
      <c r="N342" s="1">
        <v>300708</v>
      </c>
      <c r="O342" s="1" t="str">
        <f t="shared" si="11"/>
        <v>Desconocido</v>
      </c>
      <c r="Q342" t="s">
        <v>910</v>
      </c>
    </row>
    <row r="343" spans="1:17" x14ac:dyDescent="0.25">
      <c r="A343">
        <v>581</v>
      </c>
      <c r="B343">
        <v>1</v>
      </c>
      <c r="C343">
        <v>2</v>
      </c>
      <c r="D343" t="s">
        <v>1796</v>
      </c>
      <c r="E343" t="s">
        <v>907</v>
      </c>
      <c r="F343">
        <f>ROUNDUP(Titanic_DATASET[[#This Row],[Age Correción 2]],0)</f>
        <v>25</v>
      </c>
      <c r="G343" s="4">
        <f>VALUE(SUBSTITUTE(Titanic_DATASET[[#This Row],[Age Correción.]],".",","))</f>
        <v>25</v>
      </c>
      <c r="H343" s="5">
        <v>25</v>
      </c>
      <c r="I343">
        <v>25</v>
      </c>
      <c r="J343">
        <v>1</v>
      </c>
      <c r="K343">
        <v>1</v>
      </c>
      <c r="L343" s="3">
        <v>237789</v>
      </c>
      <c r="M343" s="6">
        <f t="shared" si="10"/>
        <v>30</v>
      </c>
      <c r="N343">
        <v>30</v>
      </c>
      <c r="O343" t="str">
        <f t="shared" si="11"/>
        <v>Desconocido</v>
      </c>
      <c r="Q343" t="s">
        <v>905</v>
      </c>
    </row>
    <row r="344" spans="1:17" x14ac:dyDescent="0.25">
      <c r="A344">
        <v>289</v>
      </c>
      <c r="B344">
        <v>1</v>
      </c>
      <c r="C344">
        <v>2</v>
      </c>
      <c r="D344" t="s">
        <v>1374</v>
      </c>
      <c r="E344" t="s">
        <v>902</v>
      </c>
      <c r="F344">
        <f>ROUNDUP(Titanic_DATASET[[#This Row],[Age Correción 2]],0)</f>
        <v>42</v>
      </c>
      <c r="G344" s="4">
        <f>VALUE(SUBSTITUTE(Titanic_DATASET[[#This Row],[Age Correción.]],".",","))</f>
        <v>42</v>
      </c>
      <c r="H344" s="5">
        <v>42</v>
      </c>
      <c r="I344">
        <v>42</v>
      </c>
      <c r="J344">
        <v>0</v>
      </c>
      <c r="K344">
        <v>0</v>
      </c>
      <c r="L344" s="3">
        <v>237798</v>
      </c>
      <c r="M344" s="6">
        <f t="shared" si="10"/>
        <v>13</v>
      </c>
      <c r="N344">
        <v>13</v>
      </c>
      <c r="O344" t="str">
        <f t="shared" si="11"/>
        <v>Desconocido</v>
      </c>
      <c r="Q344" t="s">
        <v>905</v>
      </c>
    </row>
    <row r="345" spans="1:17" x14ac:dyDescent="0.25">
      <c r="A345">
        <v>278</v>
      </c>
      <c r="B345">
        <v>0</v>
      </c>
      <c r="C345">
        <v>2</v>
      </c>
      <c r="D345" t="s">
        <v>1359</v>
      </c>
      <c r="E345" t="s">
        <v>902</v>
      </c>
      <c r="F345">
        <f>ROUNDUP(Titanic_DATASET[[#This Row],[Age Correción 2]],0)</f>
        <v>33</v>
      </c>
      <c r="G345" s="4">
        <f>VALUE(SUBSTITUTE(Titanic_DATASET[[#This Row],[Age Correción.]],".",","))</f>
        <v>33</v>
      </c>
      <c r="H345" s="5">
        <v>33</v>
      </c>
      <c r="J345">
        <v>0</v>
      </c>
      <c r="K345">
        <v>0</v>
      </c>
      <c r="L345" s="3">
        <v>239853</v>
      </c>
      <c r="M345" s="6">
        <f t="shared" si="10"/>
        <v>0</v>
      </c>
      <c r="N345">
        <v>0</v>
      </c>
      <c r="O345" t="str">
        <f t="shared" si="11"/>
        <v>Desconocido</v>
      </c>
      <c r="Q345" t="s">
        <v>905</v>
      </c>
    </row>
    <row r="346" spans="1:17" x14ac:dyDescent="0.25">
      <c r="A346">
        <v>414</v>
      </c>
      <c r="B346">
        <v>0</v>
      </c>
      <c r="C346">
        <v>2</v>
      </c>
      <c r="D346" t="s">
        <v>1558</v>
      </c>
      <c r="E346" t="s">
        <v>902</v>
      </c>
      <c r="F346">
        <f>ROUNDUP(Titanic_DATASET[[#This Row],[Age Correción 2]],0)</f>
        <v>15</v>
      </c>
      <c r="G346" s="4">
        <f>VALUE(SUBSTITUTE(Titanic_DATASET[[#This Row],[Age Correción.]],".",","))</f>
        <v>15</v>
      </c>
      <c r="H346" s="5">
        <v>15</v>
      </c>
      <c r="J346">
        <v>0</v>
      </c>
      <c r="K346">
        <v>0</v>
      </c>
      <c r="L346" s="3">
        <v>239853</v>
      </c>
      <c r="M346" s="6">
        <f t="shared" si="10"/>
        <v>0</v>
      </c>
      <c r="N346">
        <v>0</v>
      </c>
      <c r="O346" t="str">
        <f t="shared" si="11"/>
        <v>Desconocido</v>
      </c>
      <c r="Q346" t="s">
        <v>905</v>
      </c>
    </row>
    <row r="347" spans="1:17" x14ac:dyDescent="0.25">
      <c r="A347">
        <v>467</v>
      </c>
      <c r="B347">
        <v>0</v>
      </c>
      <c r="C347">
        <v>2</v>
      </c>
      <c r="D347" t="s">
        <v>1635</v>
      </c>
      <c r="E347" t="s">
        <v>902</v>
      </c>
      <c r="F347">
        <f>ROUNDUP(Titanic_DATASET[[#This Row],[Age Correción 2]],0)</f>
        <v>29</v>
      </c>
      <c r="G347" s="4">
        <f>VALUE(SUBSTITUTE(Titanic_DATASET[[#This Row],[Age Correción.]],".",","))</f>
        <v>29</v>
      </c>
      <c r="H347" s="5">
        <v>29</v>
      </c>
      <c r="J347">
        <v>0</v>
      </c>
      <c r="K347">
        <v>0</v>
      </c>
      <c r="L347" s="3">
        <v>239853</v>
      </c>
      <c r="M347" s="6">
        <f t="shared" si="10"/>
        <v>0</v>
      </c>
      <c r="N347">
        <v>0</v>
      </c>
      <c r="O347" t="str">
        <f t="shared" si="11"/>
        <v>Desconocido</v>
      </c>
      <c r="Q347" t="s">
        <v>905</v>
      </c>
    </row>
    <row r="348" spans="1:17" x14ac:dyDescent="0.25">
      <c r="A348">
        <v>482</v>
      </c>
      <c r="B348">
        <v>0</v>
      </c>
      <c r="C348">
        <v>2</v>
      </c>
      <c r="D348" t="s">
        <v>1653</v>
      </c>
      <c r="E348" t="s">
        <v>902</v>
      </c>
      <c r="F348">
        <f>ROUNDUP(Titanic_DATASET[[#This Row],[Age Correción 2]],0)</f>
        <v>71</v>
      </c>
      <c r="G348" s="4">
        <f>VALUE(SUBSTITUTE(Titanic_DATASET[[#This Row],[Age Correción.]],".",","))</f>
        <v>71</v>
      </c>
      <c r="H348" s="5">
        <v>71</v>
      </c>
      <c r="J348">
        <v>0</v>
      </c>
      <c r="K348">
        <v>0</v>
      </c>
      <c r="L348" s="3">
        <v>239854</v>
      </c>
      <c r="M348" s="6">
        <f t="shared" si="10"/>
        <v>0</v>
      </c>
      <c r="N348">
        <v>0</v>
      </c>
      <c r="O348" t="str">
        <f t="shared" si="11"/>
        <v>Desconocido</v>
      </c>
      <c r="Q348" t="s">
        <v>905</v>
      </c>
    </row>
    <row r="349" spans="1:17" x14ac:dyDescent="0.25">
      <c r="A349">
        <v>733</v>
      </c>
      <c r="B349">
        <v>0</v>
      </c>
      <c r="C349">
        <v>2</v>
      </c>
      <c r="D349" t="s">
        <v>1992</v>
      </c>
      <c r="E349" t="s">
        <v>902</v>
      </c>
      <c r="F349">
        <f>ROUNDUP(Titanic_DATASET[[#This Row],[Age Correción 2]],0)</f>
        <v>5</v>
      </c>
      <c r="G349" s="4">
        <f>VALUE(SUBSTITUTE(Titanic_DATASET[[#This Row],[Age Correción.]],".",","))</f>
        <v>5</v>
      </c>
      <c r="H349" s="5">
        <v>5</v>
      </c>
      <c r="J349">
        <v>0</v>
      </c>
      <c r="K349">
        <v>0</v>
      </c>
      <c r="L349" s="3">
        <v>239855</v>
      </c>
      <c r="M349" s="6">
        <f t="shared" si="10"/>
        <v>0</v>
      </c>
      <c r="N349">
        <v>0</v>
      </c>
      <c r="O349" t="str">
        <f t="shared" si="11"/>
        <v>Desconocido</v>
      </c>
      <c r="Q349" t="s">
        <v>905</v>
      </c>
    </row>
    <row r="350" spans="1:17" x14ac:dyDescent="0.25">
      <c r="A350">
        <v>675</v>
      </c>
      <c r="B350">
        <v>0</v>
      </c>
      <c r="C350">
        <v>2</v>
      </c>
      <c r="D350" t="s">
        <v>1919</v>
      </c>
      <c r="E350" t="s">
        <v>902</v>
      </c>
      <c r="F350">
        <f>ROUNDUP(Titanic_DATASET[[#This Row],[Age Correción 2]],0)</f>
        <v>56</v>
      </c>
      <c r="G350" s="4">
        <f>VALUE(SUBSTITUTE(Titanic_DATASET[[#This Row],[Age Correción.]],".",","))</f>
        <v>56</v>
      </c>
      <c r="H350" s="5">
        <v>56</v>
      </c>
      <c r="J350">
        <v>0</v>
      </c>
      <c r="K350">
        <v>0</v>
      </c>
      <c r="L350" s="3">
        <v>239856</v>
      </c>
      <c r="M350" s="6">
        <f t="shared" si="10"/>
        <v>0</v>
      </c>
      <c r="N350">
        <v>0</v>
      </c>
      <c r="O350" t="str">
        <f t="shared" si="11"/>
        <v>Desconocido</v>
      </c>
      <c r="Q350" t="s">
        <v>905</v>
      </c>
    </row>
    <row r="351" spans="1:17" x14ac:dyDescent="0.25">
      <c r="A351">
        <v>21</v>
      </c>
      <c r="B351">
        <v>0</v>
      </c>
      <c r="C351">
        <v>2</v>
      </c>
      <c r="D351" t="s">
        <v>941</v>
      </c>
      <c r="E351" t="s">
        <v>902</v>
      </c>
      <c r="F351">
        <f>ROUNDUP(Titanic_DATASET[[#This Row],[Age Correción 2]],0)</f>
        <v>35</v>
      </c>
      <c r="G351" s="4">
        <f>VALUE(SUBSTITUTE(Titanic_DATASET[[#This Row],[Age Correción.]],".",","))</f>
        <v>35</v>
      </c>
      <c r="H351" s="5">
        <v>35</v>
      </c>
      <c r="I351">
        <v>35</v>
      </c>
      <c r="J351">
        <v>0</v>
      </c>
      <c r="K351">
        <v>0</v>
      </c>
      <c r="L351" s="3">
        <v>239865</v>
      </c>
      <c r="M351" s="6">
        <f t="shared" si="10"/>
        <v>26</v>
      </c>
      <c r="N351">
        <v>26</v>
      </c>
      <c r="O351" t="str">
        <f t="shared" si="11"/>
        <v>Desconocido</v>
      </c>
      <c r="Q351" t="s">
        <v>905</v>
      </c>
    </row>
    <row r="352" spans="1:17" x14ac:dyDescent="0.25">
      <c r="A352">
        <v>792</v>
      </c>
      <c r="B352">
        <v>0</v>
      </c>
      <c r="C352">
        <v>2</v>
      </c>
      <c r="D352" t="s">
        <v>2069</v>
      </c>
      <c r="E352" t="s">
        <v>902</v>
      </c>
      <c r="F352">
        <f>ROUNDUP(Titanic_DATASET[[#This Row],[Age Correción 2]],0)</f>
        <v>16</v>
      </c>
      <c r="G352" s="4">
        <f>VALUE(SUBSTITUTE(Titanic_DATASET[[#This Row],[Age Correción.]],".",","))</f>
        <v>16</v>
      </c>
      <c r="H352" s="5">
        <v>16</v>
      </c>
      <c r="I352">
        <v>16</v>
      </c>
      <c r="J352">
        <v>0</v>
      </c>
      <c r="K352">
        <v>0</v>
      </c>
      <c r="L352" s="3">
        <v>239865</v>
      </c>
      <c r="M352" s="6">
        <f t="shared" si="10"/>
        <v>26</v>
      </c>
      <c r="N352">
        <v>26</v>
      </c>
      <c r="O352" t="str">
        <f t="shared" si="11"/>
        <v>Desconocido</v>
      </c>
      <c r="Q352" t="s">
        <v>905</v>
      </c>
    </row>
    <row r="353" spans="1:17" x14ac:dyDescent="0.25">
      <c r="A353">
        <v>400</v>
      </c>
      <c r="B353">
        <v>1</v>
      </c>
      <c r="C353">
        <v>2</v>
      </c>
      <c r="D353" t="s">
        <v>1541</v>
      </c>
      <c r="E353" t="s">
        <v>907</v>
      </c>
      <c r="F353">
        <f>ROUNDUP(Titanic_DATASET[[#This Row],[Age Correción 2]],0)</f>
        <v>28</v>
      </c>
      <c r="G353" s="4">
        <f>VALUE(SUBSTITUTE(Titanic_DATASET[[#This Row],[Age Correción.]],".",","))</f>
        <v>28</v>
      </c>
      <c r="H353" s="5">
        <v>28</v>
      </c>
      <c r="I353">
        <v>28</v>
      </c>
      <c r="J353">
        <v>0</v>
      </c>
      <c r="K353">
        <v>0</v>
      </c>
      <c r="L353" s="3">
        <v>240929</v>
      </c>
      <c r="M353" s="6">
        <f t="shared" si="10"/>
        <v>12.65</v>
      </c>
      <c r="N353" t="s">
        <v>1542</v>
      </c>
      <c r="O353" t="str">
        <f t="shared" si="11"/>
        <v>Desconocido</v>
      </c>
      <c r="Q353" t="s">
        <v>905</v>
      </c>
    </row>
    <row r="354" spans="1:17" x14ac:dyDescent="0.25">
      <c r="A354">
        <v>218</v>
      </c>
      <c r="B354">
        <v>0</v>
      </c>
      <c r="C354">
        <v>2</v>
      </c>
      <c r="D354" t="s">
        <v>1260</v>
      </c>
      <c r="E354" t="s">
        <v>902</v>
      </c>
      <c r="F354">
        <f>ROUNDUP(Titanic_DATASET[[#This Row],[Age Correción 2]],0)</f>
        <v>42</v>
      </c>
      <c r="G354" s="4">
        <f>VALUE(SUBSTITUTE(Titanic_DATASET[[#This Row],[Age Correción.]],".",","))</f>
        <v>42</v>
      </c>
      <c r="H354" s="5">
        <v>42</v>
      </c>
      <c r="I354">
        <v>42</v>
      </c>
      <c r="J354">
        <v>1</v>
      </c>
      <c r="K354">
        <v>0</v>
      </c>
      <c r="L354" s="3">
        <v>243847</v>
      </c>
      <c r="M354" s="6">
        <f t="shared" si="10"/>
        <v>27</v>
      </c>
      <c r="N354">
        <v>27</v>
      </c>
      <c r="O354" t="str">
        <f t="shared" si="11"/>
        <v>Desconocido</v>
      </c>
      <c r="Q354" t="s">
        <v>905</v>
      </c>
    </row>
    <row r="355" spans="1:17" x14ac:dyDescent="0.25">
      <c r="A355">
        <v>601</v>
      </c>
      <c r="B355">
        <v>1</v>
      </c>
      <c r="C355">
        <v>2</v>
      </c>
      <c r="D355" t="s">
        <v>1825</v>
      </c>
      <c r="E355" t="s">
        <v>907</v>
      </c>
      <c r="F355">
        <f>ROUNDUP(Titanic_DATASET[[#This Row],[Age Correción 2]],0)</f>
        <v>24</v>
      </c>
      <c r="G355" s="4">
        <f>VALUE(SUBSTITUTE(Titanic_DATASET[[#This Row],[Age Correción.]],".",","))</f>
        <v>24</v>
      </c>
      <c r="H355" s="5">
        <v>24</v>
      </c>
      <c r="I355">
        <v>24</v>
      </c>
      <c r="J355">
        <v>2</v>
      </c>
      <c r="K355">
        <v>1</v>
      </c>
      <c r="L355" s="3">
        <v>243847</v>
      </c>
      <c r="M355" s="6">
        <f t="shared" si="10"/>
        <v>27</v>
      </c>
      <c r="N355">
        <v>27</v>
      </c>
      <c r="O355" t="str">
        <f t="shared" si="11"/>
        <v>Desconocido</v>
      </c>
      <c r="Q355" t="s">
        <v>905</v>
      </c>
    </row>
    <row r="356" spans="1:17" x14ac:dyDescent="0.25">
      <c r="A356">
        <v>577</v>
      </c>
      <c r="B356">
        <v>1</v>
      </c>
      <c r="C356">
        <v>2</v>
      </c>
      <c r="D356" t="s">
        <v>1791</v>
      </c>
      <c r="E356" t="s">
        <v>907</v>
      </c>
      <c r="F356">
        <f>ROUNDUP(Titanic_DATASET[[#This Row],[Age Correción 2]],0)</f>
        <v>34</v>
      </c>
      <c r="G356" s="4">
        <f>VALUE(SUBSTITUTE(Titanic_DATASET[[#This Row],[Age Correción.]],".",","))</f>
        <v>34</v>
      </c>
      <c r="H356" s="5">
        <v>34</v>
      </c>
      <c r="I356">
        <v>34</v>
      </c>
      <c r="J356">
        <v>0</v>
      </c>
      <c r="K356">
        <v>0</v>
      </c>
      <c r="L356" s="3">
        <v>243880</v>
      </c>
      <c r="M356" s="6">
        <f t="shared" si="10"/>
        <v>13</v>
      </c>
      <c r="N356">
        <v>13</v>
      </c>
      <c r="O356" t="str">
        <f t="shared" si="11"/>
        <v>Desconocido</v>
      </c>
      <c r="Q356" t="s">
        <v>905</v>
      </c>
    </row>
    <row r="357" spans="1:17" x14ac:dyDescent="0.25">
      <c r="A357">
        <v>250</v>
      </c>
      <c r="B357">
        <v>0</v>
      </c>
      <c r="C357">
        <v>2</v>
      </c>
      <c r="D357" t="s">
        <v>1312</v>
      </c>
      <c r="E357" t="s">
        <v>902</v>
      </c>
      <c r="F357">
        <f>ROUNDUP(Titanic_DATASET[[#This Row],[Age Correción 2]],0)</f>
        <v>54</v>
      </c>
      <c r="G357" s="4">
        <f>VALUE(SUBSTITUTE(Titanic_DATASET[[#This Row],[Age Correción.]],".",","))</f>
        <v>54</v>
      </c>
      <c r="H357" s="5">
        <v>54</v>
      </c>
      <c r="I357">
        <v>54</v>
      </c>
      <c r="J357">
        <v>1</v>
      </c>
      <c r="K357">
        <v>0</v>
      </c>
      <c r="L357" s="3">
        <v>244252</v>
      </c>
      <c r="M357" s="6">
        <f t="shared" si="10"/>
        <v>26</v>
      </c>
      <c r="N357">
        <v>26</v>
      </c>
      <c r="O357" t="str">
        <f t="shared" si="11"/>
        <v>Desconocido</v>
      </c>
      <c r="Q357" t="s">
        <v>905</v>
      </c>
    </row>
    <row r="358" spans="1:17" x14ac:dyDescent="0.25">
      <c r="A358">
        <v>855</v>
      </c>
      <c r="B358">
        <v>0</v>
      </c>
      <c r="C358">
        <v>2</v>
      </c>
      <c r="D358" t="s">
        <v>2153</v>
      </c>
      <c r="E358" t="s">
        <v>907</v>
      </c>
      <c r="F358">
        <f>ROUNDUP(Titanic_DATASET[[#This Row],[Age Correción 2]],0)</f>
        <v>44</v>
      </c>
      <c r="G358" s="4">
        <f>VALUE(SUBSTITUTE(Titanic_DATASET[[#This Row],[Age Correción.]],".",","))</f>
        <v>44</v>
      </c>
      <c r="H358" s="5">
        <v>44</v>
      </c>
      <c r="I358">
        <v>44</v>
      </c>
      <c r="J358">
        <v>1</v>
      </c>
      <c r="K358">
        <v>0</v>
      </c>
      <c r="L358" s="3">
        <v>244252</v>
      </c>
      <c r="M358" s="6">
        <f t="shared" si="10"/>
        <v>26</v>
      </c>
      <c r="N358">
        <v>26</v>
      </c>
      <c r="O358" t="str">
        <f t="shared" si="11"/>
        <v>Desconocido</v>
      </c>
      <c r="Q358" t="s">
        <v>905</v>
      </c>
    </row>
    <row r="359" spans="1:17" x14ac:dyDescent="0.25">
      <c r="A359">
        <v>674</v>
      </c>
      <c r="B359">
        <v>1</v>
      </c>
      <c r="C359">
        <v>2</v>
      </c>
      <c r="D359" t="s">
        <v>1918</v>
      </c>
      <c r="E359" t="s">
        <v>902</v>
      </c>
      <c r="F359">
        <f>ROUNDUP(Titanic_DATASET[[#This Row],[Age Correción 2]],0)</f>
        <v>31</v>
      </c>
      <c r="G359" s="4">
        <f>VALUE(SUBSTITUTE(Titanic_DATASET[[#This Row],[Age Correción.]],".",","))</f>
        <v>31</v>
      </c>
      <c r="H359" s="5">
        <v>31</v>
      </c>
      <c r="I359">
        <v>31</v>
      </c>
      <c r="J359">
        <v>0</v>
      </c>
      <c r="K359">
        <v>0</v>
      </c>
      <c r="L359" s="3">
        <v>244270</v>
      </c>
      <c r="M359" s="6">
        <f t="shared" si="10"/>
        <v>13</v>
      </c>
      <c r="N359">
        <v>13</v>
      </c>
      <c r="O359" t="str">
        <f t="shared" si="11"/>
        <v>Desconocido</v>
      </c>
      <c r="Q359" t="s">
        <v>905</v>
      </c>
    </row>
    <row r="360" spans="1:17" x14ac:dyDescent="0.25">
      <c r="A360">
        <v>399</v>
      </c>
      <c r="B360">
        <v>0</v>
      </c>
      <c r="C360">
        <v>2</v>
      </c>
      <c r="D360" t="s">
        <v>1540</v>
      </c>
      <c r="E360" t="s">
        <v>902</v>
      </c>
      <c r="F360">
        <f>ROUNDUP(Titanic_DATASET[[#This Row],[Age Correción 2]],0)</f>
        <v>23</v>
      </c>
      <c r="G360" s="4">
        <f>VALUE(SUBSTITUTE(Titanic_DATASET[[#This Row],[Age Correción.]],".",","))</f>
        <v>23</v>
      </c>
      <c r="H360" s="5">
        <v>23</v>
      </c>
      <c r="I360">
        <v>23</v>
      </c>
      <c r="J360">
        <v>0</v>
      </c>
      <c r="K360">
        <v>0</v>
      </c>
      <c r="L360" s="3">
        <v>244278</v>
      </c>
      <c r="M360" s="6">
        <f t="shared" si="10"/>
        <v>10.5</v>
      </c>
      <c r="N360" t="s">
        <v>964</v>
      </c>
      <c r="O360" t="str">
        <f t="shared" si="11"/>
        <v>Desconocido</v>
      </c>
      <c r="Q360" t="s">
        <v>905</v>
      </c>
    </row>
    <row r="361" spans="1:17" x14ac:dyDescent="0.25">
      <c r="A361">
        <v>150</v>
      </c>
      <c r="B361">
        <v>0</v>
      </c>
      <c r="C361">
        <v>2</v>
      </c>
      <c r="D361" t="s">
        <v>1153</v>
      </c>
      <c r="E361" t="s">
        <v>902</v>
      </c>
      <c r="F361">
        <f>ROUNDUP(Titanic_DATASET[[#This Row],[Age Correción 2]],0)</f>
        <v>42</v>
      </c>
      <c r="G361" s="4">
        <f>VALUE(SUBSTITUTE(Titanic_DATASET[[#This Row],[Age Correción.]],".",","))</f>
        <v>42</v>
      </c>
      <c r="H361" s="5">
        <v>42</v>
      </c>
      <c r="I361">
        <v>42</v>
      </c>
      <c r="J361">
        <v>0</v>
      </c>
      <c r="K361">
        <v>0</v>
      </c>
      <c r="L361" s="3">
        <v>244310</v>
      </c>
      <c r="M361" s="6">
        <f t="shared" si="10"/>
        <v>13</v>
      </c>
      <c r="N361">
        <v>13</v>
      </c>
      <c r="O361" t="str">
        <f t="shared" si="11"/>
        <v>Desconocido</v>
      </c>
      <c r="Q361" t="s">
        <v>905</v>
      </c>
    </row>
    <row r="362" spans="1:17" x14ac:dyDescent="0.25">
      <c r="A362">
        <v>552</v>
      </c>
      <c r="B362">
        <v>0</v>
      </c>
      <c r="C362">
        <v>2</v>
      </c>
      <c r="D362" t="s">
        <v>1756</v>
      </c>
      <c r="E362" t="s">
        <v>902</v>
      </c>
      <c r="F362">
        <f>ROUNDUP(Titanic_DATASET[[#This Row],[Age Correción 2]],0)</f>
        <v>27</v>
      </c>
      <c r="G362" s="4">
        <f>VALUE(SUBSTITUTE(Titanic_DATASET[[#This Row],[Age Correción.]],".",","))</f>
        <v>27</v>
      </c>
      <c r="H362" s="5">
        <v>27</v>
      </c>
      <c r="I362">
        <v>27</v>
      </c>
      <c r="J362">
        <v>0</v>
      </c>
      <c r="K362">
        <v>0</v>
      </c>
      <c r="L362" s="3">
        <v>244358</v>
      </c>
      <c r="M362" s="6">
        <f t="shared" si="10"/>
        <v>26</v>
      </c>
      <c r="N362">
        <v>26</v>
      </c>
      <c r="O362" t="str">
        <f t="shared" si="11"/>
        <v>Desconocido</v>
      </c>
      <c r="Q362" t="s">
        <v>905</v>
      </c>
    </row>
    <row r="363" spans="1:17" x14ac:dyDescent="0.25">
      <c r="A363">
        <v>344</v>
      </c>
      <c r="B363">
        <v>0</v>
      </c>
      <c r="C363">
        <v>2</v>
      </c>
      <c r="D363" t="s">
        <v>1466</v>
      </c>
      <c r="E363" t="s">
        <v>902</v>
      </c>
      <c r="F363">
        <f>ROUNDUP(Titanic_DATASET[[#This Row],[Age Correción 2]],0)</f>
        <v>25</v>
      </c>
      <c r="G363" s="4">
        <f>VALUE(SUBSTITUTE(Titanic_DATASET[[#This Row],[Age Correción.]],".",","))</f>
        <v>25</v>
      </c>
      <c r="H363" s="5">
        <v>25</v>
      </c>
      <c r="I363">
        <v>25</v>
      </c>
      <c r="J363">
        <v>0</v>
      </c>
      <c r="K363">
        <v>0</v>
      </c>
      <c r="L363" s="3">
        <v>244361</v>
      </c>
      <c r="M363" s="6">
        <f t="shared" si="10"/>
        <v>13</v>
      </c>
      <c r="N363">
        <v>13</v>
      </c>
      <c r="O363" t="str">
        <f t="shared" si="11"/>
        <v>Desconocido</v>
      </c>
      <c r="Q363" t="s">
        <v>905</v>
      </c>
    </row>
    <row r="364" spans="1:17" x14ac:dyDescent="0.25">
      <c r="A364">
        <v>100</v>
      </c>
      <c r="B364">
        <v>0</v>
      </c>
      <c r="C364">
        <v>2</v>
      </c>
      <c r="D364" t="s">
        <v>1074</v>
      </c>
      <c r="E364" t="s">
        <v>902</v>
      </c>
      <c r="F364">
        <f>ROUNDUP(Titanic_DATASET[[#This Row],[Age Correción 2]],0)</f>
        <v>34</v>
      </c>
      <c r="G364" s="4">
        <f>VALUE(SUBSTITUTE(Titanic_DATASET[[#This Row],[Age Correción.]],".",","))</f>
        <v>34</v>
      </c>
      <c r="H364" s="5">
        <v>34</v>
      </c>
      <c r="I364">
        <v>34</v>
      </c>
      <c r="J364">
        <v>1</v>
      </c>
      <c r="K364">
        <v>0</v>
      </c>
      <c r="L364" s="3">
        <v>244367</v>
      </c>
      <c r="M364" s="6">
        <f t="shared" si="10"/>
        <v>26</v>
      </c>
      <c r="N364">
        <v>26</v>
      </c>
      <c r="O364" t="str">
        <f t="shared" si="11"/>
        <v>Desconocido</v>
      </c>
      <c r="Q364" t="s">
        <v>905</v>
      </c>
    </row>
    <row r="365" spans="1:17" x14ac:dyDescent="0.25">
      <c r="A365">
        <v>317</v>
      </c>
      <c r="B365">
        <v>1</v>
      </c>
      <c r="C365">
        <v>2</v>
      </c>
      <c r="D365" t="s">
        <v>1427</v>
      </c>
      <c r="E365" t="s">
        <v>907</v>
      </c>
      <c r="F365">
        <f>ROUNDUP(Titanic_DATASET[[#This Row],[Age Correción 2]],0)</f>
        <v>24</v>
      </c>
      <c r="G365" s="4">
        <f>VALUE(SUBSTITUTE(Titanic_DATASET[[#This Row],[Age Correción.]],".",","))</f>
        <v>24</v>
      </c>
      <c r="H365" s="5">
        <v>24</v>
      </c>
      <c r="I365">
        <v>24</v>
      </c>
      <c r="J365">
        <v>1</v>
      </c>
      <c r="K365">
        <v>0</v>
      </c>
      <c r="L365" s="3">
        <v>244367</v>
      </c>
      <c r="M365" s="6">
        <f t="shared" si="10"/>
        <v>26</v>
      </c>
      <c r="N365">
        <v>26</v>
      </c>
      <c r="O365" t="str">
        <f t="shared" si="11"/>
        <v>Desconocido</v>
      </c>
      <c r="Q365" t="s">
        <v>905</v>
      </c>
    </row>
    <row r="366" spans="1:17" x14ac:dyDescent="0.25">
      <c r="A366">
        <v>18</v>
      </c>
      <c r="B366">
        <v>1</v>
      </c>
      <c r="C366">
        <v>2</v>
      </c>
      <c r="D366" t="s">
        <v>938</v>
      </c>
      <c r="E366" t="s">
        <v>902</v>
      </c>
      <c r="F366">
        <f>ROUNDUP(Titanic_DATASET[[#This Row],[Age Correción 2]],0)</f>
        <v>79</v>
      </c>
      <c r="G366" s="4">
        <f>VALUE(SUBSTITUTE(Titanic_DATASET[[#This Row],[Age Correción.]],".",","))</f>
        <v>79</v>
      </c>
      <c r="H366" s="5">
        <v>79</v>
      </c>
      <c r="J366">
        <v>0</v>
      </c>
      <c r="K366">
        <v>0</v>
      </c>
      <c r="L366" s="3">
        <v>244373</v>
      </c>
      <c r="M366" s="6">
        <f t="shared" si="10"/>
        <v>13</v>
      </c>
      <c r="N366">
        <v>13</v>
      </c>
      <c r="O366" t="str">
        <f t="shared" si="11"/>
        <v>Desconocido</v>
      </c>
      <c r="Q366" t="s">
        <v>905</v>
      </c>
    </row>
    <row r="367" spans="1:17" x14ac:dyDescent="0.25">
      <c r="A367">
        <v>22</v>
      </c>
      <c r="B367">
        <v>1</v>
      </c>
      <c r="C367">
        <v>2</v>
      </c>
      <c r="D367" t="s">
        <v>942</v>
      </c>
      <c r="E367" t="s">
        <v>902</v>
      </c>
      <c r="F367">
        <f>ROUNDUP(Titanic_DATASET[[#This Row],[Age Correción 2]],0)</f>
        <v>34</v>
      </c>
      <c r="G367" s="4">
        <f>VALUE(SUBSTITUTE(Titanic_DATASET[[#This Row],[Age Correción.]],".",","))</f>
        <v>34</v>
      </c>
      <c r="H367" s="5">
        <v>34</v>
      </c>
      <c r="I367">
        <v>34</v>
      </c>
      <c r="J367">
        <v>0</v>
      </c>
      <c r="K367">
        <v>0</v>
      </c>
      <c r="L367" s="3">
        <v>248698</v>
      </c>
      <c r="M367" s="6">
        <f t="shared" si="10"/>
        <v>13</v>
      </c>
      <c r="N367">
        <v>13</v>
      </c>
      <c r="O367" t="str">
        <f t="shared" si="11"/>
        <v>D56</v>
      </c>
      <c r="P367" t="s">
        <v>943</v>
      </c>
      <c r="Q367" t="s">
        <v>905</v>
      </c>
    </row>
    <row r="368" spans="1:17" x14ac:dyDescent="0.25">
      <c r="A368">
        <v>16</v>
      </c>
      <c r="B368">
        <v>1</v>
      </c>
      <c r="C368">
        <v>2</v>
      </c>
      <c r="D368" t="s">
        <v>936</v>
      </c>
      <c r="E368" t="s">
        <v>907</v>
      </c>
      <c r="F368">
        <f>ROUNDUP(Titanic_DATASET[[#This Row],[Age Correción 2]],0)</f>
        <v>55</v>
      </c>
      <c r="G368" s="4">
        <f>VALUE(SUBSTITUTE(Titanic_DATASET[[#This Row],[Age Correción.]],".",","))</f>
        <v>55</v>
      </c>
      <c r="H368" s="5">
        <v>55</v>
      </c>
      <c r="I368">
        <v>55</v>
      </c>
      <c r="J368">
        <v>0</v>
      </c>
      <c r="K368">
        <v>0</v>
      </c>
      <c r="L368" s="3">
        <v>248706</v>
      </c>
      <c r="M368" s="6">
        <f t="shared" si="10"/>
        <v>16</v>
      </c>
      <c r="N368">
        <v>16</v>
      </c>
      <c r="O368" t="str">
        <f t="shared" si="11"/>
        <v>Desconocido</v>
      </c>
      <c r="Q368" t="s">
        <v>905</v>
      </c>
    </row>
    <row r="369" spans="1:17" x14ac:dyDescent="0.25">
      <c r="A369">
        <v>809</v>
      </c>
      <c r="B369">
        <v>0</v>
      </c>
      <c r="C369">
        <v>2</v>
      </c>
      <c r="D369" t="s">
        <v>2090</v>
      </c>
      <c r="E369" t="s">
        <v>902</v>
      </c>
      <c r="F369">
        <f>ROUNDUP(Titanic_DATASET[[#This Row],[Age Correción 2]],0)</f>
        <v>39</v>
      </c>
      <c r="G369" s="4">
        <f>VALUE(SUBSTITUTE(Titanic_DATASET[[#This Row],[Age Correción.]],".",","))</f>
        <v>39</v>
      </c>
      <c r="H369" s="5">
        <v>39</v>
      </c>
      <c r="I369">
        <v>39</v>
      </c>
      <c r="J369">
        <v>0</v>
      </c>
      <c r="K369">
        <v>0</v>
      </c>
      <c r="L369" s="3">
        <v>248723</v>
      </c>
      <c r="M369" s="6">
        <f t="shared" si="10"/>
        <v>13</v>
      </c>
      <c r="N369">
        <v>13</v>
      </c>
      <c r="O369" t="str">
        <f t="shared" si="11"/>
        <v>Desconocido</v>
      </c>
      <c r="Q369" t="s">
        <v>905</v>
      </c>
    </row>
    <row r="370" spans="1:17" x14ac:dyDescent="0.25">
      <c r="A370">
        <v>597</v>
      </c>
      <c r="B370">
        <v>1</v>
      </c>
      <c r="C370">
        <v>2</v>
      </c>
      <c r="D370" t="s">
        <v>1820</v>
      </c>
      <c r="E370" t="s">
        <v>907</v>
      </c>
      <c r="F370">
        <f>ROUNDUP(Titanic_DATASET[[#This Row],[Age Correción 2]],0)</f>
        <v>21</v>
      </c>
      <c r="G370" s="4">
        <f>VALUE(SUBSTITUTE(Titanic_DATASET[[#This Row],[Age Correción.]],".",","))</f>
        <v>21</v>
      </c>
      <c r="H370" s="5">
        <v>21</v>
      </c>
      <c r="J370">
        <v>0</v>
      </c>
      <c r="K370">
        <v>0</v>
      </c>
      <c r="L370" s="3">
        <v>248727</v>
      </c>
      <c r="M370" s="6">
        <f t="shared" si="10"/>
        <v>33</v>
      </c>
      <c r="N370">
        <v>33</v>
      </c>
      <c r="O370" t="str">
        <f t="shared" si="11"/>
        <v>Desconocido</v>
      </c>
      <c r="Q370" t="s">
        <v>905</v>
      </c>
    </row>
    <row r="371" spans="1:17" x14ac:dyDescent="0.25">
      <c r="A371">
        <v>721</v>
      </c>
      <c r="B371">
        <v>1</v>
      </c>
      <c r="C371">
        <v>2</v>
      </c>
      <c r="D371" t="s">
        <v>1978</v>
      </c>
      <c r="E371" t="s">
        <v>907</v>
      </c>
      <c r="F371">
        <f>ROUNDUP(Titanic_DATASET[[#This Row],[Age Correción 2]],0)</f>
        <v>6</v>
      </c>
      <c r="G371" s="4">
        <f>VALUE(SUBSTITUTE(Titanic_DATASET[[#This Row],[Age Correción.]],".",","))</f>
        <v>6</v>
      </c>
      <c r="H371" s="5">
        <v>6</v>
      </c>
      <c r="I371">
        <v>6</v>
      </c>
      <c r="J371">
        <v>0</v>
      </c>
      <c r="K371">
        <v>1</v>
      </c>
      <c r="L371" s="3">
        <v>248727</v>
      </c>
      <c r="M371" s="6">
        <f t="shared" si="10"/>
        <v>33</v>
      </c>
      <c r="N371">
        <v>33</v>
      </c>
      <c r="O371" t="str">
        <f t="shared" si="11"/>
        <v>Desconocido</v>
      </c>
      <c r="Q371" t="s">
        <v>905</v>
      </c>
    </row>
    <row r="372" spans="1:17" x14ac:dyDescent="0.25">
      <c r="A372">
        <v>849</v>
      </c>
      <c r="B372">
        <v>0</v>
      </c>
      <c r="C372">
        <v>2</v>
      </c>
      <c r="D372" t="s">
        <v>2144</v>
      </c>
      <c r="E372" t="s">
        <v>902</v>
      </c>
      <c r="F372">
        <f>ROUNDUP(Titanic_DATASET[[#This Row],[Age Correción 2]],0)</f>
        <v>28</v>
      </c>
      <c r="G372" s="4">
        <f>VALUE(SUBSTITUTE(Titanic_DATASET[[#This Row],[Age Correción.]],".",","))</f>
        <v>28</v>
      </c>
      <c r="H372" s="5">
        <v>28</v>
      </c>
      <c r="I372">
        <v>28</v>
      </c>
      <c r="J372">
        <v>0</v>
      </c>
      <c r="K372">
        <v>1</v>
      </c>
      <c r="L372" s="3">
        <v>248727</v>
      </c>
      <c r="M372" s="6">
        <f t="shared" si="10"/>
        <v>33</v>
      </c>
      <c r="N372">
        <v>33</v>
      </c>
      <c r="O372" t="str">
        <f t="shared" si="11"/>
        <v>Desconocido</v>
      </c>
      <c r="Q372" t="s">
        <v>905</v>
      </c>
    </row>
    <row r="373" spans="1:17" x14ac:dyDescent="0.25">
      <c r="A373">
        <v>696</v>
      </c>
      <c r="B373">
        <v>0</v>
      </c>
      <c r="C373">
        <v>2</v>
      </c>
      <c r="D373" t="s">
        <v>1945</v>
      </c>
      <c r="E373" t="s">
        <v>902</v>
      </c>
      <c r="F373">
        <f>ROUNDUP(Titanic_DATASET[[#This Row],[Age Correción 2]],0)</f>
        <v>52</v>
      </c>
      <c r="G373" s="4">
        <f>VALUE(SUBSTITUTE(Titanic_DATASET[[#This Row],[Age Correción.]],".",","))</f>
        <v>52</v>
      </c>
      <c r="H373" s="5">
        <v>52</v>
      </c>
      <c r="I373">
        <v>52</v>
      </c>
      <c r="J373">
        <v>0</v>
      </c>
      <c r="K373">
        <v>0</v>
      </c>
      <c r="L373" s="3">
        <v>248731</v>
      </c>
      <c r="M373" s="6">
        <f t="shared" si="10"/>
        <v>13.5</v>
      </c>
      <c r="N373" t="s">
        <v>1285</v>
      </c>
      <c r="O373" t="str">
        <f t="shared" si="11"/>
        <v>Desconocido</v>
      </c>
      <c r="Q373" t="s">
        <v>905</v>
      </c>
    </row>
    <row r="374" spans="1:17" x14ac:dyDescent="0.25">
      <c r="A374">
        <v>346</v>
      </c>
      <c r="B374">
        <v>1</v>
      </c>
      <c r="C374">
        <v>2</v>
      </c>
      <c r="D374" t="s">
        <v>1468</v>
      </c>
      <c r="E374" t="s">
        <v>907</v>
      </c>
      <c r="F374">
        <f>ROUNDUP(Titanic_DATASET[[#This Row],[Age Correción 2]],0)</f>
        <v>24</v>
      </c>
      <c r="G374" s="4">
        <f>VALUE(SUBSTITUTE(Titanic_DATASET[[#This Row],[Age Correción.]],".",","))</f>
        <v>24</v>
      </c>
      <c r="H374" s="5">
        <v>24</v>
      </c>
      <c r="I374">
        <v>24</v>
      </c>
      <c r="J374">
        <v>0</v>
      </c>
      <c r="K374">
        <v>0</v>
      </c>
      <c r="L374" s="3">
        <v>248733</v>
      </c>
      <c r="M374" s="6">
        <f t="shared" si="10"/>
        <v>13</v>
      </c>
      <c r="N374">
        <v>13</v>
      </c>
      <c r="O374" t="str">
        <f t="shared" si="11"/>
        <v>F33</v>
      </c>
      <c r="P374" t="s">
        <v>1021</v>
      </c>
      <c r="Q374" t="s">
        <v>905</v>
      </c>
    </row>
    <row r="375" spans="1:17" x14ac:dyDescent="0.25">
      <c r="A375">
        <v>79</v>
      </c>
      <c r="B375">
        <v>1</v>
      </c>
      <c r="C375">
        <v>2</v>
      </c>
      <c r="D375" t="s">
        <v>1039</v>
      </c>
      <c r="E375" t="s">
        <v>902</v>
      </c>
      <c r="F375">
        <f>ROUNDUP(Titanic_DATASET[[#This Row],[Age Correción 2]],0)</f>
        <v>1</v>
      </c>
      <c r="G375" s="4">
        <f>VALUE(SUBSTITUTE(Titanic_DATASET[[#This Row],[Age Correción.]],".",","))</f>
        <v>0.83</v>
      </c>
      <c r="H375" s="5" t="s">
        <v>1040</v>
      </c>
      <c r="I375" t="s">
        <v>1040</v>
      </c>
      <c r="J375">
        <v>0</v>
      </c>
      <c r="K375">
        <v>2</v>
      </c>
      <c r="L375" s="3">
        <v>248738</v>
      </c>
      <c r="M375" s="6">
        <f t="shared" si="10"/>
        <v>29</v>
      </c>
      <c r="N375">
        <v>29</v>
      </c>
      <c r="O375" t="str">
        <f t="shared" si="11"/>
        <v>Desconocido</v>
      </c>
      <c r="Q375" t="s">
        <v>905</v>
      </c>
    </row>
    <row r="376" spans="1:17" x14ac:dyDescent="0.25">
      <c r="A376">
        <v>324</v>
      </c>
      <c r="B376">
        <v>1</v>
      </c>
      <c r="C376">
        <v>2</v>
      </c>
      <c r="D376" t="s">
        <v>1438</v>
      </c>
      <c r="E376" t="s">
        <v>907</v>
      </c>
      <c r="F376">
        <f>ROUNDUP(Titanic_DATASET[[#This Row],[Age Correción 2]],0)</f>
        <v>22</v>
      </c>
      <c r="G376" s="4">
        <f>VALUE(SUBSTITUTE(Titanic_DATASET[[#This Row],[Age Correción.]],".",","))</f>
        <v>22</v>
      </c>
      <c r="H376" s="5">
        <v>22</v>
      </c>
      <c r="I376">
        <v>22</v>
      </c>
      <c r="J376">
        <v>1</v>
      </c>
      <c r="K376">
        <v>1</v>
      </c>
      <c r="L376" s="3">
        <v>248738</v>
      </c>
      <c r="M376" s="6">
        <f t="shared" si="10"/>
        <v>29</v>
      </c>
      <c r="N376">
        <v>29</v>
      </c>
      <c r="O376" t="str">
        <f t="shared" si="11"/>
        <v>Desconocido</v>
      </c>
      <c r="Q376" t="s">
        <v>905</v>
      </c>
    </row>
    <row r="377" spans="1:17" x14ac:dyDescent="0.25">
      <c r="A377">
        <v>343</v>
      </c>
      <c r="B377">
        <v>0</v>
      </c>
      <c r="C377">
        <v>2</v>
      </c>
      <c r="D377" t="s">
        <v>1465</v>
      </c>
      <c r="E377" t="s">
        <v>902</v>
      </c>
      <c r="F377">
        <f>ROUNDUP(Titanic_DATASET[[#This Row],[Age Correción 2]],0)</f>
        <v>28</v>
      </c>
      <c r="G377" s="4">
        <f>VALUE(SUBSTITUTE(Titanic_DATASET[[#This Row],[Age Correción.]],".",","))</f>
        <v>28</v>
      </c>
      <c r="H377" s="5">
        <v>28</v>
      </c>
      <c r="I377">
        <v>28</v>
      </c>
      <c r="J377">
        <v>0</v>
      </c>
      <c r="K377">
        <v>0</v>
      </c>
      <c r="L377" s="3">
        <v>248740</v>
      </c>
      <c r="M377" s="6">
        <f t="shared" si="10"/>
        <v>13</v>
      </c>
      <c r="N377">
        <v>13</v>
      </c>
      <c r="O377" t="str">
        <f t="shared" si="11"/>
        <v>Desconocido</v>
      </c>
      <c r="Q377" t="s">
        <v>905</v>
      </c>
    </row>
    <row r="378" spans="1:17" x14ac:dyDescent="0.25">
      <c r="A378">
        <v>200</v>
      </c>
      <c r="B378">
        <v>0</v>
      </c>
      <c r="C378">
        <v>2</v>
      </c>
      <c r="D378" t="s">
        <v>1234</v>
      </c>
      <c r="E378" t="s">
        <v>907</v>
      </c>
      <c r="F378">
        <f>ROUNDUP(Titanic_DATASET[[#This Row],[Age Correción 2]],0)</f>
        <v>24</v>
      </c>
      <c r="G378" s="4">
        <f>VALUE(SUBSTITUTE(Titanic_DATASET[[#This Row],[Age Correción.]],".",","))</f>
        <v>24</v>
      </c>
      <c r="H378" s="5">
        <v>24</v>
      </c>
      <c r="I378">
        <v>24</v>
      </c>
      <c r="J378">
        <v>0</v>
      </c>
      <c r="K378">
        <v>0</v>
      </c>
      <c r="L378" s="3">
        <v>248747</v>
      </c>
      <c r="M378" s="6">
        <f t="shared" si="10"/>
        <v>13</v>
      </c>
      <c r="N378">
        <v>13</v>
      </c>
      <c r="O378" t="str">
        <f t="shared" si="11"/>
        <v>Desconocido</v>
      </c>
      <c r="Q378" t="s">
        <v>905</v>
      </c>
    </row>
    <row r="379" spans="1:17" x14ac:dyDescent="0.25">
      <c r="A379">
        <v>724</v>
      </c>
      <c r="B379">
        <v>0</v>
      </c>
      <c r="C379">
        <v>2</v>
      </c>
      <c r="D379" t="s">
        <v>1981</v>
      </c>
      <c r="E379" t="s">
        <v>902</v>
      </c>
      <c r="F379">
        <f>ROUNDUP(Titanic_DATASET[[#This Row],[Age Correción 2]],0)</f>
        <v>50</v>
      </c>
      <c r="G379" s="4">
        <f>VALUE(SUBSTITUTE(Titanic_DATASET[[#This Row],[Age Correción.]],".",","))</f>
        <v>50</v>
      </c>
      <c r="H379" s="5">
        <v>50</v>
      </c>
      <c r="I379">
        <v>50</v>
      </c>
      <c r="J379">
        <v>0</v>
      </c>
      <c r="K379">
        <v>0</v>
      </c>
      <c r="L379" s="3">
        <v>250643</v>
      </c>
      <c r="M379" s="6">
        <f t="shared" si="10"/>
        <v>13</v>
      </c>
      <c r="N379">
        <v>13</v>
      </c>
      <c r="O379" t="str">
        <f t="shared" si="11"/>
        <v>Desconocido</v>
      </c>
      <c r="Q379" t="s">
        <v>905</v>
      </c>
    </row>
    <row r="380" spans="1:17" x14ac:dyDescent="0.25">
      <c r="A380">
        <v>273</v>
      </c>
      <c r="B380">
        <v>1</v>
      </c>
      <c r="C380">
        <v>2</v>
      </c>
      <c r="D380" t="s">
        <v>1349</v>
      </c>
      <c r="E380" t="s">
        <v>907</v>
      </c>
      <c r="F380">
        <f>ROUNDUP(Titanic_DATASET[[#This Row],[Age Correción 2]],0)</f>
        <v>41</v>
      </c>
      <c r="G380" s="4">
        <f>VALUE(SUBSTITUTE(Titanic_DATASET[[#This Row],[Age Correción.]],".",","))</f>
        <v>41</v>
      </c>
      <c r="H380" s="5">
        <v>41</v>
      </c>
      <c r="I380">
        <v>41</v>
      </c>
      <c r="J380">
        <v>0</v>
      </c>
      <c r="K380">
        <v>1</v>
      </c>
      <c r="L380" s="3">
        <v>250644</v>
      </c>
      <c r="M380" s="6">
        <f t="shared" si="10"/>
        <v>19.5</v>
      </c>
      <c r="N380" t="s">
        <v>1350</v>
      </c>
      <c r="O380" t="str">
        <f t="shared" si="11"/>
        <v>Desconocido</v>
      </c>
      <c r="Q380" t="s">
        <v>905</v>
      </c>
    </row>
    <row r="381" spans="1:17" x14ac:dyDescent="0.25">
      <c r="A381">
        <v>447</v>
      </c>
      <c r="B381">
        <v>1</v>
      </c>
      <c r="C381">
        <v>2</v>
      </c>
      <c r="D381" t="s">
        <v>1603</v>
      </c>
      <c r="E381" t="s">
        <v>907</v>
      </c>
      <c r="F381">
        <f>ROUNDUP(Titanic_DATASET[[#This Row],[Age Correción 2]],0)</f>
        <v>13</v>
      </c>
      <c r="G381" s="4">
        <f>VALUE(SUBSTITUTE(Titanic_DATASET[[#This Row],[Age Correción.]],".",","))</f>
        <v>13</v>
      </c>
      <c r="H381" s="5">
        <v>13</v>
      </c>
      <c r="I381">
        <v>13</v>
      </c>
      <c r="J381">
        <v>0</v>
      </c>
      <c r="K381">
        <v>1</v>
      </c>
      <c r="L381" s="3">
        <v>250644</v>
      </c>
      <c r="M381" s="6">
        <f t="shared" si="10"/>
        <v>19.5</v>
      </c>
      <c r="N381" t="s">
        <v>1350</v>
      </c>
      <c r="O381" t="str">
        <f t="shared" si="11"/>
        <v>Desconocido</v>
      </c>
      <c r="Q381" t="s">
        <v>905</v>
      </c>
    </row>
    <row r="382" spans="1:17" x14ac:dyDescent="0.25">
      <c r="A382">
        <v>214</v>
      </c>
      <c r="B382">
        <v>0</v>
      </c>
      <c r="C382">
        <v>2</v>
      </c>
      <c r="D382" t="s">
        <v>1254</v>
      </c>
      <c r="E382" t="s">
        <v>902</v>
      </c>
      <c r="F382">
        <f>ROUNDUP(Titanic_DATASET[[#This Row],[Age Correción 2]],0)</f>
        <v>30</v>
      </c>
      <c r="G382" s="4">
        <f>VALUE(SUBSTITUTE(Titanic_DATASET[[#This Row],[Age Correción.]],".",","))</f>
        <v>30</v>
      </c>
      <c r="H382" s="5">
        <v>30</v>
      </c>
      <c r="I382">
        <v>30</v>
      </c>
      <c r="J382">
        <v>0</v>
      </c>
      <c r="K382">
        <v>0</v>
      </c>
      <c r="L382" s="3">
        <v>250646</v>
      </c>
      <c r="M382" s="6">
        <f t="shared" si="10"/>
        <v>13</v>
      </c>
      <c r="N382">
        <v>13</v>
      </c>
      <c r="O382" t="str">
        <f t="shared" si="11"/>
        <v>Desconocido</v>
      </c>
      <c r="Q382" t="s">
        <v>905</v>
      </c>
    </row>
    <row r="383" spans="1:17" x14ac:dyDescent="0.25">
      <c r="A383">
        <v>715</v>
      </c>
      <c r="B383">
        <v>0</v>
      </c>
      <c r="C383">
        <v>2</v>
      </c>
      <c r="D383" t="s">
        <v>1971</v>
      </c>
      <c r="E383" t="s">
        <v>902</v>
      </c>
      <c r="F383">
        <f>ROUNDUP(Titanic_DATASET[[#This Row],[Age Correción 2]],0)</f>
        <v>52</v>
      </c>
      <c r="G383" s="4">
        <f>VALUE(SUBSTITUTE(Titanic_DATASET[[#This Row],[Age Correción.]],".",","))</f>
        <v>52</v>
      </c>
      <c r="H383" s="5">
        <v>52</v>
      </c>
      <c r="I383">
        <v>52</v>
      </c>
      <c r="J383">
        <v>0</v>
      </c>
      <c r="K383">
        <v>0</v>
      </c>
      <c r="L383" s="3">
        <v>250647</v>
      </c>
      <c r="M383" s="6">
        <f t="shared" si="10"/>
        <v>13</v>
      </c>
      <c r="N383">
        <v>13</v>
      </c>
      <c r="O383" t="str">
        <f t="shared" si="11"/>
        <v>Desconocido</v>
      </c>
      <c r="Q383" t="s">
        <v>905</v>
      </c>
    </row>
    <row r="384" spans="1:17" x14ac:dyDescent="0.25">
      <c r="A384">
        <v>801</v>
      </c>
      <c r="B384">
        <v>0</v>
      </c>
      <c r="C384">
        <v>2</v>
      </c>
      <c r="D384" t="s">
        <v>2080</v>
      </c>
      <c r="E384" t="s">
        <v>902</v>
      </c>
      <c r="F384">
        <f>ROUNDUP(Titanic_DATASET[[#This Row],[Age Correción 2]],0)</f>
        <v>34</v>
      </c>
      <c r="G384" s="4">
        <f>VALUE(SUBSTITUTE(Titanic_DATASET[[#This Row],[Age Correción.]],".",","))</f>
        <v>34</v>
      </c>
      <c r="H384" s="5">
        <v>34</v>
      </c>
      <c r="I384">
        <v>34</v>
      </c>
      <c r="J384">
        <v>0</v>
      </c>
      <c r="K384">
        <v>0</v>
      </c>
      <c r="L384" s="3">
        <v>250647</v>
      </c>
      <c r="M384" s="6">
        <f t="shared" si="10"/>
        <v>13</v>
      </c>
      <c r="N384">
        <v>13</v>
      </c>
      <c r="O384" t="str">
        <f t="shared" si="11"/>
        <v>Desconocido</v>
      </c>
      <c r="Q384" t="s">
        <v>905</v>
      </c>
    </row>
    <row r="385" spans="1:17" x14ac:dyDescent="0.25">
      <c r="A385">
        <v>748</v>
      </c>
      <c r="B385">
        <v>1</v>
      </c>
      <c r="C385">
        <v>2</v>
      </c>
      <c r="D385" t="s">
        <v>2011</v>
      </c>
      <c r="E385" t="s">
        <v>907</v>
      </c>
      <c r="F385">
        <f>ROUNDUP(Titanic_DATASET[[#This Row],[Age Correción 2]],0)</f>
        <v>30</v>
      </c>
      <c r="G385" s="4">
        <f>VALUE(SUBSTITUTE(Titanic_DATASET[[#This Row],[Age Correción.]],".",","))</f>
        <v>30</v>
      </c>
      <c r="H385" s="5">
        <v>30</v>
      </c>
      <c r="I385">
        <v>30</v>
      </c>
      <c r="J385">
        <v>0</v>
      </c>
      <c r="K385">
        <v>0</v>
      </c>
      <c r="L385" s="3">
        <v>250648</v>
      </c>
      <c r="M385" s="6">
        <f t="shared" si="10"/>
        <v>13</v>
      </c>
      <c r="N385">
        <v>13</v>
      </c>
      <c r="O385" t="str">
        <f t="shared" si="11"/>
        <v>Desconocido</v>
      </c>
      <c r="Q385" t="s">
        <v>905</v>
      </c>
    </row>
    <row r="386" spans="1:17" x14ac:dyDescent="0.25">
      <c r="A386">
        <v>248</v>
      </c>
      <c r="B386">
        <v>1</v>
      </c>
      <c r="C386">
        <v>2</v>
      </c>
      <c r="D386" t="s">
        <v>1309</v>
      </c>
      <c r="E386" t="s">
        <v>907</v>
      </c>
      <c r="F386">
        <f>ROUNDUP(Titanic_DATASET[[#This Row],[Age Correción 2]],0)</f>
        <v>24</v>
      </c>
      <c r="G386" s="4">
        <f>VALUE(SUBSTITUTE(Titanic_DATASET[[#This Row],[Age Correción.]],".",","))</f>
        <v>24</v>
      </c>
      <c r="H386" s="5">
        <v>24</v>
      </c>
      <c r="I386">
        <v>24</v>
      </c>
      <c r="J386">
        <v>0</v>
      </c>
      <c r="K386">
        <v>2</v>
      </c>
      <c r="L386" s="3">
        <v>250649</v>
      </c>
      <c r="M386" s="6">
        <f t="shared" si="10"/>
        <v>14.5</v>
      </c>
      <c r="N386" t="s">
        <v>1090</v>
      </c>
      <c r="O386" t="str">
        <f t="shared" si="11"/>
        <v>Desconocido</v>
      </c>
      <c r="Q386" t="s">
        <v>905</v>
      </c>
    </row>
    <row r="387" spans="1:17" x14ac:dyDescent="0.25">
      <c r="A387">
        <v>756</v>
      </c>
      <c r="B387">
        <v>1</v>
      </c>
      <c r="C387">
        <v>2</v>
      </c>
      <c r="D387" t="s">
        <v>2021</v>
      </c>
      <c r="E387" t="s">
        <v>902</v>
      </c>
      <c r="F387">
        <f>ROUNDUP(Titanic_DATASET[[#This Row],[Age Correción 2]],0)</f>
        <v>1</v>
      </c>
      <c r="G387" s="4">
        <f>VALUE(SUBSTITUTE(Titanic_DATASET[[#This Row],[Age Correción.]],".",","))</f>
        <v>0.67</v>
      </c>
      <c r="H387" s="5" t="s">
        <v>2022</v>
      </c>
      <c r="I387" t="s">
        <v>2022</v>
      </c>
      <c r="J387">
        <v>1</v>
      </c>
      <c r="K387">
        <v>1</v>
      </c>
      <c r="L387" s="3">
        <v>250649</v>
      </c>
      <c r="M387" s="6">
        <f t="shared" si="10"/>
        <v>14.5</v>
      </c>
      <c r="N387" t="s">
        <v>1090</v>
      </c>
      <c r="O387" t="str">
        <f t="shared" si="11"/>
        <v>Desconocido</v>
      </c>
      <c r="Q387" t="s">
        <v>905</v>
      </c>
    </row>
    <row r="388" spans="1:17" x14ac:dyDescent="0.25">
      <c r="A388">
        <v>313</v>
      </c>
      <c r="B388">
        <v>0</v>
      </c>
      <c r="C388">
        <v>2</v>
      </c>
      <c r="D388" t="s">
        <v>1422</v>
      </c>
      <c r="E388" t="s">
        <v>907</v>
      </c>
      <c r="F388">
        <f>ROUNDUP(Titanic_DATASET[[#This Row],[Age Correción 2]],0)</f>
        <v>26</v>
      </c>
      <c r="G388" s="4">
        <f>VALUE(SUBSTITUTE(Titanic_DATASET[[#This Row],[Age Correción.]],".",","))</f>
        <v>26</v>
      </c>
      <c r="H388" s="5">
        <v>26</v>
      </c>
      <c r="I388">
        <v>26</v>
      </c>
      <c r="J388">
        <v>1</v>
      </c>
      <c r="K388">
        <v>1</v>
      </c>
      <c r="L388" s="3">
        <v>250651</v>
      </c>
      <c r="M388" s="6">
        <f t="shared" ref="M388:M451" si="12">VALUE(SUBSTITUTE(N388,".",","))</f>
        <v>26</v>
      </c>
      <c r="N388">
        <v>26</v>
      </c>
      <c r="O388" t="str">
        <f t="shared" ref="O388:O451" si="13">IF(ISBLANK(P388),"Desconocido",P388)</f>
        <v>Desconocido</v>
      </c>
      <c r="Q388" t="s">
        <v>905</v>
      </c>
    </row>
    <row r="389" spans="1:17" x14ac:dyDescent="0.25">
      <c r="A389">
        <v>418</v>
      </c>
      <c r="B389">
        <v>1</v>
      </c>
      <c r="C389">
        <v>2</v>
      </c>
      <c r="D389" t="s">
        <v>1563</v>
      </c>
      <c r="E389" t="s">
        <v>907</v>
      </c>
      <c r="F389">
        <f>ROUNDUP(Titanic_DATASET[[#This Row],[Age Correción 2]],0)</f>
        <v>18</v>
      </c>
      <c r="G389" s="4">
        <f>VALUE(SUBSTITUTE(Titanic_DATASET[[#This Row],[Age Correción.]],".",","))</f>
        <v>18</v>
      </c>
      <c r="H389" s="5">
        <v>18</v>
      </c>
      <c r="I389">
        <v>18</v>
      </c>
      <c r="J389">
        <v>0</v>
      </c>
      <c r="K389">
        <v>2</v>
      </c>
      <c r="L389" s="3">
        <v>250652</v>
      </c>
      <c r="M389" s="6">
        <f t="shared" si="12"/>
        <v>13</v>
      </c>
      <c r="N389">
        <v>13</v>
      </c>
      <c r="O389" t="str">
        <f t="shared" si="13"/>
        <v>Desconocido</v>
      </c>
      <c r="Q389" t="s">
        <v>905</v>
      </c>
    </row>
    <row r="390" spans="1:17" x14ac:dyDescent="0.25">
      <c r="A390">
        <v>179</v>
      </c>
      <c r="B390">
        <v>0</v>
      </c>
      <c r="C390">
        <v>2</v>
      </c>
      <c r="D390" t="s">
        <v>1205</v>
      </c>
      <c r="E390" t="s">
        <v>902</v>
      </c>
      <c r="F390">
        <f>ROUNDUP(Titanic_DATASET[[#This Row],[Age Correción 2]],0)</f>
        <v>30</v>
      </c>
      <c r="G390" s="4">
        <f>VALUE(SUBSTITUTE(Titanic_DATASET[[#This Row],[Age Correción.]],".",","))</f>
        <v>30</v>
      </c>
      <c r="H390" s="5">
        <v>30</v>
      </c>
      <c r="I390">
        <v>30</v>
      </c>
      <c r="J390">
        <v>0</v>
      </c>
      <c r="K390">
        <v>0</v>
      </c>
      <c r="L390" s="3">
        <v>250653</v>
      </c>
      <c r="M390" s="6">
        <f t="shared" si="12"/>
        <v>13</v>
      </c>
      <c r="N390">
        <v>13</v>
      </c>
      <c r="O390" t="str">
        <f t="shared" si="13"/>
        <v>Desconocido</v>
      </c>
      <c r="Q390" t="s">
        <v>905</v>
      </c>
    </row>
    <row r="391" spans="1:17" x14ac:dyDescent="0.25">
      <c r="A391">
        <v>428</v>
      </c>
      <c r="B391">
        <v>1</v>
      </c>
      <c r="C391">
        <v>2</v>
      </c>
      <c r="D391" t="s">
        <v>1576</v>
      </c>
      <c r="E391" t="s">
        <v>907</v>
      </c>
      <c r="F391">
        <f>ROUNDUP(Titanic_DATASET[[#This Row],[Age Correción 2]],0)</f>
        <v>19</v>
      </c>
      <c r="G391" s="4">
        <f>VALUE(SUBSTITUTE(Titanic_DATASET[[#This Row],[Age Correción.]],".",","))</f>
        <v>19</v>
      </c>
      <c r="H391" s="5">
        <v>19</v>
      </c>
      <c r="I391">
        <v>19</v>
      </c>
      <c r="J391">
        <v>0</v>
      </c>
      <c r="K391">
        <v>0</v>
      </c>
      <c r="L391" s="3">
        <v>250655</v>
      </c>
      <c r="M391" s="6">
        <f t="shared" si="12"/>
        <v>26</v>
      </c>
      <c r="N391">
        <v>26</v>
      </c>
      <c r="O391" t="str">
        <f t="shared" si="13"/>
        <v>Desconocido</v>
      </c>
      <c r="Q391" t="s">
        <v>905</v>
      </c>
    </row>
    <row r="392" spans="1:17" x14ac:dyDescent="0.25">
      <c r="A392">
        <v>706</v>
      </c>
      <c r="B392">
        <v>0</v>
      </c>
      <c r="C392">
        <v>2</v>
      </c>
      <c r="D392" t="s">
        <v>1959</v>
      </c>
      <c r="E392" t="s">
        <v>902</v>
      </c>
      <c r="F392">
        <f>ROUNDUP(Titanic_DATASET[[#This Row],[Age Correción 2]],0)</f>
        <v>39</v>
      </c>
      <c r="G392" s="4">
        <f>VALUE(SUBSTITUTE(Titanic_DATASET[[#This Row],[Age Correción.]],".",","))</f>
        <v>39</v>
      </c>
      <c r="H392" s="5">
        <v>39</v>
      </c>
      <c r="I392">
        <v>39</v>
      </c>
      <c r="J392">
        <v>0</v>
      </c>
      <c r="K392">
        <v>0</v>
      </c>
      <c r="L392" s="3">
        <v>250655</v>
      </c>
      <c r="M392" s="6">
        <f t="shared" si="12"/>
        <v>26</v>
      </c>
      <c r="N392">
        <v>26</v>
      </c>
      <c r="O392" t="str">
        <f t="shared" si="13"/>
        <v>Desconocido</v>
      </c>
      <c r="Q392" t="s">
        <v>905</v>
      </c>
    </row>
    <row r="393" spans="1:17" x14ac:dyDescent="0.25">
      <c r="A393">
        <v>108</v>
      </c>
      <c r="B393">
        <v>1</v>
      </c>
      <c r="C393">
        <v>3</v>
      </c>
      <c r="D393" t="s">
        <v>1083</v>
      </c>
      <c r="E393" t="s">
        <v>902</v>
      </c>
      <c r="F393">
        <f>ROUNDUP(Titanic_DATASET[[#This Row],[Age Correción 2]],0)</f>
        <v>58</v>
      </c>
      <c r="G393" s="4">
        <f>VALUE(SUBSTITUTE(Titanic_DATASET[[#This Row],[Age Correción.]],".",","))</f>
        <v>58</v>
      </c>
      <c r="H393" s="5">
        <v>58</v>
      </c>
      <c r="J393">
        <v>0</v>
      </c>
      <c r="K393">
        <v>0</v>
      </c>
      <c r="L393" s="3">
        <v>312991</v>
      </c>
      <c r="M393" s="6">
        <f t="shared" si="12"/>
        <v>7775</v>
      </c>
      <c r="N393" s="1">
        <v>7775</v>
      </c>
      <c r="O393" s="1" t="str">
        <f t="shared" si="13"/>
        <v>Desconocido</v>
      </c>
      <c r="Q393" t="s">
        <v>905</v>
      </c>
    </row>
    <row r="394" spans="1:17" x14ac:dyDescent="0.25">
      <c r="A394">
        <v>409</v>
      </c>
      <c r="B394">
        <v>0</v>
      </c>
      <c r="C394">
        <v>3</v>
      </c>
      <c r="D394" t="s">
        <v>1553</v>
      </c>
      <c r="E394" t="s">
        <v>902</v>
      </c>
      <c r="F394">
        <f>ROUNDUP(Titanic_DATASET[[#This Row],[Age Correción 2]],0)</f>
        <v>21</v>
      </c>
      <c r="G394" s="4">
        <f>VALUE(SUBSTITUTE(Titanic_DATASET[[#This Row],[Age Correción.]],".",","))</f>
        <v>21</v>
      </c>
      <c r="H394" s="5">
        <v>21</v>
      </c>
      <c r="I394">
        <v>21</v>
      </c>
      <c r="J394">
        <v>0</v>
      </c>
      <c r="K394">
        <v>0</v>
      </c>
      <c r="L394" s="3">
        <v>312992</v>
      </c>
      <c r="M394" s="6">
        <f t="shared" si="12"/>
        <v>7775</v>
      </c>
      <c r="N394" s="1">
        <v>7775</v>
      </c>
      <c r="O394" s="1" t="str">
        <f t="shared" si="13"/>
        <v>Desconocido</v>
      </c>
      <c r="Q394" t="s">
        <v>905</v>
      </c>
    </row>
    <row r="395" spans="1:17" x14ac:dyDescent="0.25">
      <c r="A395">
        <v>668</v>
      </c>
      <c r="B395">
        <v>0</v>
      </c>
      <c r="C395">
        <v>3</v>
      </c>
      <c r="D395" t="s">
        <v>1907</v>
      </c>
      <c r="E395" t="s">
        <v>902</v>
      </c>
      <c r="F395">
        <f>ROUNDUP(Titanic_DATASET[[#This Row],[Age Correción 2]],0)</f>
        <v>50</v>
      </c>
      <c r="G395" s="4">
        <f>VALUE(SUBSTITUTE(Titanic_DATASET[[#This Row],[Age Correción.]],".",","))</f>
        <v>50</v>
      </c>
      <c r="H395" s="5">
        <v>50</v>
      </c>
      <c r="J395">
        <v>0</v>
      </c>
      <c r="K395">
        <v>0</v>
      </c>
      <c r="L395" s="3">
        <v>312993</v>
      </c>
      <c r="M395" s="6">
        <f t="shared" si="12"/>
        <v>7775</v>
      </c>
      <c r="N395" s="1">
        <v>7775</v>
      </c>
      <c r="O395" s="1" t="str">
        <f t="shared" si="13"/>
        <v>Desconocido</v>
      </c>
      <c r="Q395" t="s">
        <v>905</v>
      </c>
    </row>
    <row r="396" spans="1:17" x14ac:dyDescent="0.25">
      <c r="A396">
        <v>159</v>
      </c>
      <c r="B396">
        <v>0</v>
      </c>
      <c r="C396">
        <v>3</v>
      </c>
      <c r="D396" t="s">
        <v>1172</v>
      </c>
      <c r="E396" t="s">
        <v>902</v>
      </c>
      <c r="F396">
        <f>ROUNDUP(Titanic_DATASET[[#This Row],[Age Correción 2]],0)</f>
        <v>42</v>
      </c>
      <c r="G396" s="4">
        <f>VALUE(SUBSTITUTE(Titanic_DATASET[[#This Row],[Age Correción.]],".",","))</f>
        <v>42</v>
      </c>
      <c r="H396" s="5">
        <v>42</v>
      </c>
      <c r="J396">
        <v>0</v>
      </c>
      <c r="K396">
        <v>0</v>
      </c>
      <c r="L396" s="3">
        <v>315037</v>
      </c>
      <c r="M396" s="6">
        <f t="shared" si="12"/>
        <v>86625</v>
      </c>
      <c r="N396" s="1">
        <v>86625</v>
      </c>
      <c r="O396" s="1" t="str">
        <f t="shared" si="13"/>
        <v>Desconocido</v>
      </c>
      <c r="Q396" t="s">
        <v>905</v>
      </c>
    </row>
    <row r="397" spans="1:17" x14ac:dyDescent="0.25">
      <c r="A397">
        <v>423</v>
      </c>
      <c r="B397">
        <v>0</v>
      </c>
      <c r="C397">
        <v>3</v>
      </c>
      <c r="D397" t="s">
        <v>1569</v>
      </c>
      <c r="E397" t="s">
        <v>902</v>
      </c>
      <c r="F397">
        <f>ROUNDUP(Titanic_DATASET[[#This Row],[Age Correción 2]],0)</f>
        <v>29</v>
      </c>
      <c r="G397" s="4">
        <f>VALUE(SUBSTITUTE(Titanic_DATASET[[#This Row],[Age Correción.]],".",","))</f>
        <v>29</v>
      </c>
      <c r="H397" s="5">
        <v>29</v>
      </c>
      <c r="I397">
        <v>29</v>
      </c>
      <c r="J397">
        <v>0</v>
      </c>
      <c r="K397">
        <v>0</v>
      </c>
      <c r="L397" s="3">
        <v>315082</v>
      </c>
      <c r="M397" s="6">
        <f t="shared" si="12"/>
        <v>7875</v>
      </c>
      <c r="N397" s="1">
        <v>7875</v>
      </c>
      <c r="O397" s="1" t="str">
        <f t="shared" si="13"/>
        <v>Desconocido</v>
      </c>
      <c r="Q397" t="s">
        <v>905</v>
      </c>
    </row>
    <row r="398" spans="1:17" x14ac:dyDescent="0.25">
      <c r="A398">
        <v>535</v>
      </c>
      <c r="B398">
        <v>0</v>
      </c>
      <c r="C398">
        <v>3</v>
      </c>
      <c r="D398" t="s">
        <v>1730</v>
      </c>
      <c r="E398" t="s">
        <v>907</v>
      </c>
      <c r="F398">
        <f>ROUNDUP(Titanic_DATASET[[#This Row],[Age Correción 2]],0)</f>
        <v>30</v>
      </c>
      <c r="G398" s="4">
        <f>VALUE(SUBSTITUTE(Titanic_DATASET[[#This Row],[Age Correción.]],".",","))</f>
        <v>30</v>
      </c>
      <c r="H398" s="5">
        <v>30</v>
      </c>
      <c r="I398">
        <v>30</v>
      </c>
      <c r="J398">
        <v>0</v>
      </c>
      <c r="K398">
        <v>0</v>
      </c>
      <c r="L398" s="3">
        <v>315084</v>
      </c>
      <c r="M398" s="6">
        <f t="shared" si="12"/>
        <v>86625</v>
      </c>
      <c r="N398" s="1">
        <v>86625</v>
      </c>
      <c r="O398" s="1" t="str">
        <f t="shared" si="13"/>
        <v>Desconocido</v>
      </c>
      <c r="Q398" t="s">
        <v>905</v>
      </c>
    </row>
    <row r="399" spans="1:17" x14ac:dyDescent="0.25">
      <c r="A399">
        <v>501</v>
      </c>
      <c r="B399">
        <v>0</v>
      </c>
      <c r="C399">
        <v>3</v>
      </c>
      <c r="D399" t="s">
        <v>1682</v>
      </c>
      <c r="E399" t="s">
        <v>902</v>
      </c>
      <c r="F399">
        <f>ROUNDUP(Titanic_DATASET[[#This Row],[Age Correción 2]],0)</f>
        <v>17</v>
      </c>
      <c r="G399" s="4">
        <f>VALUE(SUBSTITUTE(Titanic_DATASET[[#This Row],[Age Correción.]],".",","))</f>
        <v>17</v>
      </c>
      <c r="H399" s="5">
        <v>17</v>
      </c>
      <c r="I399">
        <v>17</v>
      </c>
      <c r="J399">
        <v>0</v>
      </c>
      <c r="K399">
        <v>0</v>
      </c>
      <c r="L399" s="3">
        <v>315086</v>
      </c>
      <c r="M399" s="6">
        <f t="shared" si="12"/>
        <v>86625</v>
      </c>
      <c r="N399" s="1">
        <v>86625</v>
      </c>
      <c r="O399" s="1" t="str">
        <f t="shared" si="13"/>
        <v>Desconocido</v>
      </c>
      <c r="Q399" t="s">
        <v>905</v>
      </c>
    </row>
    <row r="400" spans="1:17" x14ac:dyDescent="0.25">
      <c r="A400">
        <v>350</v>
      </c>
      <c r="B400">
        <v>0</v>
      </c>
      <c r="C400">
        <v>3</v>
      </c>
      <c r="D400" t="s">
        <v>1474</v>
      </c>
      <c r="E400" t="s">
        <v>902</v>
      </c>
      <c r="F400">
        <f>ROUNDUP(Titanic_DATASET[[#This Row],[Age Correción 2]],0)</f>
        <v>42</v>
      </c>
      <c r="G400" s="4">
        <f>VALUE(SUBSTITUTE(Titanic_DATASET[[#This Row],[Age Correción.]],".",","))</f>
        <v>42</v>
      </c>
      <c r="H400" s="5">
        <v>42</v>
      </c>
      <c r="I400">
        <v>42</v>
      </c>
      <c r="J400">
        <v>0</v>
      </c>
      <c r="K400">
        <v>0</v>
      </c>
      <c r="L400" s="3">
        <v>315088</v>
      </c>
      <c r="M400" s="6">
        <f t="shared" si="12"/>
        <v>86625</v>
      </c>
      <c r="N400" s="1">
        <v>86625</v>
      </c>
      <c r="O400" s="1" t="str">
        <f t="shared" si="13"/>
        <v>Desconocido</v>
      </c>
      <c r="Q400" t="s">
        <v>905</v>
      </c>
    </row>
    <row r="401" spans="1:17" x14ac:dyDescent="0.25">
      <c r="A401">
        <v>472</v>
      </c>
      <c r="B401">
        <v>0</v>
      </c>
      <c r="C401">
        <v>3</v>
      </c>
      <c r="D401" t="s">
        <v>1641</v>
      </c>
      <c r="E401" t="s">
        <v>902</v>
      </c>
      <c r="F401">
        <f>ROUNDUP(Titanic_DATASET[[#This Row],[Age Correción 2]],0)</f>
        <v>38</v>
      </c>
      <c r="G401" s="4">
        <f>VALUE(SUBSTITUTE(Titanic_DATASET[[#This Row],[Age Correción.]],".",","))</f>
        <v>38</v>
      </c>
      <c r="H401" s="5">
        <v>38</v>
      </c>
      <c r="I401">
        <v>38</v>
      </c>
      <c r="J401">
        <v>0</v>
      </c>
      <c r="K401">
        <v>0</v>
      </c>
      <c r="L401" s="3">
        <v>315089</v>
      </c>
      <c r="M401" s="6">
        <f t="shared" si="12"/>
        <v>86625</v>
      </c>
      <c r="N401" s="1">
        <v>86625</v>
      </c>
      <c r="O401" s="1" t="str">
        <f t="shared" si="13"/>
        <v>Desconocido</v>
      </c>
      <c r="Q401" t="s">
        <v>905</v>
      </c>
    </row>
    <row r="402" spans="1:17" x14ac:dyDescent="0.25">
      <c r="A402">
        <v>845</v>
      </c>
      <c r="B402">
        <v>0</v>
      </c>
      <c r="C402">
        <v>3</v>
      </c>
      <c r="D402" t="s">
        <v>2139</v>
      </c>
      <c r="E402" t="s">
        <v>902</v>
      </c>
      <c r="F402">
        <f>ROUNDUP(Titanic_DATASET[[#This Row],[Age Correción 2]],0)</f>
        <v>17</v>
      </c>
      <c r="G402" s="4">
        <f>VALUE(SUBSTITUTE(Titanic_DATASET[[#This Row],[Age Correción.]],".",","))</f>
        <v>17</v>
      </c>
      <c r="H402" s="5">
        <v>17</v>
      </c>
      <c r="I402">
        <v>17</v>
      </c>
      <c r="J402">
        <v>0</v>
      </c>
      <c r="K402">
        <v>0</v>
      </c>
      <c r="L402" s="3">
        <v>315090</v>
      </c>
      <c r="M402" s="6">
        <f t="shared" si="12"/>
        <v>86625</v>
      </c>
      <c r="N402" s="1">
        <v>86625</v>
      </c>
      <c r="O402" s="1" t="str">
        <f t="shared" si="13"/>
        <v>Desconocido</v>
      </c>
      <c r="Q402" t="s">
        <v>905</v>
      </c>
    </row>
    <row r="403" spans="1:17" x14ac:dyDescent="0.25">
      <c r="A403">
        <v>164</v>
      </c>
      <c r="B403">
        <v>0</v>
      </c>
      <c r="C403">
        <v>3</v>
      </c>
      <c r="D403" t="s">
        <v>1182</v>
      </c>
      <c r="E403" t="s">
        <v>902</v>
      </c>
      <c r="F403">
        <f>ROUNDUP(Titanic_DATASET[[#This Row],[Age Correción 2]],0)</f>
        <v>17</v>
      </c>
      <c r="G403" s="4">
        <f>VALUE(SUBSTITUTE(Titanic_DATASET[[#This Row],[Age Correción.]],".",","))</f>
        <v>17</v>
      </c>
      <c r="H403" s="5">
        <v>17</v>
      </c>
      <c r="I403">
        <v>17</v>
      </c>
      <c r="J403">
        <v>0</v>
      </c>
      <c r="K403">
        <v>0</v>
      </c>
      <c r="L403" s="3">
        <v>315093</v>
      </c>
      <c r="M403" s="6">
        <f t="shared" si="12"/>
        <v>86625</v>
      </c>
      <c r="N403" s="1">
        <v>86625</v>
      </c>
      <c r="O403" s="1" t="str">
        <f t="shared" si="13"/>
        <v>Desconocido</v>
      </c>
      <c r="Q403" t="s">
        <v>905</v>
      </c>
    </row>
    <row r="404" spans="1:17" x14ac:dyDescent="0.25">
      <c r="A404">
        <v>726</v>
      </c>
      <c r="B404">
        <v>0</v>
      </c>
      <c r="C404">
        <v>3</v>
      </c>
      <c r="D404" t="s">
        <v>1984</v>
      </c>
      <c r="E404" t="s">
        <v>902</v>
      </c>
      <c r="F404">
        <f>ROUNDUP(Titanic_DATASET[[#This Row],[Age Correción 2]],0)</f>
        <v>20</v>
      </c>
      <c r="G404" s="4">
        <f>VALUE(SUBSTITUTE(Titanic_DATASET[[#This Row],[Age Correción.]],".",","))</f>
        <v>20</v>
      </c>
      <c r="H404" s="5">
        <v>20</v>
      </c>
      <c r="I404">
        <v>20</v>
      </c>
      <c r="J404">
        <v>0</v>
      </c>
      <c r="K404">
        <v>0</v>
      </c>
      <c r="L404" s="3">
        <v>315094</v>
      </c>
      <c r="M404" s="6">
        <f t="shared" si="12"/>
        <v>86625</v>
      </c>
      <c r="N404" s="1">
        <v>86625</v>
      </c>
      <c r="O404" s="1" t="str">
        <f t="shared" si="13"/>
        <v>Desconocido</v>
      </c>
      <c r="Q404" t="s">
        <v>905</v>
      </c>
    </row>
    <row r="405" spans="1:17" x14ac:dyDescent="0.25">
      <c r="A405">
        <v>405</v>
      </c>
      <c r="B405">
        <v>0</v>
      </c>
      <c r="C405">
        <v>3</v>
      </c>
      <c r="D405" t="s">
        <v>1548</v>
      </c>
      <c r="E405" t="s">
        <v>907</v>
      </c>
      <c r="F405">
        <f>ROUNDUP(Titanic_DATASET[[#This Row],[Age Correción 2]],0)</f>
        <v>20</v>
      </c>
      <c r="G405" s="4">
        <f>VALUE(SUBSTITUTE(Titanic_DATASET[[#This Row],[Age Correción.]],".",","))</f>
        <v>20</v>
      </c>
      <c r="H405" s="5">
        <v>20</v>
      </c>
      <c r="I405">
        <v>20</v>
      </c>
      <c r="J405">
        <v>0</v>
      </c>
      <c r="K405">
        <v>0</v>
      </c>
      <c r="L405" s="3">
        <v>315096</v>
      </c>
      <c r="M405" s="6">
        <f t="shared" si="12"/>
        <v>86625</v>
      </c>
      <c r="N405" s="1">
        <v>86625</v>
      </c>
      <c r="O405" s="1" t="str">
        <f t="shared" si="13"/>
        <v>Desconocido</v>
      </c>
      <c r="Q405" t="s">
        <v>905</v>
      </c>
    </row>
    <row r="406" spans="1:17" x14ac:dyDescent="0.25">
      <c r="A406">
        <v>837</v>
      </c>
      <c r="B406">
        <v>0</v>
      </c>
      <c r="C406">
        <v>3</v>
      </c>
      <c r="D406" t="s">
        <v>2128</v>
      </c>
      <c r="E406" t="s">
        <v>902</v>
      </c>
      <c r="F406">
        <f>ROUNDUP(Titanic_DATASET[[#This Row],[Age Correción 2]],0)</f>
        <v>21</v>
      </c>
      <c r="G406" s="4">
        <f>VALUE(SUBSTITUTE(Titanic_DATASET[[#This Row],[Age Correción.]],".",","))</f>
        <v>21</v>
      </c>
      <c r="H406" s="5">
        <v>21</v>
      </c>
      <c r="I406">
        <v>21</v>
      </c>
      <c r="J406">
        <v>0</v>
      </c>
      <c r="K406">
        <v>0</v>
      </c>
      <c r="L406" s="3">
        <v>315097</v>
      </c>
      <c r="M406" s="6">
        <f t="shared" si="12"/>
        <v>86625</v>
      </c>
      <c r="N406" s="1">
        <v>86625</v>
      </c>
      <c r="O406" s="1" t="str">
        <f t="shared" si="13"/>
        <v>Desconocido</v>
      </c>
      <c r="Q406" t="s">
        <v>905</v>
      </c>
    </row>
    <row r="407" spans="1:17" x14ac:dyDescent="0.25">
      <c r="A407">
        <v>822</v>
      </c>
      <c r="B407">
        <v>1</v>
      </c>
      <c r="C407">
        <v>3</v>
      </c>
      <c r="D407" t="s">
        <v>2109</v>
      </c>
      <c r="E407" t="s">
        <v>902</v>
      </c>
      <c r="F407">
        <f>ROUNDUP(Titanic_DATASET[[#This Row],[Age Correción 2]],0)</f>
        <v>27</v>
      </c>
      <c r="G407" s="4">
        <f>VALUE(SUBSTITUTE(Titanic_DATASET[[#This Row],[Age Correción.]],".",","))</f>
        <v>27</v>
      </c>
      <c r="H407" s="5">
        <v>27</v>
      </c>
      <c r="I407">
        <v>27</v>
      </c>
      <c r="J407">
        <v>0</v>
      </c>
      <c r="K407">
        <v>0</v>
      </c>
      <c r="L407" s="3">
        <v>315098</v>
      </c>
      <c r="M407" s="6">
        <f t="shared" si="12"/>
        <v>86625</v>
      </c>
      <c r="N407" s="1">
        <v>86625</v>
      </c>
      <c r="O407" s="1" t="str">
        <f t="shared" si="13"/>
        <v>Desconocido</v>
      </c>
      <c r="Q407" t="s">
        <v>905</v>
      </c>
    </row>
    <row r="408" spans="1:17" x14ac:dyDescent="0.25">
      <c r="A408">
        <v>70</v>
      </c>
      <c r="B408">
        <v>0</v>
      </c>
      <c r="C408">
        <v>3</v>
      </c>
      <c r="D408" t="s">
        <v>1025</v>
      </c>
      <c r="E408" t="s">
        <v>902</v>
      </c>
      <c r="F408">
        <f>ROUNDUP(Titanic_DATASET[[#This Row],[Age Correción 2]],0)</f>
        <v>26</v>
      </c>
      <c r="G408" s="4">
        <f>VALUE(SUBSTITUTE(Titanic_DATASET[[#This Row],[Age Correción.]],".",","))</f>
        <v>26</v>
      </c>
      <c r="H408" s="5">
        <v>26</v>
      </c>
      <c r="I408">
        <v>26</v>
      </c>
      <c r="J408">
        <v>2</v>
      </c>
      <c r="K408">
        <v>0</v>
      </c>
      <c r="L408" s="3">
        <v>315151</v>
      </c>
      <c r="M408" s="6">
        <f t="shared" si="12"/>
        <v>86625</v>
      </c>
      <c r="N408" s="1">
        <v>86625</v>
      </c>
      <c r="O408" s="1" t="str">
        <f t="shared" si="13"/>
        <v>Desconocido</v>
      </c>
      <c r="Q408" t="s">
        <v>905</v>
      </c>
    </row>
    <row r="409" spans="1:17" x14ac:dyDescent="0.25">
      <c r="A409">
        <v>185</v>
      </c>
      <c r="B409">
        <v>1</v>
      </c>
      <c r="C409">
        <v>3</v>
      </c>
      <c r="D409" t="s">
        <v>1215</v>
      </c>
      <c r="E409" t="s">
        <v>907</v>
      </c>
      <c r="F409">
        <f>ROUNDUP(Titanic_DATASET[[#This Row],[Age Correción 2]],0)</f>
        <v>4</v>
      </c>
      <c r="G409" s="4">
        <f>VALUE(SUBSTITUTE(Titanic_DATASET[[#This Row],[Age Correción.]],".",","))</f>
        <v>4</v>
      </c>
      <c r="H409" s="5">
        <v>4</v>
      </c>
      <c r="I409">
        <v>4</v>
      </c>
      <c r="J409">
        <v>0</v>
      </c>
      <c r="K409">
        <v>2</v>
      </c>
      <c r="L409" s="3">
        <v>315153</v>
      </c>
      <c r="M409" s="6">
        <f t="shared" si="12"/>
        <v>22025</v>
      </c>
      <c r="N409" s="1">
        <v>22025</v>
      </c>
      <c r="O409" s="1" t="str">
        <f t="shared" si="13"/>
        <v>Desconocido</v>
      </c>
      <c r="Q409" t="s">
        <v>905</v>
      </c>
    </row>
    <row r="410" spans="1:17" x14ac:dyDescent="0.25">
      <c r="A410">
        <v>471</v>
      </c>
      <c r="B410">
        <v>0</v>
      </c>
      <c r="C410">
        <v>3</v>
      </c>
      <c r="D410" t="s">
        <v>1640</v>
      </c>
      <c r="E410" t="s">
        <v>902</v>
      </c>
      <c r="F410">
        <f>ROUNDUP(Titanic_DATASET[[#This Row],[Age Correción 2]],0)</f>
        <v>58</v>
      </c>
      <c r="G410" s="4">
        <f>VALUE(SUBSTITUTE(Titanic_DATASET[[#This Row],[Age Correción.]],".",","))</f>
        <v>58</v>
      </c>
      <c r="H410" s="5">
        <v>58</v>
      </c>
      <c r="J410">
        <v>0</v>
      </c>
      <c r="K410">
        <v>0</v>
      </c>
      <c r="L410" s="3">
        <v>323592</v>
      </c>
      <c r="M410" s="6">
        <f t="shared" si="12"/>
        <v>7.25</v>
      </c>
      <c r="N410" t="s">
        <v>904</v>
      </c>
      <c r="O410" t="str">
        <f t="shared" si="13"/>
        <v>Desconocido</v>
      </c>
      <c r="Q410" t="s">
        <v>905</v>
      </c>
    </row>
    <row r="411" spans="1:17" x14ac:dyDescent="0.25">
      <c r="A411">
        <v>373</v>
      </c>
      <c r="B411">
        <v>0</v>
      </c>
      <c r="C411">
        <v>3</v>
      </c>
      <c r="D411" t="s">
        <v>1507</v>
      </c>
      <c r="E411" t="s">
        <v>902</v>
      </c>
      <c r="F411">
        <f>ROUNDUP(Titanic_DATASET[[#This Row],[Age Correción 2]],0)</f>
        <v>19</v>
      </c>
      <c r="G411" s="4">
        <f>VALUE(SUBSTITUTE(Titanic_DATASET[[#This Row],[Age Correción.]],".",","))</f>
        <v>19</v>
      </c>
      <c r="H411" s="5">
        <v>19</v>
      </c>
      <c r="I411">
        <v>19</v>
      </c>
      <c r="J411">
        <v>0</v>
      </c>
      <c r="K411">
        <v>0</v>
      </c>
      <c r="L411" s="3">
        <v>323951</v>
      </c>
      <c r="M411" s="6">
        <f t="shared" si="12"/>
        <v>8.0500000000000007</v>
      </c>
      <c r="N411" t="s">
        <v>917</v>
      </c>
      <c r="O411" t="str">
        <f t="shared" si="13"/>
        <v>Desconocido</v>
      </c>
      <c r="Q411" t="s">
        <v>905</v>
      </c>
    </row>
    <row r="412" spans="1:17" x14ac:dyDescent="0.25">
      <c r="A412">
        <v>113</v>
      </c>
      <c r="B412">
        <v>0</v>
      </c>
      <c r="C412">
        <v>3</v>
      </c>
      <c r="D412" t="s">
        <v>1091</v>
      </c>
      <c r="E412" t="s">
        <v>902</v>
      </c>
      <c r="F412">
        <f>ROUNDUP(Titanic_DATASET[[#This Row],[Age Correción 2]],0)</f>
        <v>22</v>
      </c>
      <c r="G412" s="4">
        <f>VALUE(SUBSTITUTE(Titanic_DATASET[[#This Row],[Age Correción.]],".",","))</f>
        <v>22</v>
      </c>
      <c r="H412" s="5">
        <v>22</v>
      </c>
      <c r="I412">
        <v>22</v>
      </c>
      <c r="J412">
        <v>0</v>
      </c>
      <c r="K412">
        <v>0</v>
      </c>
      <c r="L412" s="3">
        <v>324669</v>
      </c>
      <c r="M412" s="6">
        <f t="shared" si="12"/>
        <v>8.0500000000000007</v>
      </c>
      <c r="N412" t="s">
        <v>917</v>
      </c>
      <c r="O412" t="str">
        <f t="shared" si="13"/>
        <v>Desconocido</v>
      </c>
      <c r="Q412" t="s">
        <v>905</v>
      </c>
    </row>
    <row r="413" spans="1:17" x14ac:dyDescent="0.25">
      <c r="A413">
        <v>6</v>
      </c>
      <c r="B413">
        <v>0</v>
      </c>
      <c r="C413">
        <v>3</v>
      </c>
      <c r="D413" t="s">
        <v>918</v>
      </c>
      <c r="E413" t="s">
        <v>902</v>
      </c>
      <c r="F413">
        <f>ROUNDUP(Titanic_DATASET[[#This Row],[Age Correción 2]],0)</f>
        <v>74</v>
      </c>
      <c r="G413" s="4">
        <f>VALUE(SUBSTITUTE(Titanic_DATASET[[#This Row],[Age Correción.]],".",","))</f>
        <v>74</v>
      </c>
      <c r="H413" s="5">
        <v>74</v>
      </c>
      <c r="J413">
        <v>0</v>
      </c>
      <c r="K413">
        <v>0</v>
      </c>
      <c r="L413" s="3">
        <v>330877</v>
      </c>
      <c r="M413" s="6">
        <f t="shared" si="12"/>
        <v>84583</v>
      </c>
      <c r="N413" s="1">
        <v>84583</v>
      </c>
      <c r="O413" s="1" t="str">
        <f t="shared" si="13"/>
        <v>Desconocido</v>
      </c>
      <c r="Q413" t="s">
        <v>919</v>
      </c>
    </row>
    <row r="414" spans="1:17" x14ac:dyDescent="0.25">
      <c r="A414">
        <v>503</v>
      </c>
      <c r="B414">
        <v>0</v>
      </c>
      <c r="C414">
        <v>3</v>
      </c>
      <c r="D414" t="s">
        <v>1684</v>
      </c>
      <c r="E414" t="s">
        <v>907</v>
      </c>
      <c r="F414">
        <f>ROUNDUP(Titanic_DATASET[[#This Row],[Age Correción 2]],0)</f>
        <v>47</v>
      </c>
      <c r="G414" s="4">
        <f>VALUE(SUBSTITUTE(Titanic_DATASET[[#This Row],[Age Correción.]],".",","))</f>
        <v>47</v>
      </c>
      <c r="H414" s="5">
        <v>47</v>
      </c>
      <c r="J414">
        <v>0</v>
      </c>
      <c r="K414">
        <v>0</v>
      </c>
      <c r="L414" s="3">
        <v>330909</v>
      </c>
      <c r="M414" s="6">
        <f t="shared" si="12"/>
        <v>76292</v>
      </c>
      <c r="N414" s="1">
        <v>76292</v>
      </c>
      <c r="O414" s="1" t="str">
        <f t="shared" si="13"/>
        <v>Desconocido</v>
      </c>
      <c r="Q414" t="s">
        <v>919</v>
      </c>
    </row>
    <row r="415" spans="1:17" x14ac:dyDescent="0.25">
      <c r="A415">
        <v>654</v>
      </c>
      <c r="B415">
        <v>1</v>
      </c>
      <c r="C415">
        <v>3</v>
      </c>
      <c r="D415" t="s">
        <v>1890</v>
      </c>
      <c r="E415" t="s">
        <v>907</v>
      </c>
      <c r="F415">
        <f>ROUNDUP(Titanic_DATASET[[#This Row],[Age Correción 2]],0)</f>
        <v>75</v>
      </c>
      <c r="G415" s="4">
        <f>VALUE(SUBSTITUTE(Titanic_DATASET[[#This Row],[Age Correción.]],".",","))</f>
        <v>75</v>
      </c>
      <c r="H415" s="5">
        <v>75</v>
      </c>
      <c r="J415">
        <v>0</v>
      </c>
      <c r="K415">
        <v>0</v>
      </c>
      <c r="L415" s="3">
        <v>330919</v>
      </c>
      <c r="M415" s="6">
        <f t="shared" si="12"/>
        <v>78292</v>
      </c>
      <c r="N415" s="1">
        <v>78292</v>
      </c>
      <c r="O415" s="1" t="str">
        <f t="shared" si="13"/>
        <v>Desconocido</v>
      </c>
      <c r="Q415" t="s">
        <v>919</v>
      </c>
    </row>
    <row r="416" spans="1:17" x14ac:dyDescent="0.25">
      <c r="A416">
        <v>23</v>
      </c>
      <c r="B416">
        <v>1</v>
      </c>
      <c r="C416">
        <v>3</v>
      </c>
      <c r="D416" t="s">
        <v>944</v>
      </c>
      <c r="E416" t="s">
        <v>907</v>
      </c>
      <c r="F416">
        <f>ROUNDUP(Titanic_DATASET[[#This Row],[Age Correción 2]],0)</f>
        <v>15</v>
      </c>
      <c r="G416" s="4">
        <f>VALUE(SUBSTITUTE(Titanic_DATASET[[#This Row],[Age Correción.]],".",","))</f>
        <v>15</v>
      </c>
      <c r="H416" s="5">
        <v>15</v>
      </c>
      <c r="I416">
        <v>15</v>
      </c>
      <c r="J416">
        <v>0</v>
      </c>
      <c r="K416">
        <v>0</v>
      </c>
      <c r="L416" s="3">
        <v>330923</v>
      </c>
      <c r="M416" s="6">
        <f t="shared" si="12"/>
        <v>80292</v>
      </c>
      <c r="N416" s="1">
        <v>80292</v>
      </c>
      <c r="O416" s="1" t="str">
        <f t="shared" si="13"/>
        <v>Desconocido</v>
      </c>
      <c r="Q416" t="s">
        <v>919</v>
      </c>
    </row>
    <row r="417" spans="1:17" x14ac:dyDescent="0.25">
      <c r="A417">
        <v>359</v>
      </c>
      <c r="B417">
        <v>1</v>
      </c>
      <c r="C417">
        <v>3</v>
      </c>
      <c r="D417" t="s">
        <v>1484</v>
      </c>
      <c r="E417" t="s">
        <v>907</v>
      </c>
      <c r="F417">
        <f>ROUNDUP(Titanic_DATASET[[#This Row],[Age Correción 2]],0)</f>
        <v>79</v>
      </c>
      <c r="G417" s="4">
        <f>VALUE(SUBSTITUTE(Titanic_DATASET[[#This Row],[Age Correción.]],".",","))</f>
        <v>79</v>
      </c>
      <c r="H417" s="5">
        <v>79</v>
      </c>
      <c r="J417">
        <v>0</v>
      </c>
      <c r="K417">
        <v>0</v>
      </c>
      <c r="L417" s="3">
        <v>330931</v>
      </c>
      <c r="M417" s="6">
        <f t="shared" si="12"/>
        <v>78792</v>
      </c>
      <c r="N417" s="1">
        <v>78792</v>
      </c>
      <c r="O417" s="1" t="str">
        <f t="shared" si="13"/>
        <v>Desconocido</v>
      </c>
      <c r="Q417" t="s">
        <v>919</v>
      </c>
    </row>
    <row r="418" spans="1:17" x14ac:dyDescent="0.25">
      <c r="A418">
        <v>83</v>
      </c>
      <c r="B418">
        <v>1</v>
      </c>
      <c r="C418">
        <v>3</v>
      </c>
      <c r="D418" t="s">
        <v>1045</v>
      </c>
      <c r="E418" t="s">
        <v>907</v>
      </c>
      <c r="F418">
        <f>ROUNDUP(Titanic_DATASET[[#This Row],[Age Correción 2]],0)</f>
        <v>20</v>
      </c>
      <c r="G418" s="4">
        <f>VALUE(SUBSTITUTE(Titanic_DATASET[[#This Row],[Age Correción.]],".",","))</f>
        <v>20</v>
      </c>
      <c r="H418" s="5">
        <v>20</v>
      </c>
      <c r="J418">
        <v>0</v>
      </c>
      <c r="K418">
        <v>0</v>
      </c>
      <c r="L418" s="3">
        <v>330932</v>
      </c>
      <c r="M418" s="6">
        <f t="shared" si="12"/>
        <v>77875</v>
      </c>
      <c r="N418" s="1">
        <v>77875</v>
      </c>
      <c r="O418" s="1" t="str">
        <f t="shared" si="13"/>
        <v>Desconocido</v>
      </c>
      <c r="Q418" t="s">
        <v>919</v>
      </c>
    </row>
    <row r="419" spans="1:17" x14ac:dyDescent="0.25">
      <c r="A419">
        <v>681</v>
      </c>
      <c r="B419">
        <v>0</v>
      </c>
      <c r="C419">
        <v>3</v>
      </c>
      <c r="D419" t="s">
        <v>1927</v>
      </c>
      <c r="E419" t="s">
        <v>907</v>
      </c>
      <c r="F419">
        <f>ROUNDUP(Titanic_DATASET[[#This Row],[Age Correción 2]],0)</f>
        <v>79</v>
      </c>
      <c r="G419" s="4">
        <f>VALUE(SUBSTITUTE(Titanic_DATASET[[#This Row],[Age Correción.]],".",","))</f>
        <v>79</v>
      </c>
      <c r="H419" s="5">
        <v>79</v>
      </c>
      <c r="J419">
        <v>0</v>
      </c>
      <c r="K419">
        <v>0</v>
      </c>
      <c r="L419" s="3">
        <v>330935</v>
      </c>
      <c r="M419" s="6">
        <f t="shared" si="12"/>
        <v>81375</v>
      </c>
      <c r="N419" s="1">
        <v>81375</v>
      </c>
      <c r="O419" s="1" t="str">
        <f t="shared" si="13"/>
        <v>Desconocido</v>
      </c>
      <c r="Q419" t="s">
        <v>919</v>
      </c>
    </row>
    <row r="420" spans="1:17" x14ac:dyDescent="0.25">
      <c r="A420">
        <v>45</v>
      </c>
      <c r="B420">
        <v>1</v>
      </c>
      <c r="C420">
        <v>3</v>
      </c>
      <c r="D420" t="s">
        <v>978</v>
      </c>
      <c r="E420" t="s">
        <v>907</v>
      </c>
      <c r="F420">
        <f>ROUNDUP(Titanic_DATASET[[#This Row],[Age Correción 2]],0)</f>
        <v>19</v>
      </c>
      <c r="G420" s="4">
        <f>VALUE(SUBSTITUTE(Titanic_DATASET[[#This Row],[Age Correción.]],".",","))</f>
        <v>19</v>
      </c>
      <c r="H420" s="5">
        <v>19</v>
      </c>
      <c r="I420">
        <v>19</v>
      </c>
      <c r="J420">
        <v>0</v>
      </c>
      <c r="K420">
        <v>0</v>
      </c>
      <c r="L420" s="3">
        <v>330958</v>
      </c>
      <c r="M420" s="6">
        <f t="shared" si="12"/>
        <v>78792</v>
      </c>
      <c r="N420" s="1">
        <v>78792</v>
      </c>
      <c r="O420" s="1" t="str">
        <f t="shared" si="13"/>
        <v>Desconocido</v>
      </c>
      <c r="Q420" t="s">
        <v>919</v>
      </c>
    </row>
    <row r="421" spans="1:17" x14ac:dyDescent="0.25">
      <c r="A421">
        <v>29</v>
      </c>
      <c r="B421">
        <v>1</v>
      </c>
      <c r="C421">
        <v>3</v>
      </c>
      <c r="D421" t="s">
        <v>953</v>
      </c>
      <c r="E421" t="s">
        <v>907</v>
      </c>
      <c r="F421">
        <f>ROUNDUP(Titanic_DATASET[[#This Row],[Age Correción 2]],0)</f>
        <v>41</v>
      </c>
      <c r="G421" s="4">
        <f>VALUE(SUBSTITUTE(Titanic_DATASET[[#This Row],[Age Correción.]],".",","))</f>
        <v>41</v>
      </c>
      <c r="H421" s="5">
        <v>41</v>
      </c>
      <c r="J421">
        <v>0</v>
      </c>
      <c r="K421">
        <v>0</v>
      </c>
      <c r="L421" s="3">
        <v>330959</v>
      </c>
      <c r="M421" s="6">
        <f t="shared" si="12"/>
        <v>78792</v>
      </c>
      <c r="N421" s="1">
        <v>78792</v>
      </c>
      <c r="O421" s="1" t="str">
        <f t="shared" si="13"/>
        <v>Desconocido</v>
      </c>
      <c r="Q421" t="s">
        <v>919</v>
      </c>
    </row>
    <row r="422" spans="1:17" x14ac:dyDescent="0.25">
      <c r="A422">
        <v>553</v>
      </c>
      <c r="B422">
        <v>0</v>
      </c>
      <c r="C422">
        <v>3</v>
      </c>
      <c r="D422" t="s">
        <v>1757</v>
      </c>
      <c r="E422" t="s">
        <v>902</v>
      </c>
      <c r="F422">
        <f>ROUNDUP(Titanic_DATASET[[#This Row],[Age Correción 2]],0)</f>
        <v>22</v>
      </c>
      <c r="G422" s="4">
        <f>VALUE(SUBSTITUTE(Titanic_DATASET[[#This Row],[Age Correción.]],".",","))</f>
        <v>22</v>
      </c>
      <c r="H422" s="5">
        <v>22</v>
      </c>
      <c r="J422">
        <v>0</v>
      </c>
      <c r="K422">
        <v>0</v>
      </c>
      <c r="L422" s="3">
        <v>330979</v>
      </c>
      <c r="M422" s="6">
        <f t="shared" si="12"/>
        <v>78292</v>
      </c>
      <c r="N422" s="1">
        <v>78292</v>
      </c>
      <c r="O422" s="1" t="str">
        <f t="shared" si="13"/>
        <v>Desconocido</v>
      </c>
      <c r="Q422" t="s">
        <v>919</v>
      </c>
    </row>
    <row r="423" spans="1:17" x14ac:dyDescent="0.25">
      <c r="A423">
        <v>360</v>
      </c>
      <c r="B423">
        <v>1</v>
      </c>
      <c r="C423">
        <v>3</v>
      </c>
      <c r="D423" t="s">
        <v>1485</v>
      </c>
      <c r="E423" t="s">
        <v>907</v>
      </c>
      <c r="F423">
        <f>ROUNDUP(Titanic_DATASET[[#This Row],[Age Correción 2]],0)</f>
        <v>79</v>
      </c>
      <c r="G423" s="4">
        <f>VALUE(SUBSTITUTE(Titanic_DATASET[[#This Row],[Age Correción.]],".",","))</f>
        <v>79</v>
      </c>
      <c r="H423" s="5">
        <v>79</v>
      </c>
      <c r="J423">
        <v>0</v>
      </c>
      <c r="K423">
        <v>0</v>
      </c>
      <c r="L423" s="3">
        <v>330980</v>
      </c>
      <c r="M423" s="6">
        <f t="shared" si="12"/>
        <v>78792</v>
      </c>
      <c r="N423" s="1">
        <v>78792</v>
      </c>
      <c r="O423" s="1" t="str">
        <f t="shared" si="13"/>
        <v>Desconocido</v>
      </c>
      <c r="Q423" t="s">
        <v>919</v>
      </c>
    </row>
    <row r="424" spans="1:17" x14ac:dyDescent="0.25">
      <c r="A424">
        <v>630</v>
      </c>
      <c r="B424">
        <v>0</v>
      </c>
      <c r="C424">
        <v>3</v>
      </c>
      <c r="D424" t="s">
        <v>1860</v>
      </c>
      <c r="E424" t="s">
        <v>902</v>
      </c>
      <c r="F424">
        <f>ROUNDUP(Titanic_DATASET[[#This Row],[Age Correción 2]],0)</f>
        <v>63</v>
      </c>
      <c r="G424" s="4">
        <f>VALUE(SUBSTITUTE(Titanic_DATASET[[#This Row],[Age Correción.]],".",","))</f>
        <v>63</v>
      </c>
      <c r="H424" s="5">
        <v>63</v>
      </c>
      <c r="J424">
        <v>0</v>
      </c>
      <c r="K424">
        <v>0</v>
      </c>
      <c r="L424" s="3">
        <v>334912</v>
      </c>
      <c r="M424" s="6">
        <f t="shared" si="12"/>
        <v>77333</v>
      </c>
      <c r="N424" s="1">
        <v>77333</v>
      </c>
      <c r="O424" s="1" t="str">
        <f t="shared" si="13"/>
        <v>Desconocido</v>
      </c>
      <c r="Q424" t="s">
        <v>919</v>
      </c>
    </row>
    <row r="425" spans="1:17" x14ac:dyDescent="0.25">
      <c r="A425">
        <v>750</v>
      </c>
      <c r="B425">
        <v>0</v>
      </c>
      <c r="C425">
        <v>3</v>
      </c>
      <c r="D425" t="s">
        <v>2014</v>
      </c>
      <c r="E425" t="s">
        <v>902</v>
      </c>
      <c r="F425">
        <f>ROUNDUP(Titanic_DATASET[[#This Row],[Age Correción 2]],0)</f>
        <v>31</v>
      </c>
      <c r="G425" s="4">
        <f>VALUE(SUBSTITUTE(Titanic_DATASET[[#This Row],[Age Correción.]],".",","))</f>
        <v>31</v>
      </c>
      <c r="H425" s="5">
        <v>31</v>
      </c>
      <c r="I425">
        <v>31</v>
      </c>
      <c r="J425">
        <v>0</v>
      </c>
      <c r="K425">
        <v>0</v>
      </c>
      <c r="L425" s="3">
        <v>335097</v>
      </c>
      <c r="M425" s="6">
        <f t="shared" si="12"/>
        <v>7.75</v>
      </c>
      <c r="N425" t="s">
        <v>961</v>
      </c>
      <c r="O425" t="str">
        <f t="shared" si="13"/>
        <v>Desconocido</v>
      </c>
      <c r="Q425" t="s">
        <v>919</v>
      </c>
    </row>
    <row r="426" spans="1:17" x14ac:dyDescent="0.25">
      <c r="A426">
        <v>33</v>
      </c>
      <c r="B426">
        <v>1</v>
      </c>
      <c r="C426">
        <v>3</v>
      </c>
      <c r="D426" t="s">
        <v>960</v>
      </c>
      <c r="E426" t="s">
        <v>907</v>
      </c>
      <c r="F426">
        <f>ROUNDUP(Titanic_DATASET[[#This Row],[Age Correción 2]],0)</f>
        <v>20</v>
      </c>
      <c r="G426" s="4">
        <f>VALUE(SUBSTITUTE(Titanic_DATASET[[#This Row],[Age Correción.]],".",","))</f>
        <v>20</v>
      </c>
      <c r="H426" s="5">
        <v>20</v>
      </c>
      <c r="J426">
        <v>0</v>
      </c>
      <c r="K426">
        <v>0</v>
      </c>
      <c r="L426" s="3">
        <v>335677</v>
      </c>
      <c r="M426" s="6">
        <f t="shared" si="12"/>
        <v>7.75</v>
      </c>
      <c r="N426" t="s">
        <v>961</v>
      </c>
      <c r="O426" t="str">
        <f t="shared" si="13"/>
        <v>Desconocido</v>
      </c>
      <c r="Q426" t="s">
        <v>919</v>
      </c>
    </row>
    <row r="427" spans="1:17" x14ac:dyDescent="0.25">
      <c r="A427">
        <v>281</v>
      </c>
      <c r="B427">
        <v>0</v>
      </c>
      <c r="C427">
        <v>3</v>
      </c>
      <c r="D427" t="s">
        <v>1364</v>
      </c>
      <c r="E427" t="s">
        <v>902</v>
      </c>
      <c r="F427">
        <f>ROUNDUP(Titanic_DATASET[[#This Row],[Age Correción 2]],0)</f>
        <v>65</v>
      </c>
      <c r="G427" s="4">
        <f>VALUE(SUBSTITUTE(Titanic_DATASET[[#This Row],[Age Correción.]],".",","))</f>
        <v>65</v>
      </c>
      <c r="H427" s="5">
        <v>65</v>
      </c>
      <c r="I427">
        <v>65</v>
      </c>
      <c r="J427">
        <v>0</v>
      </c>
      <c r="K427">
        <v>0</v>
      </c>
      <c r="L427" s="3">
        <v>336439</v>
      </c>
      <c r="M427" s="6">
        <f t="shared" si="12"/>
        <v>7.75</v>
      </c>
      <c r="N427" t="s">
        <v>961</v>
      </c>
      <c r="O427" t="str">
        <f t="shared" si="13"/>
        <v>Desconocido</v>
      </c>
      <c r="Q427" t="s">
        <v>919</v>
      </c>
    </row>
    <row r="428" spans="1:17" x14ac:dyDescent="0.25">
      <c r="A428">
        <v>402</v>
      </c>
      <c r="B428">
        <v>0</v>
      </c>
      <c r="C428">
        <v>3</v>
      </c>
      <c r="D428" t="s">
        <v>1545</v>
      </c>
      <c r="E428" t="s">
        <v>902</v>
      </c>
      <c r="F428">
        <f>ROUNDUP(Titanic_DATASET[[#This Row],[Age Correción 2]],0)</f>
        <v>26</v>
      </c>
      <c r="G428" s="4">
        <f>VALUE(SUBSTITUTE(Titanic_DATASET[[#This Row],[Age Correción.]],".",","))</f>
        <v>26</v>
      </c>
      <c r="H428" s="5">
        <v>26</v>
      </c>
      <c r="I428">
        <v>26</v>
      </c>
      <c r="J428">
        <v>0</v>
      </c>
      <c r="K428">
        <v>0</v>
      </c>
      <c r="L428" s="3">
        <v>341826</v>
      </c>
      <c r="M428" s="6">
        <f t="shared" si="12"/>
        <v>8.0500000000000007</v>
      </c>
      <c r="N428" t="s">
        <v>917</v>
      </c>
      <c r="O428" t="str">
        <f t="shared" si="13"/>
        <v>Desconocido</v>
      </c>
      <c r="Q428" t="s">
        <v>905</v>
      </c>
    </row>
    <row r="429" spans="1:17" x14ac:dyDescent="0.25">
      <c r="A429">
        <v>677</v>
      </c>
      <c r="B429">
        <v>0</v>
      </c>
      <c r="C429">
        <v>3</v>
      </c>
      <c r="D429" t="s">
        <v>1921</v>
      </c>
      <c r="E429" t="s">
        <v>902</v>
      </c>
      <c r="F429">
        <f>ROUNDUP(Titanic_DATASET[[#This Row],[Age Correción 2]],0)</f>
        <v>25</v>
      </c>
      <c r="G429" s="4">
        <f>VALUE(SUBSTITUTE(Titanic_DATASET[[#This Row],[Age Correción.]],".",","))</f>
        <v>24.5</v>
      </c>
      <c r="H429" s="5" t="s">
        <v>1922</v>
      </c>
      <c r="I429" t="s">
        <v>1922</v>
      </c>
      <c r="J429">
        <v>0</v>
      </c>
      <c r="K429">
        <v>0</v>
      </c>
      <c r="L429" s="3">
        <v>342826</v>
      </c>
      <c r="M429" s="6">
        <f t="shared" si="12"/>
        <v>8.0500000000000007</v>
      </c>
      <c r="N429" t="s">
        <v>917</v>
      </c>
      <c r="O429" t="str">
        <f t="shared" si="13"/>
        <v>Desconocido</v>
      </c>
      <c r="Q429" t="s">
        <v>905</v>
      </c>
    </row>
    <row r="430" spans="1:17" x14ac:dyDescent="0.25">
      <c r="A430">
        <v>416</v>
      </c>
      <c r="B430">
        <v>0</v>
      </c>
      <c r="C430">
        <v>3</v>
      </c>
      <c r="D430" t="s">
        <v>1561</v>
      </c>
      <c r="E430" t="s">
        <v>907</v>
      </c>
      <c r="F430">
        <f>ROUNDUP(Titanic_DATASET[[#This Row],[Age Correción 2]],0)</f>
        <v>61</v>
      </c>
      <c r="G430" s="4">
        <f>VALUE(SUBSTITUTE(Titanic_DATASET[[#This Row],[Age Correción.]],".",","))</f>
        <v>61</v>
      </c>
      <c r="H430" s="5">
        <v>61</v>
      </c>
      <c r="J430">
        <v>0</v>
      </c>
      <c r="K430">
        <v>0</v>
      </c>
      <c r="L430" s="3">
        <v>343095</v>
      </c>
      <c r="M430" s="6">
        <f t="shared" si="12"/>
        <v>8.0500000000000007</v>
      </c>
      <c r="N430" t="s">
        <v>917</v>
      </c>
      <c r="O430" t="str">
        <f t="shared" si="13"/>
        <v>Desconocido</v>
      </c>
      <c r="Q430" t="s">
        <v>905</v>
      </c>
    </row>
    <row r="431" spans="1:17" x14ac:dyDescent="0.25">
      <c r="A431">
        <v>107</v>
      </c>
      <c r="B431">
        <v>1</v>
      </c>
      <c r="C431">
        <v>3</v>
      </c>
      <c r="D431" t="s">
        <v>1082</v>
      </c>
      <c r="E431" t="s">
        <v>907</v>
      </c>
      <c r="F431">
        <f>ROUNDUP(Titanic_DATASET[[#This Row],[Age Correción 2]],0)</f>
        <v>21</v>
      </c>
      <c r="G431" s="4">
        <f>VALUE(SUBSTITUTE(Titanic_DATASET[[#This Row],[Age Correción.]],".",","))</f>
        <v>21</v>
      </c>
      <c r="H431" s="5">
        <v>21</v>
      </c>
      <c r="I431">
        <v>21</v>
      </c>
      <c r="J431">
        <v>0</v>
      </c>
      <c r="K431">
        <v>0</v>
      </c>
      <c r="L431" s="3">
        <v>343120</v>
      </c>
      <c r="M431" s="6">
        <f t="shared" si="12"/>
        <v>7.65</v>
      </c>
      <c r="N431" t="s">
        <v>1035</v>
      </c>
      <c r="O431" t="str">
        <f t="shared" si="13"/>
        <v>Desconocido</v>
      </c>
      <c r="Q431" t="s">
        <v>905</v>
      </c>
    </row>
    <row r="432" spans="1:17" x14ac:dyDescent="0.25">
      <c r="A432">
        <v>90</v>
      </c>
      <c r="B432">
        <v>0</v>
      </c>
      <c r="C432">
        <v>3</v>
      </c>
      <c r="D432" t="s">
        <v>1057</v>
      </c>
      <c r="E432" t="s">
        <v>902</v>
      </c>
      <c r="F432">
        <f>ROUNDUP(Titanic_DATASET[[#This Row],[Age Correción 2]],0)</f>
        <v>24</v>
      </c>
      <c r="G432" s="4">
        <f>VALUE(SUBSTITUTE(Titanic_DATASET[[#This Row],[Age Correción.]],".",","))</f>
        <v>24</v>
      </c>
      <c r="H432" s="5">
        <v>24</v>
      </c>
      <c r="I432">
        <v>24</v>
      </c>
      <c r="J432">
        <v>0</v>
      </c>
      <c r="K432">
        <v>0</v>
      </c>
      <c r="L432" s="3">
        <v>343275</v>
      </c>
      <c r="M432" s="6">
        <f t="shared" si="12"/>
        <v>8.0500000000000007</v>
      </c>
      <c r="N432" t="s">
        <v>917</v>
      </c>
      <c r="O432" t="str">
        <f t="shared" si="13"/>
        <v>Desconocido</v>
      </c>
      <c r="Q432" t="s">
        <v>905</v>
      </c>
    </row>
    <row r="433" spans="1:17" x14ac:dyDescent="0.25">
      <c r="A433">
        <v>91</v>
      </c>
      <c r="B433">
        <v>0</v>
      </c>
      <c r="C433">
        <v>3</v>
      </c>
      <c r="D433" t="s">
        <v>1058</v>
      </c>
      <c r="E433" t="s">
        <v>902</v>
      </c>
      <c r="F433">
        <f>ROUNDUP(Titanic_DATASET[[#This Row],[Age Correción 2]],0)</f>
        <v>29</v>
      </c>
      <c r="G433" s="4">
        <f>VALUE(SUBSTITUTE(Titanic_DATASET[[#This Row],[Age Correción.]],".",","))</f>
        <v>29</v>
      </c>
      <c r="H433" s="5">
        <v>29</v>
      </c>
      <c r="I433">
        <v>29</v>
      </c>
      <c r="J433">
        <v>0</v>
      </c>
      <c r="K433">
        <v>0</v>
      </c>
      <c r="L433" s="3">
        <v>343276</v>
      </c>
      <c r="M433" s="6">
        <f t="shared" si="12"/>
        <v>8.0500000000000007</v>
      </c>
      <c r="N433" t="s">
        <v>917</v>
      </c>
      <c r="O433" t="str">
        <f t="shared" si="13"/>
        <v>Desconocido</v>
      </c>
      <c r="Q433" t="s">
        <v>905</v>
      </c>
    </row>
    <row r="434" spans="1:17" x14ac:dyDescent="0.25">
      <c r="A434">
        <v>327</v>
      </c>
      <c r="B434">
        <v>0</v>
      </c>
      <c r="C434">
        <v>3</v>
      </c>
      <c r="D434" t="s">
        <v>1442</v>
      </c>
      <c r="E434" t="s">
        <v>902</v>
      </c>
      <c r="F434">
        <f>ROUNDUP(Titanic_DATASET[[#This Row],[Age Correción 2]],0)</f>
        <v>61</v>
      </c>
      <c r="G434" s="4">
        <f>VALUE(SUBSTITUTE(Titanic_DATASET[[#This Row],[Age Correción.]],".",","))</f>
        <v>61</v>
      </c>
      <c r="H434" s="5">
        <v>61</v>
      </c>
      <c r="I434">
        <v>61</v>
      </c>
      <c r="J434">
        <v>0</v>
      </c>
      <c r="K434">
        <v>0</v>
      </c>
      <c r="L434" s="3">
        <v>345364</v>
      </c>
      <c r="M434" s="6">
        <f t="shared" si="12"/>
        <v>62375</v>
      </c>
      <c r="N434" s="1">
        <v>62375</v>
      </c>
      <c r="O434" s="1" t="str">
        <f t="shared" si="13"/>
        <v>Desconocido</v>
      </c>
      <c r="Q434" t="s">
        <v>905</v>
      </c>
    </row>
    <row r="435" spans="1:17" x14ac:dyDescent="0.25">
      <c r="A435">
        <v>560</v>
      </c>
      <c r="B435">
        <v>1</v>
      </c>
      <c r="C435">
        <v>3</v>
      </c>
      <c r="D435" t="s">
        <v>1766</v>
      </c>
      <c r="E435" t="s">
        <v>907</v>
      </c>
      <c r="F435">
        <f>ROUNDUP(Titanic_DATASET[[#This Row],[Age Correción 2]],0)</f>
        <v>36</v>
      </c>
      <c r="G435" s="4">
        <f>VALUE(SUBSTITUTE(Titanic_DATASET[[#This Row],[Age Correción.]],".",","))</f>
        <v>36</v>
      </c>
      <c r="H435" s="5">
        <v>36</v>
      </c>
      <c r="I435">
        <v>36</v>
      </c>
      <c r="J435">
        <v>1</v>
      </c>
      <c r="K435">
        <v>0</v>
      </c>
      <c r="L435" s="3">
        <v>345572</v>
      </c>
      <c r="M435" s="6">
        <f t="shared" si="12"/>
        <v>17.399999999999999</v>
      </c>
      <c r="N435" t="s">
        <v>1767</v>
      </c>
      <c r="O435" t="str">
        <f t="shared" si="13"/>
        <v>Desconocido</v>
      </c>
      <c r="Q435" t="s">
        <v>905</v>
      </c>
    </row>
    <row r="436" spans="1:17" x14ac:dyDescent="0.25">
      <c r="A436">
        <v>19</v>
      </c>
      <c r="B436">
        <v>0</v>
      </c>
      <c r="C436">
        <v>3</v>
      </c>
      <c r="D436" t="s">
        <v>939</v>
      </c>
      <c r="E436" t="s">
        <v>907</v>
      </c>
      <c r="F436">
        <f>ROUNDUP(Titanic_DATASET[[#This Row],[Age Correción 2]],0)</f>
        <v>31</v>
      </c>
      <c r="G436" s="4">
        <f>VALUE(SUBSTITUTE(Titanic_DATASET[[#This Row],[Age Correción.]],".",","))</f>
        <v>31</v>
      </c>
      <c r="H436" s="5">
        <v>31</v>
      </c>
      <c r="I436">
        <v>31</v>
      </c>
      <c r="J436">
        <v>1</v>
      </c>
      <c r="K436">
        <v>0</v>
      </c>
      <c r="L436" s="3">
        <v>345763</v>
      </c>
      <c r="M436" s="6">
        <f t="shared" si="12"/>
        <v>18</v>
      </c>
      <c r="N436">
        <v>18</v>
      </c>
      <c r="O436" t="str">
        <f t="shared" si="13"/>
        <v>Desconocido</v>
      </c>
      <c r="Q436" t="s">
        <v>905</v>
      </c>
    </row>
    <row r="437" spans="1:17" x14ac:dyDescent="0.25">
      <c r="A437">
        <v>39</v>
      </c>
      <c r="B437">
        <v>0</v>
      </c>
      <c r="C437">
        <v>3</v>
      </c>
      <c r="D437" t="s">
        <v>971</v>
      </c>
      <c r="E437" t="s">
        <v>907</v>
      </c>
      <c r="F437">
        <f>ROUNDUP(Titanic_DATASET[[#This Row],[Age Correción 2]],0)</f>
        <v>18</v>
      </c>
      <c r="G437" s="4">
        <f>VALUE(SUBSTITUTE(Titanic_DATASET[[#This Row],[Age Correción.]],".",","))</f>
        <v>18</v>
      </c>
      <c r="H437" s="5">
        <v>18</v>
      </c>
      <c r="I437">
        <v>18</v>
      </c>
      <c r="J437">
        <v>2</v>
      </c>
      <c r="K437">
        <v>0</v>
      </c>
      <c r="L437" s="3">
        <v>345764</v>
      </c>
      <c r="M437" s="6">
        <f t="shared" si="12"/>
        <v>18</v>
      </c>
      <c r="N437">
        <v>18</v>
      </c>
      <c r="O437" t="str">
        <f t="shared" si="13"/>
        <v>Desconocido</v>
      </c>
      <c r="Q437" t="s">
        <v>905</v>
      </c>
    </row>
    <row r="438" spans="1:17" x14ac:dyDescent="0.25">
      <c r="A438">
        <v>334</v>
      </c>
      <c r="B438">
        <v>0</v>
      </c>
      <c r="C438">
        <v>3</v>
      </c>
      <c r="D438" t="s">
        <v>1452</v>
      </c>
      <c r="E438" t="s">
        <v>902</v>
      </c>
      <c r="F438">
        <f>ROUNDUP(Titanic_DATASET[[#This Row],[Age Correción 2]],0)</f>
        <v>16</v>
      </c>
      <c r="G438" s="4">
        <f>VALUE(SUBSTITUTE(Titanic_DATASET[[#This Row],[Age Correción.]],".",","))</f>
        <v>16</v>
      </c>
      <c r="H438" s="5">
        <v>16</v>
      </c>
      <c r="I438">
        <v>16</v>
      </c>
      <c r="J438">
        <v>2</v>
      </c>
      <c r="K438">
        <v>0</v>
      </c>
      <c r="L438" s="3">
        <v>345764</v>
      </c>
      <c r="M438" s="6">
        <f t="shared" si="12"/>
        <v>18</v>
      </c>
      <c r="N438">
        <v>18</v>
      </c>
      <c r="O438" t="str">
        <f t="shared" si="13"/>
        <v>Desconocido</v>
      </c>
      <c r="Q438" t="s">
        <v>905</v>
      </c>
    </row>
    <row r="439" spans="1:17" x14ac:dyDescent="0.25">
      <c r="A439">
        <v>874</v>
      </c>
      <c r="B439">
        <v>0</v>
      </c>
      <c r="C439">
        <v>3</v>
      </c>
      <c r="D439" t="s">
        <v>2176</v>
      </c>
      <c r="E439" t="s">
        <v>902</v>
      </c>
      <c r="F439">
        <f>ROUNDUP(Titanic_DATASET[[#This Row],[Age Correción 2]],0)</f>
        <v>47</v>
      </c>
      <c r="G439" s="4">
        <f>VALUE(SUBSTITUTE(Titanic_DATASET[[#This Row],[Age Correción.]],".",","))</f>
        <v>47</v>
      </c>
      <c r="H439" s="5">
        <v>47</v>
      </c>
      <c r="I439">
        <v>47</v>
      </c>
      <c r="J439">
        <v>0</v>
      </c>
      <c r="K439">
        <v>0</v>
      </c>
      <c r="L439" s="3">
        <v>345765</v>
      </c>
      <c r="M439" s="6">
        <f t="shared" si="12"/>
        <v>9</v>
      </c>
      <c r="N439">
        <v>9</v>
      </c>
      <c r="O439" t="str">
        <f t="shared" si="13"/>
        <v>Desconocido</v>
      </c>
      <c r="Q439" t="s">
        <v>905</v>
      </c>
    </row>
    <row r="440" spans="1:17" x14ac:dyDescent="0.25">
      <c r="A440">
        <v>81</v>
      </c>
      <c r="B440">
        <v>0</v>
      </c>
      <c r="C440">
        <v>3</v>
      </c>
      <c r="D440" t="s">
        <v>1042</v>
      </c>
      <c r="E440" t="s">
        <v>902</v>
      </c>
      <c r="F440">
        <f>ROUNDUP(Titanic_DATASET[[#This Row],[Age Correción 2]],0)</f>
        <v>22</v>
      </c>
      <c r="G440" s="4">
        <f>VALUE(SUBSTITUTE(Titanic_DATASET[[#This Row],[Age Correción.]],".",","))</f>
        <v>22</v>
      </c>
      <c r="H440" s="5">
        <v>22</v>
      </c>
      <c r="I440">
        <v>22</v>
      </c>
      <c r="J440">
        <v>0</v>
      </c>
      <c r="K440">
        <v>0</v>
      </c>
      <c r="L440" s="3">
        <v>345767</v>
      </c>
      <c r="M440" s="6">
        <f t="shared" si="12"/>
        <v>9</v>
      </c>
      <c r="N440">
        <v>9</v>
      </c>
      <c r="O440" t="str">
        <f t="shared" si="13"/>
        <v>Desconocido</v>
      </c>
      <c r="Q440" t="s">
        <v>905</v>
      </c>
    </row>
    <row r="441" spans="1:17" x14ac:dyDescent="0.25">
      <c r="A441">
        <v>442</v>
      </c>
      <c r="B441">
        <v>0</v>
      </c>
      <c r="C441">
        <v>3</v>
      </c>
      <c r="D441" t="s">
        <v>1597</v>
      </c>
      <c r="E441" t="s">
        <v>902</v>
      </c>
      <c r="F441">
        <f>ROUNDUP(Titanic_DATASET[[#This Row],[Age Correción 2]],0)</f>
        <v>20</v>
      </c>
      <c r="G441" s="4">
        <f>VALUE(SUBSTITUTE(Titanic_DATASET[[#This Row],[Age Correción.]],".",","))</f>
        <v>20</v>
      </c>
      <c r="H441" s="5">
        <v>20</v>
      </c>
      <c r="I441">
        <v>20</v>
      </c>
      <c r="J441">
        <v>0</v>
      </c>
      <c r="K441">
        <v>0</v>
      </c>
      <c r="L441" s="3">
        <v>345769</v>
      </c>
      <c r="M441" s="6">
        <f t="shared" si="12"/>
        <v>9.5</v>
      </c>
      <c r="N441" t="s">
        <v>1044</v>
      </c>
      <c r="O441" t="str">
        <f t="shared" si="13"/>
        <v>Desconocido</v>
      </c>
      <c r="Q441" t="s">
        <v>905</v>
      </c>
    </row>
    <row r="442" spans="1:17" x14ac:dyDescent="0.25">
      <c r="A442">
        <v>201</v>
      </c>
      <c r="B442">
        <v>0</v>
      </c>
      <c r="C442">
        <v>3</v>
      </c>
      <c r="D442" t="s">
        <v>1235</v>
      </c>
      <c r="E442" t="s">
        <v>902</v>
      </c>
      <c r="F442">
        <f>ROUNDUP(Titanic_DATASET[[#This Row],[Age Correción 2]],0)</f>
        <v>28</v>
      </c>
      <c r="G442" s="4">
        <f>VALUE(SUBSTITUTE(Titanic_DATASET[[#This Row],[Age Correción.]],".",","))</f>
        <v>28</v>
      </c>
      <c r="H442" s="5">
        <v>28</v>
      </c>
      <c r="I442">
        <v>28</v>
      </c>
      <c r="J442">
        <v>0</v>
      </c>
      <c r="K442">
        <v>0</v>
      </c>
      <c r="L442" s="3">
        <v>345770</v>
      </c>
      <c r="M442" s="6">
        <f t="shared" si="12"/>
        <v>9.5</v>
      </c>
      <c r="N442" t="s">
        <v>1044</v>
      </c>
      <c r="O442" t="str">
        <f t="shared" si="13"/>
        <v>Desconocido</v>
      </c>
      <c r="Q442" t="s">
        <v>905</v>
      </c>
    </row>
    <row r="443" spans="1:17" x14ac:dyDescent="0.25">
      <c r="A443">
        <v>420</v>
      </c>
      <c r="B443">
        <v>0</v>
      </c>
      <c r="C443">
        <v>3</v>
      </c>
      <c r="D443" t="s">
        <v>1565</v>
      </c>
      <c r="E443" t="s">
        <v>907</v>
      </c>
      <c r="F443">
        <f>ROUNDUP(Titanic_DATASET[[#This Row],[Age Correción 2]],0)</f>
        <v>10</v>
      </c>
      <c r="G443" s="4">
        <f>VALUE(SUBSTITUTE(Titanic_DATASET[[#This Row],[Age Correción.]],".",","))</f>
        <v>10</v>
      </c>
      <c r="H443" s="5">
        <v>10</v>
      </c>
      <c r="I443">
        <v>10</v>
      </c>
      <c r="J443">
        <v>0</v>
      </c>
      <c r="K443">
        <v>2</v>
      </c>
      <c r="L443" s="3">
        <v>345773</v>
      </c>
      <c r="M443" s="6">
        <f t="shared" si="12"/>
        <v>24.15</v>
      </c>
      <c r="N443" t="s">
        <v>1086</v>
      </c>
      <c r="O443" t="str">
        <f t="shared" si="13"/>
        <v>Desconocido</v>
      </c>
      <c r="Q443" t="s">
        <v>905</v>
      </c>
    </row>
    <row r="444" spans="1:17" x14ac:dyDescent="0.25">
      <c r="A444">
        <v>596</v>
      </c>
      <c r="B444">
        <v>0</v>
      </c>
      <c r="C444">
        <v>3</v>
      </c>
      <c r="D444" t="s">
        <v>1819</v>
      </c>
      <c r="E444" t="s">
        <v>902</v>
      </c>
      <c r="F444">
        <f>ROUNDUP(Titanic_DATASET[[#This Row],[Age Correción 2]],0)</f>
        <v>36</v>
      </c>
      <c r="G444" s="4">
        <f>VALUE(SUBSTITUTE(Titanic_DATASET[[#This Row],[Age Correción.]],".",","))</f>
        <v>36</v>
      </c>
      <c r="H444" s="5">
        <v>36</v>
      </c>
      <c r="I444">
        <v>36</v>
      </c>
      <c r="J444">
        <v>1</v>
      </c>
      <c r="K444">
        <v>1</v>
      </c>
      <c r="L444" s="3">
        <v>345773</v>
      </c>
      <c r="M444" s="6">
        <f t="shared" si="12"/>
        <v>24.15</v>
      </c>
      <c r="N444" t="s">
        <v>1086</v>
      </c>
      <c r="O444" t="str">
        <f t="shared" si="13"/>
        <v>Desconocido</v>
      </c>
      <c r="Q444" t="s">
        <v>905</v>
      </c>
    </row>
    <row r="445" spans="1:17" x14ac:dyDescent="0.25">
      <c r="A445">
        <v>800</v>
      </c>
      <c r="B445">
        <v>0</v>
      </c>
      <c r="C445">
        <v>3</v>
      </c>
      <c r="D445" t="s">
        <v>2079</v>
      </c>
      <c r="E445" t="s">
        <v>907</v>
      </c>
      <c r="F445">
        <f>ROUNDUP(Titanic_DATASET[[#This Row],[Age Correción 2]],0)</f>
        <v>30</v>
      </c>
      <c r="G445" s="4">
        <f>VALUE(SUBSTITUTE(Titanic_DATASET[[#This Row],[Age Correción.]],".",","))</f>
        <v>30</v>
      </c>
      <c r="H445" s="5">
        <v>30</v>
      </c>
      <c r="I445">
        <v>30</v>
      </c>
      <c r="J445">
        <v>1</v>
      </c>
      <c r="K445">
        <v>1</v>
      </c>
      <c r="L445" s="3">
        <v>345773</v>
      </c>
      <c r="M445" s="6">
        <f t="shared" si="12"/>
        <v>24.15</v>
      </c>
      <c r="N445" t="s">
        <v>1086</v>
      </c>
      <c r="O445" t="str">
        <f t="shared" si="13"/>
        <v>Desconocido</v>
      </c>
      <c r="Q445" t="s">
        <v>905</v>
      </c>
    </row>
    <row r="446" spans="1:17" x14ac:dyDescent="0.25">
      <c r="A446">
        <v>287</v>
      </c>
      <c r="B446">
        <v>1</v>
      </c>
      <c r="C446">
        <v>3</v>
      </c>
      <c r="D446" t="s">
        <v>1372</v>
      </c>
      <c r="E446" t="s">
        <v>902</v>
      </c>
      <c r="F446">
        <f>ROUNDUP(Titanic_DATASET[[#This Row],[Age Correción 2]],0)</f>
        <v>30</v>
      </c>
      <c r="G446" s="4">
        <f>VALUE(SUBSTITUTE(Titanic_DATASET[[#This Row],[Age Correción.]],".",","))</f>
        <v>30</v>
      </c>
      <c r="H446" s="5">
        <v>30</v>
      </c>
      <c r="I446">
        <v>30</v>
      </c>
      <c r="J446">
        <v>0</v>
      </c>
      <c r="K446">
        <v>0</v>
      </c>
      <c r="L446" s="3">
        <v>345774</v>
      </c>
      <c r="M446" s="6">
        <f t="shared" si="12"/>
        <v>9.5</v>
      </c>
      <c r="N446" t="s">
        <v>1044</v>
      </c>
      <c r="O446" t="str">
        <f t="shared" si="13"/>
        <v>Desconocido</v>
      </c>
      <c r="Q446" t="s">
        <v>905</v>
      </c>
    </row>
    <row r="447" spans="1:17" x14ac:dyDescent="0.25">
      <c r="A447">
        <v>869</v>
      </c>
      <c r="B447">
        <v>0</v>
      </c>
      <c r="C447">
        <v>3</v>
      </c>
      <c r="D447" t="s">
        <v>2171</v>
      </c>
      <c r="E447" t="s">
        <v>902</v>
      </c>
      <c r="F447">
        <f>ROUNDUP(Titanic_DATASET[[#This Row],[Age Correción 2]],0)</f>
        <v>48</v>
      </c>
      <c r="G447" s="4">
        <f>VALUE(SUBSTITUTE(Titanic_DATASET[[#This Row],[Age Correción.]],".",","))</f>
        <v>48</v>
      </c>
      <c r="H447" s="5">
        <v>48</v>
      </c>
      <c r="J447">
        <v>0</v>
      </c>
      <c r="K447">
        <v>0</v>
      </c>
      <c r="L447" s="3">
        <v>345777</v>
      </c>
      <c r="M447" s="6">
        <f t="shared" si="12"/>
        <v>9.5</v>
      </c>
      <c r="N447" t="s">
        <v>1044</v>
      </c>
      <c r="O447" t="str">
        <f t="shared" si="13"/>
        <v>Desconocido</v>
      </c>
      <c r="Q447" t="s">
        <v>905</v>
      </c>
    </row>
    <row r="448" spans="1:17" x14ac:dyDescent="0.25">
      <c r="A448">
        <v>283</v>
      </c>
      <c r="B448">
        <v>0</v>
      </c>
      <c r="C448">
        <v>3</v>
      </c>
      <c r="D448" t="s">
        <v>1366</v>
      </c>
      <c r="E448" t="s">
        <v>902</v>
      </c>
      <c r="F448">
        <f>ROUNDUP(Titanic_DATASET[[#This Row],[Age Correción 2]],0)</f>
        <v>16</v>
      </c>
      <c r="G448" s="4">
        <f>VALUE(SUBSTITUTE(Titanic_DATASET[[#This Row],[Age Correción.]],".",","))</f>
        <v>16</v>
      </c>
      <c r="H448" s="5">
        <v>16</v>
      </c>
      <c r="I448">
        <v>16</v>
      </c>
      <c r="J448">
        <v>0</v>
      </c>
      <c r="K448">
        <v>0</v>
      </c>
      <c r="L448" s="3">
        <v>345778</v>
      </c>
      <c r="M448" s="6">
        <f t="shared" si="12"/>
        <v>9.5</v>
      </c>
      <c r="N448" t="s">
        <v>1044</v>
      </c>
      <c r="O448" t="str">
        <f t="shared" si="13"/>
        <v>Desconocido</v>
      </c>
      <c r="Q448" t="s">
        <v>905</v>
      </c>
    </row>
    <row r="449" spans="1:17" x14ac:dyDescent="0.25">
      <c r="A449">
        <v>82</v>
      </c>
      <c r="B449">
        <v>1</v>
      </c>
      <c r="C449">
        <v>3</v>
      </c>
      <c r="D449" t="s">
        <v>1043</v>
      </c>
      <c r="E449" t="s">
        <v>902</v>
      </c>
      <c r="F449">
        <f>ROUNDUP(Titanic_DATASET[[#This Row],[Age Correción 2]],0)</f>
        <v>29</v>
      </c>
      <c r="G449" s="4">
        <f>VALUE(SUBSTITUTE(Titanic_DATASET[[#This Row],[Age Correción.]],".",","))</f>
        <v>29</v>
      </c>
      <c r="H449" s="5">
        <v>29</v>
      </c>
      <c r="I449">
        <v>29</v>
      </c>
      <c r="J449">
        <v>0</v>
      </c>
      <c r="K449">
        <v>0</v>
      </c>
      <c r="L449" s="3">
        <v>345779</v>
      </c>
      <c r="M449" s="6">
        <f t="shared" si="12"/>
        <v>9.5</v>
      </c>
      <c r="N449" t="s">
        <v>1044</v>
      </c>
      <c r="O449" t="str">
        <f t="shared" si="13"/>
        <v>Desconocido</v>
      </c>
      <c r="Q449" t="s">
        <v>905</v>
      </c>
    </row>
    <row r="450" spans="1:17" x14ac:dyDescent="0.25">
      <c r="A450">
        <v>753</v>
      </c>
      <c r="B450">
        <v>0</v>
      </c>
      <c r="C450">
        <v>3</v>
      </c>
      <c r="D450" t="s">
        <v>2018</v>
      </c>
      <c r="E450" t="s">
        <v>902</v>
      </c>
      <c r="F450">
        <f>ROUNDUP(Titanic_DATASET[[#This Row],[Age Correción 2]],0)</f>
        <v>33</v>
      </c>
      <c r="G450" s="4">
        <f>VALUE(SUBSTITUTE(Titanic_DATASET[[#This Row],[Age Correción.]],".",","))</f>
        <v>33</v>
      </c>
      <c r="H450" s="5">
        <v>33</v>
      </c>
      <c r="I450">
        <v>33</v>
      </c>
      <c r="J450">
        <v>0</v>
      </c>
      <c r="K450">
        <v>0</v>
      </c>
      <c r="L450" s="3">
        <v>345780</v>
      </c>
      <c r="M450" s="6">
        <f t="shared" si="12"/>
        <v>9.5</v>
      </c>
      <c r="N450" t="s">
        <v>1044</v>
      </c>
      <c r="O450" t="str">
        <f t="shared" si="13"/>
        <v>Desconocido</v>
      </c>
      <c r="Q450" t="s">
        <v>905</v>
      </c>
    </row>
    <row r="451" spans="1:17" x14ac:dyDescent="0.25">
      <c r="A451">
        <v>771</v>
      </c>
      <c r="B451">
        <v>0</v>
      </c>
      <c r="C451">
        <v>3</v>
      </c>
      <c r="D451" t="s">
        <v>2039</v>
      </c>
      <c r="E451" t="s">
        <v>902</v>
      </c>
      <c r="F451">
        <f>ROUNDUP(Titanic_DATASET[[#This Row],[Age Correción 2]],0)</f>
        <v>24</v>
      </c>
      <c r="G451" s="4">
        <f>VALUE(SUBSTITUTE(Titanic_DATASET[[#This Row],[Age Correción.]],".",","))</f>
        <v>24</v>
      </c>
      <c r="H451" s="5">
        <v>24</v>
      </c>
      <c r="I451">
        <v>24</v>
      </c>
      <c r="J451">
        <v>0</v>
      </c>
      <c r="K451">
        <v>0</v>
      </c>
      <c r="L451" s="3">
        <v>345781</v>
      </c>
      <c r="M451" s="6">
        <f t="shared" si="12"/>
        <v>9.5</v>
      </c>
      <c r="N451" t="s">
        <v>1044</v>
      </c>
      <c r="O451" t="str">
        <f t="shared" si="13"/>
        <v>Desconocido</v>
      </c>
      <c r="Q451" t="s">
        <v>905</v>
      </c>
    </row>
    <row r="452" spans="1:17" x14ac:dyDescent="0.25">
      <c r="A452">
        <v>356</v>
      </c>
      <c r="B452">
        <v>0</v>
      </c>
      <c r="C452">
        <v>3</v>
      </c>
      <c r="D452" t="s">
        <v>1481</v>
      </c>
      <c r="E452" t="s">
        <v>902</v>
      </c>
      <c r="F452">
        <f>ROUNDUP(Titanic_DATASET[[#This Row],[Age Correción 2]],0)</f>
        <v>28</v>
      </c>
      <c r="G452" s="4">
        <f>VALUE(SUBSTITUTE(Titanic_DATASET[[#This Row],[Age Correción.]],".",","))</f>
        <v>28</v>
      </c>
      <c r="H452" s="5">
        <v>28</v>
      </c>
      <c r="I452">
        <v>28</v>
      </c>
      <c r="J452">
        <v>0</v>
      </c>
      <c r="K452">
        <v>0</v>
      </c>
      <c r="L452" s="3">
        <v>345783</v>
      </c>
      <c r="M452" s="6">
        <f t="shared" ref="M452:M515" si="14">VALUE(SUBSTITUTE(N452,".",","))</f>
        <v>9.5</v>
      </c>
      <c r="N452" t="s">
        <v>1044</v>
      </c>
      <c r="O452" t="str">
        <f t="shared" ref="O452:O515" si="15">IF(ISBLANK(P452),"Desconocido",P452)</f>
        <v>Desconocido</v>
      </c>
      <c r="Q452" t="s">
        <v>905</v>
      </c>
    </row>
    <row r="453" spans="1:17" x14ac:dyDescent="0.25">
      <c r="A453">
        <v>206</v>
      </c>
      <c r="B453">
        <v>0</v>
      </c>
      <c r="C453">
        <v>3</v>
      </c>
      <c r="D453" t="s">
        <v>1242</v>
      </c>
      <c r="E453" t="s">
        <v>907</v>
      </c>
      <c r="F453">
        <f>ROUNDUP(Titanic_DATASET[[#This Row],[Age Correción 2]],0)</f>
        <v>2</v>
      </c>
      <c r="G453" s="4">
        <f>VALUE(SUBSTITUTE(Titanic_DATASET[[#This Row],[Age Correción.]],".",","))</f>
        <v>2</v>
      </c>
      <c r="H453" s="5">
        <v>2</v>
      </c>
      <c r="I453">
        <v>2</v>
      </c>
      <c r="J453">
        <v>0</v>
      </c>
      <c r="K453">
        <v>1</v>
      </c>
      <c r="L453" s="3">
        <v>347054</v>
      </c>
      <c r="M453" s="6">
        <f t="shared" si="14"/>
        <v>104625</v>
      </c>
      <c r="N453" s="1">
        <v>104625</v>
      </c>
      <c r="O453" s="1" t="str">
        <f t="shared" si="15"/>
        <v>G6</v>
      </c>
      <c r="P453" t="s">
        <v>928</v>
      </c>
      <c r="Q453" t="s">
        <v>905</v>
      </c>
    </row>
    <row r="454" spans="1:17" x14ac:dyDescent="0.25">
      <c r="A454">
        <v>252</v>
      </c>
      <c r="B454">
        <v>0</v>
      </c>
      <c r="C454">
        <v>3</v>
      </c>
      <c r="D454" t="s">
        <v>1314</v>
      </c>
      <c r="E454" t="s">
        <v>907</v>
      </c>
      <c r="F454">
        <f>ROUNDUP(Titanic_DATASET[[#This Row],[Age Correción 2]],0)</f>
        <v>29</v>
      </c>
      <c r="G454" s="4">
        <f>VALUE(SUBSTITUTE(Titanic_DATASET[[#This Row],[Age Correción.]],".",","))</f>
        <v>29</v>
      </c>
      <c r="H454" s="5">
        <v>29</v>
      </c>
      <c r="I454">
        <v>29</v>
      </c>
      <c r="J454">
        <v>1</v>
      </c>
      <c r="K454">
        <v>1</v>
      </c>
      <c r="L454" s="3">
        <v>347054</v>
      </c>
      <c r="M454" s="6">
        <f t="shared" si="14"/>
        <v>104625</v>
      </c>
      <c r="N454" s="1">
        <v>104625</v>
      </c>
      <c r="O454" s="1" t="str">
        <f t="shared" si="15"/>
        <v>G6</v>
      </c>
      <c r="P454" t="s">
        <v>928</v>
      </c>
      <c r="Q454" t="s">
        <v>905</v>
      </c>
    </row>
    <row r="455" spans="1:17" x14ac:dyDescent="0.25">
      <c r="A455">
        <v>852</v>
      </c>
      <c r="B455">
        <v>0</v>
      </c>
      <c r="C455">
        <v>3</v>
      </c>
      <c r="D455" t="s">
        <v>2147</v>
      </c>
      <c r="E455" t="s">
        <v>902</v>
      </c>
      <c r="F455">
        <f>ROUNDUP(Titanic_DATASET[[#This Row],[Age Correción 2]],0)</f>
        <v>74</v>
      </c>
      <c r="G455" s="4">
        <f>VALUE(SUBSTITUTE(Titanic_DATASET[[#This Row],[Age Correción.]],".",","))</f>
        <v>74</v>
      </c>
      <c r="H455" s="5">
        <v>74</v>
      </c>
      <c r="I455">
        <v>74</v>
      </c>
      <c r="J455">
        <v>0</v>
      </c>
      <c r="K455">
        <v>0</v>
      </c>
      <c r="L455" s="3">
        <v>347060</v>
      </c>
      <c r="M455" s="6">
        <f t="shared" si="14"/>
        <v>7775</v>
      </c>
      <c r="N455" s="1">
        <v>7775</v>
      </c>
      <c r="O455" s="1" t="str">
        <f t="shared" si="15"/>
        <v>Desconocido</v>
      </c>
      <c r="Q455" t="s">
        <v>905</v>
      </c>
    </row>
    <row r="456" spans="1:17" x14ac:dyDescent="0.25">
      <c r="A456">
        <v>130</v>
      </c>
      <c r="B456">
        <v>0</v>
      </c>
      <c r="C456">
        <v>3</v>
      </c>
      <c r="D456" t="s">
        <v>1117</v>
      </c>
      <c r="E456" t="s">
        <v>902</v>
      </c>
      <c r="F456">
        <f>ROUNDUP(Titanic_DATASET[[#This Row],[Age Correción 2]],0)</f>
        <v>45</v>
      </c>
      <c r="G456" s="4">
        <f>VALUE(SUBSTITUTE(Titanic_DATASET[[#This Row],[Age Correción.]],".",","))</f>
        <v>45</v>
      </c>
      <c r="H456" s="5">
        <v>45</v>
      </c>
      <c r="I456">
        <v>45</v>
      </c>
      <c r="J456">
        <v>0</v>
      </c>
      <c r="K456">
        <v>0</v>
      </c>
      <c r="L456" s="3">
        <v>347061</v>
      </c>
      <c r="M456" s="6">
        <f t="shared" si="14"/>
        <v>6975</v>
      </c>
      <c r="N456" s="1">
        <v>6975</v>
      </c>
      <c r="O456" s="1" t="str">
        <f t="shared" si="15"/>
        <v>Desconocido</v>
      </c>
      <c r="Q456" t="s">
        <v>905</v>
      </c>
    </row>
    <row r="457" spans="1:17" x14ac:dyDescent="0.25">
      <c r="A457">
        <v>720</v>
      </c>
      <c r="B457">
        <v>0</v>
      </c>
      <c r="C457">
        <v>3</v>
      </c>
      <c r="D457" t="s">
        <v>1977</v>
      </c>
      <c r="E457" t="s">
        <v>902</v>
      </c>
      <c r="F457">
        <f>ROUNDUP(Titanic_DATASET[[#This Row],[Age Correción 2]],0)</f>
        <v>33</v>
      </c>
      <c r="G457" s="4">
        <f>VALUE(SUBSTITUTE(Titanic_DATASET[[#This Row],[Age Correción.]],".",","))</f>
        <v>33</v>
      </c>
      <c r="H457" s="5">
        <v>33</v>
      </c>
      <c r="I457">
        <v>33</v>
      </c>
      <c r="J457">
        <v>0</v>
      </c>
      <c r="K457">
        <v>0</v>
      </c>
      <c r="L457" s="3">
        <v>347062</v>
      </c>
      <c r="M457" s="6">
        <f t="shared" si="14"/>
        <v>7775</v>
      </c>
      <c r="N457" s="1">
        <v>7775</v>
      </c>
      <c r="O457" s="1" t="str">
        <f t="shared" si="15"/>
        <v>Desconocido</v>
      </c>
      <c r="Q457" t="s">
        <v>905</v>
      </c>
    </row>
    <row r="458" spans="1:17" x14ac:dyDescent="0.25">
      <c r="A458">
        <v>806</v>
      </c>
      <c r="B458">
        <v>0</v>
      </c>
      <c r="C458">
        <v>3</v>
      </c>
      <c r="D458" t="s">
        <v>2086</v>
      </c>
      <c r="E458" t="s">
        <v>902</v>
      </c>
      <c r="F458">
        <f>ROUNDUP(Titanic_DATASET[[#This Row],[Age Correción 2]],0)</f>
        <v>31</v>
      </c>
      <c r="G458" s="4">
        <f>VALUE(SUBSTITUTE(Titanic_DATASET[[#This Row],[Age Correción.]],".",","))</f>
        <v>31</v>
      </c>
      <c r="H458" s="5">
        <v>31</v>
      </c>
      <c r="I458">
        <v>31</v>
      </c>
      <c r="J458">
        <v>0</v>
      </c>
      <c r="K458">
        <v>0</v>
      </c>
      <c r="L458" s="3">
        <v>347063</v>
      </c>
      <c r="M458" s="6">
        <f t="shared" si="14"/>
        <v>7775</v>
      </c>
      <c r="N458" s="1">
        <v>7775</v>
      </c>
      <c r="O458" s="1" t="str">
        <f t="shared" si="15"/>
        <v>Desconocido</v>
      </c>
      <c r="Q458" t="s">
        <v>905</v>
      </c>
    </row>
    <row r="459" spans="1:17" x14ac:dyDescent="0.25">
      <c r="A459">
        <v>407</v>
      </c>
      <c r="B459">
        <v>0</v>
      </c>
      <c r="C459">
        <v>3</v>
      </c>
      <c r="D459" t="s">
        <v>1550</v>
      </c>
      <c r="E459" t="s">
        <v>902</v>
      </c>
      <c r="F459">
        <f>ROUNDUP(Titanic_DATASET[[#This Row],[Age Correción 2]],0)</f>
        <v>51</v>
      </c>
      <c r="G459" s="4">
        <f>VALUE(SUBSTITUTE(Titanic_DATASET[[#This Row],[Age Correción.]],".",","))</f>
        <v>51</v>
      </c>
      <c r="H459" s="5">
        <v>51</v>
      </c>
      <c r="I459">
        <v>51</v>
      </c>
      <c r="J459">
        <v>0</v>
      </c>
      <c r="K459">
        <v>0</v>
      </c>
      <c r="L459" s="3">
        <v>347064</v>
      </c>
      <c r="M459" s="6">
        <f t="shared" si="14"/>
        <v>7.75</v>
      </c>
      <c r="N459" t="s">
        <v>961</v>
      </c>
      <c r="O459" t="str">
        <f t="shared" si="15"/>
        <v>Desconocido</v>
      </c>
      <c r="Q459" t="s">
        <v>905</v>
      </c>
    </row>
    <row r="460" spans="1:17" x14ac:dyDescent="0.25">
      <c r="A460">
        <v>232</v>
      </c>
      <c r="B460">
        <v>0</v>
      </c>
      <c r="C460">
        <v>3</v>
      </c>
      <c r="D460" t="s">
        <v>1283</v>
      </c>
      <c r="E460" t="s">
        <v>902</v>
      </c>
      <c r="F460">
        <f>ROUNDUP(Titanic_DATASET[[#This Row],[Age Correción 2]],0)</f>
        <v>29</v>
      </c>
      <c r="G460" s="4">
        <f>VALUE(SUBSTITUTE(Titanic_DATASET[[#This Row],[Age Correción.]],".",","))</f>
        <v>29</v>
      </c>
      <c r="H460" s="5">
        <v>29</v>
      </c>
      <c r="I460">
        <v>29</v>
      </c>
      <c r="J460">
        <v>0</v>
      </c>
      <c r="K460">
        <v>0</v>
      </c>
      <c r="L460" s="3">
        <v>347067</v>
      </c>
      <c r="M460" s="6">
        <f t="shared" si="14"/>
        <v>7775</v>
      </c>
      <c r="N460" s="1">
        <v>7775</v>
      </c>
      <c r="O460" s="1" t="str">
        <f t="shared" si="15"/>
        <v>Desconocido</v>
      </c>
      <c r="Q460" t="s">
        <v>905</v>
      </c>
    </row>
    <row r="461" spans="1:17" x14ac:dyDescent="0.25">
      <c r="A461">
        <v>163</v>
      </c>
      <c r="B461">
        <v>0</v>
      </c>
      <c r="C461">
        <v>3</v>
      </c>
      <c r="D461" t="s">
        <v>1181</v>
      </c>
      <c r="E461" t="s">
        <v>902</v>
      </c>
      <c r="F461">
        <f>ROUNDUP(Titanic_DATASET[[#This Row],[Age Correción 2]],0)</f>
        <v>26</v>
      </c>
      <c r="G461" s="4">
        <f>VALUE(SUBSTITUTE(Titanic_DATASET[[#This Row],[Age Correción.]],".",","))</f>
        <v>26</v>
      </c>
      <c r="H461" s="5">
        <v>26</v>
      </c>
      <c r="I461">
        <v>26</v>
      </c>
      <c r="J461">
        <v>0</v>
      </c>
      <c r="K461">
        <v>0</v>
      </c>
      <c r="L461" s="3">
        <v>347068</v>
      </c>
      <c r="M461" s="6">
        <f t="shared" si="14"/>
        <v>7775</v>
      </c>
      <c r="N461" s="1">
        <v>7775</v>
      </c>
      <c r="O461" s="1" t="str">
        <f t="shared" si="15"/>
        <v>Desconocido</v>
      </c>
      <c r="Q461" t="s">
        <v>905</v>
      </c>
    </row>
    <row r="462" spans="1:17" x14ac:dyDescent="0.25">
      <c r="A462">
        <v>380</v>
      </c>
      <c r="B462">
        <v>0</v>
      </c>
      <c r="C462">
        <v>3</v>
      </c>
      <c r="D462" t="s">
        <v>1517</v>
      </c>
      <c r="E462" t="s">
        <v>902</v>
      </c>
      <c r="F462">
        <f>ROUNDUP(Titanic_DATASET[[#This Row],[Age Correción 2]],0)</f>
        <v>19</v>
      </c>
      <c r="G462" s="4">
        <f>VALUE(SUBSTITUTE(Titanic_DATASET[[#This Row],[Age Correción.]],".",","))</f>
        <v>19</v>
      </c>
      <c r="H462" s="5">
        <v>19</v>
      </c>
      <c r="I462">
        <v>19</v>
      </c>
      <c r="J462">
        <v>0</v>
      </c>
      <c r="K462">
        <v>0</v>
      </c>
      <c r="L462" s="3">
        <v>347069</v>
      </c>
      <c r="M462" s="6">
        <f t="shared" si="14"/>
        <v>7775</v>
      </c>
      <c r="N462" s="1">
        <v>7775</v>
      </c>
      <c r="O462" s="1" t="str">
        <f t="shared" si="15"/>
        <v>Desconocido</v>
      </c>
      <c r="Q462" t="s">
        <v>905</v>
      </c>
    </row>
    <row r="463" spans="1:17" x14ac:dyDescent="0.25">
      <c r="A463">
        <v>247</v>
      </c>
      <c r="B463">
        <v>0</v>
      </c>
      <c r="C463">
        <v>3</v>
      </c>
      <c r="D463" t="s">
        <v>1308</v>
      </c>
      <c r="E463" t="s">
        <v>907</v>
      </c>
      <c r="F463">
        <f>ROUNDUP(Titanic_DATASET[[#This Row],[Age Correción 2]],0)</f>
        <v>25</v>
      </c>
      <c r="G463" s="4">
        <f>VALUE(SUBSTITUTE(Titanic_DATASET[[#This Row],[Age Correción.]],".",","))</f>
        <v>25</v>
      </c>
      <c r="H463" s="5">
        <v>25</v>
      </c>
      <c r="I463">
        <v>25</v>
      </c>
      <c r="J463">
        <v>0</v>
      </c>
      <c r="K463">
        <v>0</v>
      </c>
      <c r="L463" s="3">
        <v>347071</v>
      </c>
      <c r="M463" s="6">
        <f t="shared" si="14"/>
        <v>7775</v>
      </c>
      <c r="N463" s="1">
        <v>7775</v>
      </c>
      <c r="O463" s="1" t="str">
        <f t="shared" si="15"/>
        <v>Desconocido</v>
      </c>
      <c r="Q463" t="s">
        <v>905</v>
      </c>
    </row>
    <row r="464" spans="1:17" x14ac:dyDescent="0.25">
      <c r="A464">
        <v>277</v>
      </c>
      <c r="B464">
        <v>0</v>
      </c>
      <c r="C464">
        <v>3</v>
      </c>
      <c r="D464" t="s">
        <v>1358</v>
      </c>
      <c r="E464" t="s">
        <v>907</v>
      </c>
      <c r="F464">
        <f>ROUNDUP(Titanic_DATASET[[#This Row],[Age Correción 2]],0)</f>
        <v>45</v>
      </c>
      <c r="G464" s="4">
        <f>VALUE(SUBSTITUTE(Titanic_DATASET[[#This Row],[Age Correción.]],".",","))</f>
        <v>45</v>
      </c>
      <c r="H464" s="5">
        <v>45</v>
      </c>
      <c r="I464">
        <v>45</v>
      </c>
      <c r="J464">
        <v>0</v>
      </c>
      <c r="K464">
        <v>0</v>
      </c>
      <c r="L464" s="3">
        <v>347073</v>
      </c>
      <c r="M464" s="6">
        <f t="shared" si="14"/>
        <v>7.75</v>
      </c>
      <c r="N464" t="s">
        <v>961</v>
      </c>
      <c r="O464" t="str">
        <f t="shared" si="15"/>
        <v>Desconocido</v>
      </c>
      <c r="Q464" t="s">
        <v>905</v>
      </c>
    </row>
    <row r="465" spans="1:17" x14ac:dyDescent="0.25">
      <c r="A465">
        <v>765</v>
      </c>
      <c r="B465">
        <v>0</v>
      </c>
      <c r="C465">
        <v>3</v>
      </c>
      <c r="D465" t="s">
        <v>2032</v>
      </c>
      <c r="E465" t="s">
        <v>902</v>
      </c>
      <c r="F465">
        <f>ROUNDUP(Titanic_DATASET[[#This Row],[Age Correción 2]],0)</f>
        <v>16</v>
      </c>
      <c r="G465" s="4">
        <f>VALUE(SUBSTITUTE(Titanic_DATASET[[#This Row],[Age Correción.]],".",","))</f>
        <v>16</v>
      </c>
      <c r="H465" s="5">
        <v>16</v>
      </c>
      <c r="I465">
        <v>16</v>
      </c>
      <c r="J465">
        <v>0</v>
      </c>
      <c r="K465">
        <v>0</v>
      </c>
      <c r="L465" s="3">
        <v>347074</v>
      </c>
      <c r="M465" s="6">
        <f t="shared" si="14"/>
        <v>7775</v>
      </c>
      <c r="N465" s="1">
        <v>7775</v>
      </c>
      <c r="O465" s="1" t="str">
        <f t="shared" si="15"/>
        <v>Desconocido</v>
      </c>
      <c r="Q465" t="s">
        <v>905</v>
      </c>
    </row>
    <row r="466" spans="1:17" x14ac:dyDescent="0.25">
      <c r="A466">
        <v>443</v>
      </c>
      <c r="B466">
        <v>0</v>
      </c>
      <c r="C466">
        <v>3</v>
      </c>
      <c r="D466" t="s">
        <v>1598</v>
      </c>
      <c r="E466" t="s">
        <v>902</v>
      </c>
      <c r="F466">
        <f>ROUNDUP(Titanic_DATASET[[#This Row],[Age Correción 2]],0)</f>
        <v>25</v>
      </c>
      <c r="G466" s="4">
        <f>VALUE(SUBSTITUTE(Titanic_DATASET[[#This Row],[Age Correción.]],".",","))</f>
        <v>25</v>
      </c>
      <c r="H466" s="5">
        <v>25</v>
      </c>
      <c r="I466">
        <v>25</v>
      </c>
      <c r="J466">
        <v>1</v>
      </c>
      <c r="K466">
        <v>0</v>
      </c>
      <c r="L466" s="3">
        <v>347076</v>
      </c>
      <c r="M466" s="6">
        <f t="shared" si="14"/>
        <v>7775</v>
      </c>
      <c r="N466" s="1">
        <v>7775</v>
      </c>
      <c r="O466" s="1" t="str">
        <f t="shared" si="15"/>
        <v>Desconocido</v>
      </c>
      <c r="Q466" t="s">
        <v>905</v>
      </c>
    </row>
    <row r="467" spans="1:17" x14ac:dyDescent="0.25">
      <c r="A467">
        <v>26</v>
      </c>
      <c r="B467">
        <v>1</v>
      </c>
      <c r="C467">
        <v>3</v>
      </c>
      <c r="D467" t="s">
        <v>949</v>
      </c>
      <c r="E467" t="s">
        <v>907</v>
      </c>
      <c r="F467">
        <f>ROUNDUP(Titanic_DATASET[[#This Row],[Age Correción 2]],0)</f>
        <v>38</v>
      </c>
      <c r="G467" s="4">
        <f>VALUE(SUBSTITUTE(Titanic_DATASET[[#This Row],[Age Correción.]],".",","))</f>
        <v>38</v>
      </c>
      <c r="H467" s="5">
        <v>38</v>
      </c>
      <c r="I467">
        <v>38</v>
      </c>
      <c r="J467">
        <v>1</v>
      </c>
      <c r="K467">
        <v>5</v>
      </c>
      <c r="L467" s="3">
        <v>347077</v>
      </c>
      <c r="M467" s="6">
        <f t="shared" si="14"/>
        <v>313875</v>
      </c>
      <c r="N467" s="1">
        <v>313875</v>
      </c>
      <c r="O467" s="1" t="str">
        <f t="shared" si="15"/>
        <v>Desconocido</v>
      </c>
      <c r="Q467" t="s">
        <v>905</v>
      </c>
    </row>
    <row r="468" spans="1:17" x14ac:dyDescent="0.25">
      <c r="A468">
        <v>183</v>
      </c>
      <c r="B468">
        <v>0</v>
      </c>
      <c r="C468">
        <v>3</v>
      </c>
      <c r="D468" t="s">
        <v>1212</v>
      </c>
      <c r="E468" t="s">
        <v>902</v>
      </c>
      <c r="F468">
        <f>ROUNDUP(Titanic_DATASET[[#This Row],[Age Correción 2]],0)</f>
        <v>9</v>
      </c>
      <c r="G468" s="4">
        <f>VALUE(SUBSTITUTE(Titanic_DATASET[[#This Row],[Age Correción.]],".",","))</f>
        <v>9</v>
      </c>
      <c r="H468" s="5">
        <v>9</v>
      </c>
      <c r="I468">
        <v>9</v>
      </c>
      <c r="J468">
        <v>4</v>
      </c>
      <c r="K468">
        <v>2</v>
      </c>
      <c r="L468" s="3">
        <v>347077</v>
      </c>
      <c r="M468" s="6">
        <f t="shared" si="14"/>
        <v>313875</v>
      </c>
      <c r="N468" s="1">
        <v>313875</v>
      </c>
      <c r="O468" s="1" t="str">
        <f t="shared" si="15"/>
        <v>Desconocido</v>
      </c>
      <c r="Q468" t="s">
        <v>905</v>
      </c>
    </row>
    <row r="469" spans="1:17" x14ac:dyDescent="0.25">
      <c r="A469">
        <v>234</v>
      </c>
      <c r="B469">
        <v>1</v>
      </c>
      <c r="C469">
        <v>3</v>
      </c>
      <c r="D469" t="s">
        <v>1286</v>
      </c>
      <c r="E469" t="s">
        <v>907</v>
      </c>
      <c r="F469">
        <f>ROUNDUP(Titanic_DATASET[[#This Row],[Age Correción 2]],0)</f>
        <v>5</v>
      </c>
      <c r="G469" s="4">
        <f>VALUE(SUBSTITUTE(Titanic_DATASET[[#This Row],[Age Correción.]],".",","))</f>
        <v>5</v>
      </c>
      <c r="H469" s="5">
        <v>5</v>
      </c>
      <c r="I469">
        <v>5</v>
      </c>
      <c r="J469">
        <v>4</v>
      </c>
      <c r="K469">
        <v>2</v>
      </c>
      <c r="L469" s="3">
        <v>347077</v>
      </c>
      <c r="M469" s="6">
        <f t="shared" si="14"/>
        <v>313875</v>
      </c>
      <c r="N469" s="1">
        <v>313875</v>
      </c>
      <c r="O469" s="1" t="str">
        <f t="shared" si="15"/>
        <v>Desconocido</v>
      </c>
      <c r="Q469" t="s">
        <v>905</v>
      </c>
    </row>
    <row r="470" spans="1:17" x14ac:dyDescent="0.25">
      <c r="A470">
        <v>262</v>
      </c>
      <c r="B470">
        <v>1</v>
      </c>
      <c r="C470">
        <v>3</v>
      </c>
      <c r="D470" t="s">
        <v>1330</v>
      </c>
      <c r="E470" t="s">
        <v>902</v>
      </c>
      <c r="F470">
        <f>ROUNDUP(Titanic_DATASET[[#This Row],[Age Correción 2]],0)</f>
        <v>3</v>
      </c>
      <c r="G470" s="4">
        <f>VALUE(SUBSTITUTE(Titanic_DATASET[[#This Row],[Age Correción.]],".",","))</f>
        <v>3</v>
      </c>
      <c r="H470" s="5">
        <v>3</v>
      </c>
      <c r="I470">
        <v>3</v>
      </c>
      <c r="J470">
        <v>4</v>
      </c>
      <c r="K470">
        <v>2</v>
      </c>
      <c r="L470" s="3">
        <v>347077</v>
      </c>
      <c r="M470" s="6">
        <f t="shared" si="14"/>
        <v>313875</v>
      </c>
      <c r="N470" s="1">
        <v>313875</v>
      </c>
      <c r="O470" s="1" t="str">
        <f t="shared" si="15"/>
        <v>Desconocido</v>
      </c>
      <c r="Q470" t="s">
        <v>905</v>
      </c>
    </row>
    <row r="471" spans="1:17" x14ac:dyDescent="0.25">
      <c r="A471">
        <v>776</v>
      </c>
      <c r="B471">
        <v>0</v>
      </c>
      <c r="C471">
        <v>3</v>
      </c>
      <c r="D471" t="s">
        <v>2046</v>
      </c>
      <c r="E471" t="s">
        <v>902</v>
      </c>
      <c r="F471">
        <f>ROUNDUP(Titanic_DATASET[[#This Row],[Age Correción 2]],0)</f>
        <v>18</v>
      </c>
      <c r="G471" s="4">
        <f>VALUE(SUBSTITUTE(Titanic_DATASET[[#This Row],[Age Correción.]],".",","))</f>
        <v>18</v>
      </c>
      <c r="H471" s="5">
        <v>18</v>
      </c>
      <c r="I471">
        <v>18</v>
      </c>
      <c r="J471">
        <v>0</v>
      </c>
      <c r="K471">
        <v>0</v>
      </c>
      <c r="L471" s="3">
        <v>347078</v>
      </c>
      <c r="M471" s="6">
        <f t="shared" si="14"/>
        <v>7.75</v>
      </c>
      <c r="N471" t="s">
        <v>961</v>
      </c>
      <c r="O471" t="str">
        <f t="shared" si="15"/>
        <v>Desconocido</v>
      </c>
      <c r="Q471" t="s">
        <v>905</v>
      </c>
    </row>
    <row r="472" spans="1:17" x14ac:dyDescent="0.25">
      <c r="A472">
        <v>424</v>
      </c>
      <c r="B472">
        <v>0</v>
      </c>
      <c r="C472">
        <v>3</v>
      </c>
      <c r="D472" t="s">
        <v>1570</v>
      </c>
      <c r="E472" t="s">
        <v>907</v>
      </c>
      <c r="F472">
        <f>ROUNDUP(Titanic_DATASET[[#This Row],[Age Correción 2]],0)</f>
        <v>28</v>
      </c>
      <c r="G472" s="4">
        <f>VALUE(SUBSTITUTE(Titanic_DATASET[[#This Row],[Age Correción.]],".",","))</f>
        <v>28</v>
      </c>
      <c r="H472" s="5">
        <v>28</v>
      </c>
      <c r="I472">
        <v>28</v>
      </c>
      <c r="J472">
        <v>1</v>
      </c>
      <c r="K472">
        <v>1</v>
      </c>
      <c r="L472" s="3">
        <v>347080</v>
      </c>
      <c r="M472" s="6">
        <f t="shared" si="14"/>
        <v>14.4</v>
      </c>
      <c r="N472" t="s">
        <v>1571</v>
      </c>
      <c r="O472" t="str">
        <f t="shared" si="15"/>
        <v>Desconocido</v>
      </c>
      <c r="Q472" t="s">
        <v>905</v>
      </c>
    </row>
    <row r="473" spans="1:17" x14ac:dyDescent="0.25">
      <c r="A473">
        <v>617</v>
      </c>
      <c r="B473">
        <v>0</v>
      </c>
      <c r="C473">
        <v>3</v>
      </c>
      <c r="D473" t="s">
        <v>1844</v>
      </c>
      <c r="E473" t="s">
        <v>902</v>
      </c>
      <c r="F473">
        <f>ROUNDUP(Titanic_DATASET[[#This Row],[Age Correción 2]],0)</f>
        <v>34</v>
      </c>
      <c r="G473" s="4">
        <f>VALUE(SUBSTITUTE(Titanic_DATASET[[#This Row],[Age Correción.]],".",","))</f>
        <v>34</v>
      </c>
      <c r="H473" s="5">
        <v>34</v>
      </c>
      <c r="I473">
        <v>34</v>
      </c>
      <c r="J473">
        <v>1</v>
      </c>
      <c r="K473">
        <v>1</v>
      </c>
      <c r="L473" s="3">
        <v>347080</v>
      </c>
      <c r="M473" s="6">
        <f t="shared" si="14"/>
        <v>14.4</v>
      </c>
      <c r="N473" t="s">
        <v>1571</v>
      </c>
      <c r="O473" t="str">
        <f t="shared" si="15"/>
        <v>Desconocido</v>
      </c>
      <c r="Q473" t="s">
        <v>905</v>
      </c>
    </row>
    <row r="474" spans="1:17" x14ac:dyDescent="0.25">
      <c r="A474">
        <v>142</v>
      </c>
      <c r="B474">
        <v>1</v>
      </c>
      <c r="C474">
        <v>3</v>
      </c>
      <c r="D474" t="s">
        <v>1138</v>
      </c>
      <c r="E474" t="s">
        <v>907</v>
      </c>
      <c r="F474">
        <f>ROUNDUP(Titanic_DATASET[[#This Row],[Age Correción 2]],0)</f>
        <v>22</v>
      </c>
      <c r="G474" s="4">
        <f>VALUE(SUBSTITUTE(Titanic_DATASET[[#This Row],[Age Correción.]],".",","))</f>
        <v>22</v>
      </c>
      <c r="H474" s="5">
        <v>22</v>
      </c>
      <c r="I474">
        <v>22</v>
      </c>
      <c r="J474">
        <v>0</v>
      </c>
      <c r="K474">
        <v>0</v>
      </c>
      <c r="L474" s="3">
        <v>347081</v>
      </c>
      <c r="M474" s="6">
        <f t="shared" si="14"/>
        <v>7.75</v>
      </c>
      <c r="N474" t="s">
        <v>961</v>
      </c>
      <c r="O474" t="str">
        <f t="shared" si="15"/>
        <v>Desconocido</v>
      </c>
      <c r="Q474" t="s">
        <v>905</v>
      </c>
    </row>
    <row r="475" spans="1:17" x14ac:dyDescent="0.25">
      <c r="A475">
        <v>14</v>
      </c>
      <c r="B475">
        <v>0</v>
      </c>
      <c r="C475">
        <v>3</v>
      </c>
      <c r="D475" t="s">
        <v>934</v>
      </c>
      <c r="E475" t="s">
        <v>902</v>
      </c>
      <c r="F475">
        <f>ROUNDUP(Titanic_DATASET[[#This Row],[Age Correción 2]],0)</f>
        <v>39</v>
      </c>
      <c r="G475" s="4">
        <f>VALUE(SUBSTITUTE(Titanic_DATASET[[#This Row],[Age Correción.]],".",","))</f>
        <v>39</v>
      </c>
      <c r="H475" s="5">
        <v>39</v>
      </c>
      <c r="I475">
        <v>39</v>
      </c>
      <c r="J475">
        <v>1</v>
      </c>
      <c r="K475">
        <v>5</v>
      </c>
      <c r="L475" s="3">
        <v>347082</v>
      </c>
      <c r="M475" s="6">
        <f t="shared" si="14"/>
        <v>31275</v>
      </c>
      <c r="N475" s="1">
        <v>31275</v>
      </c>
      <c r="O475" s="1" t="str">
        <f t="shared" si="15"/>
        <v>Desconocido</v>
      </c>
      <c r="Q475" t="s">
        <v>905</v>
      </c>
    </row>
    <row r="476" spans="1:17" x14ac:dyDescent="0.25">
      <c r="A476">
        <v>120</v>
      </c>
      <c r="B476">
        <v>0</v>
      </c>
      <c r="C476">
        <v>3</v>
      </c>
      <c r="D476" t="s">
        <v>1102</v>
      </c>
      <c r="E476" t="s">
        <v>907</v>
      </c>
      <c r="F476">
        <f>ROUNDUP(Titanic_DATASET[[#This Row],[Age Correción 2]],0)</f>
        <v>2</v>
      </c>
      <c r="G476" s="4">
        <f>VALUE(SUBSTITUTE(Titanic_DATASET[[#This Row],[Age Correción.]],".",","))</f>
        <v>2</v>
      </c>
      <c r="H476" s="5">
        <v>2</v>
      </c>
      <c r="I476">
        <v>2</v>
      </c>
      <c r="J476">
        <v>4</v>
      </c>
      <c r="K476">
        <v>2</v>
      </c>
      <c r="L476" s="3">
        <v>347082</v>
      </c>
      <c r="M476" s="6">
        <f t="shared" si="14"/>
        <v>31275</v>
      </c>
      <c r="N476" s="1">
        <v>31275</v>
      </c>
      <c r="O476" s="1" t="str">
        <f t="shared" si="15"/>
        <v>Desconocido</v>
      </c>
      <c r="Q476" t="s">
        <v>905</v>
      </c>
    </row>
    <row r="477" spans="1:17" x14ac:dyDescent="0.25">
      <c r="A477">
        <v>542</v>
      </c>
      <c r="B477">
        <v>0</v>
      </c>
      <c r="C477">
        <v>3</v>
      </c>
      <c r="D477" t="s">
        <v>1743</v>
      </c>
      <c r="E477" t="s">
        <v>907</v>
      </c>
      <c r="F477">
        <f>ROUNDUP(Titanic_DATASET[[#This Row],[Age Correción 2]],0)</f>
        <v>9</v>
      </c>
      <c r="G477" s="4">
        <f>VALUE(SUBSTITUTE(Titanic_DATASET[[#This Row],[Age Correción.]],".",","))</f>
        <v>9</v>
      </c>
      <c r="H477" s="5">
        <v>9</v>
      </c>
      <c r="I477">
        <v>9</v>
      </c>
      <c r="J477">
        <v>4</v>
      </c>
      <c r="K477">
        <v>2</v>
      </c>
      <c r="L477" s="3">
        <v>347082</v>
      </c>
      <c r="M477" s="6">
        <f t="shared" si="14"/>
        <v>31275</v>
      </c>
      <c r="N477" s="1">
        <v>31275</v>
      </c>
      <c r="O477" s="1" t="str">
        <f t="shared" si="15"/>
        <v>Desconocido</v>
      </c>
      <c r="Q477" t="s">
        <v>905</v>
      </c>
    </row>
    <row r="478" spans="1:17" x14ac:dyDescent="0.25">
      <c r="A478">
        <v>543</v>
      </c>
      <c r="B478">
        <v>0</v>
      </c>
      <c r="C478">
        <v>3</v>
      </c>
      <c r="D478" t="s">
        <v>1744</v>
      </c>
      <c r="E478" t="s">
        <v>907</v>
      </c>
      <c r="F478">
        <f>ROUNDUP(Titanic_DATASET[[#This Row],[Age Correción 2]],0)</f>
        <v>11</v>
      </c>
      <c r="G478" s="4">
        <f>VALUE(SUBSTITUTE(Titanic_DATASET[[#This Row],[Age Correción.]],".",","))</f>
        <v>11</v>
      </c>
      <c r="H478" s="5">
        <v>11</v>
      </c>
      <c r="I478">
        <v>11</v>
      </c>
      <c r="J478">
        <v>4</v>
      </c>
      <c r="K478">
        <v>2</v>
      </c>
      <c r="L478" s="3">
        <v>347082</v>
      </c>
      <c r="M478" s="6">
        <f t="shared" si="14"/>
        <v>31275</v>
      </c>
      <c r="N478" s="1">
        <v>31275</v>
      </c>
      <c r="O478" s="1" t="str">
        <f t="shared" si="15"/>
        <v>Desconocido</v>
      </c>
      <c r="Q478" t="s">
        <v>905</v>
      </c>
    </row>
    <row r="479" spans="1:17" x14ac:dyDescent="0.25">
      <c r="A479">
        <v>611</v>
      </c>
      <c r="B479">
        <v>0</v>
      </c>
      <c r="C479">
        <v>3</v>
      </c>
      <c r="D479" t="s">
        <v>1837</v>
      </c>
      <c r="E479" t="s">
        <v>907</v>
      </c>
      <c r="F479">
        <f>ROUNDUP(Titanic_DATASET[[#This Row],[Age Correción 2]],0)</f>
        <v>39</v>
      </c>
      <c r="G479" s="4">
        <f>VALUE(SUBSTITUTE(Titanic_DATASET[[#This Row],[Age Correción.]],".",","))</f>
        <v>39</v>
      </c>
      <c r="H479" s="5">
        <v>39</v>
      </c>
      <c r="I479">
        <v>39</v>
      </c>
      <c r="J479">
        <v>1</v>
      </c>
      <c r="K479">
        <v>5</v>
      </c>
      <c r="L479" s="3">
        <v>347082</v>
      </c>
      <c r="M479" s="6">
        <f t="shared" si="14"/>
        <v>31275</v>
      </c>
      <c r="N479" s="1">
        <v>31275</v>
      </c>
      <c r="O479" s="1" t="str">
        <f t="shared" si="15"/>
        <v>Desconocido</v>
      </c>
      <c r="Q479" t="s">
        <v>905</v>
      </c>
    </row>
    <row r="480" spans="1:17" x14ac:dyDescent="0.25">
      <c r="A480">
        <v>814</v>
      </c>
      <c r="B480">
        <v>0</v>
      </c>
      <c r="C480">
        <v>3</v>
      </c>
      <c r="D480" t="s">
        <v>2095</v>
      </c>
      <c r="E480" t="s">
        <v>907</v>
      </c>
      <c r="F480">
        <f>ROUNDUP(Titanic_DATASET[[#This Row],[Age Correción 2]],0)</f>
        <v>6</v>
      </c>
      <c r="G480" s="4">
        <f>VALUE(SUBSTITUTE(Titanic_DATASET[[#This Row],[Age Correción.]],".",","))</f>
        <v>6</v>
      </c>
      <c r="H480" s="5">
        <v>6</v>
      </c>
      <c r="I480">
        <v>6</v>
      </c>
      <c r="J480">
        <v>4</v>
      </c>
      <c r="K480">
        <v>2</v>
      </c>
      <c r="L480" s="3">
        <v>347082</v>
      </c>
      <c r="M480" s="6">
        <f t="shared" si="14"/>
        <v>31275</v>
      </c>
      <c r="N480" s="1">
        <v>31275</v>
      </c>
      <c r="O480" s="1" t="str">
        <f t="shared" si="15"/>
        <v>Desconocido</v>
      </c>
      <c r="Q480" t="s">
        <v>905</v>
      </c>
    </row>
    <row r="481" spans="1:17" x14ac:dyDescent="0.25">
      <c r="A481">
        <v>851</v>
      </c>
      <c r="B481">
        <v>0</v>
      </c>
      <c r="C481">
        <v>3</v>
      </c>
      <c r="D481" t="s">
        <v>2146</v>
      </c>
      <c r="E481" t="s">
        <v>902</v>
      </c>
      <c r="F481">
        <f>ROUNDUP(Titanic_DATASET[[#This Row],[Age Correción 2]],0)</f>
        <v>4</v>
      </c>
      <c r="G481" s="4">
        <f>VALUE(SUBSTITUTE(Titanic_DATASET[[#This Row],[Age Correción.]],".",","))</f>
        <v>4</v>
      </c>
      <c r="H481" s="5">
        <v>4</v>
      </c>
      <c r="I481">
        <v>4</v>
      </c>
      <c r="J481">
        <v>4</v>
      </c>
      <c r="K481">
        <v>2</v>
      </c>
      <c r="L481" s="3">
        <v>347082</v>
      </c>
      <c r="M481" s="6">
        <f t="shared" si="14"/>
        <v>31275</v>
      </c>
      <c r="N481" s="1">
        <v>31275</v>
      </c>
      <c r="O481" s="1" t="str">
        <f t="shared" si="15"/>
        <v>Desconocido</v>
      </c>
      <c r="Q481" t="s">
        <v>905</v>
      </c>
    </row>
    <row r="482" spans="1:17" x14ac:dyDescent="0.25">
      <c r="A482">
        <v>268</v>
      </c>
      <c r="B482">
        <v>1</v>
      </c>
      <c r="C482">
        <v>3</v>
      </c>
      <c r="D482" t="s">
        <v>1340</v>
      </c>
      <c r="E482" t="s">
        <v>902</v>
      </c>
      <c r="F482">
        <f>ROUNDUP(Titanic_DATASET[[#This Row],[Age Correción 2]],0)</f>
        <v>25</v>
      </c>
      <c r="G482" s="4">
        <f>VALUE(SUBSTITUTE(Titanic_DATASET[[#This Row],[Age Correción.]],".",","))</f>
        <v>25</v>
      </c>
      <c r="H482" s="5">
        <v>25</v>
      </c>
      <c r="I482">
        <v>25</v>
      </c>
      <c r="J482">
        <v>1</v>
      </c>
      <c r="K482">
        <v>0</v>
      </c>
      <c r="L482" s="3">
        <v>347083</v>
      </c>
      <c r="M482" s="6">
        <f t="shared" si="14"/>
        <v>7775</v>
      </c>
      <c r="N482" s="1">
        <v>7775</v>
      </c>
      <c r="O482" s="1" t="str">
        <f t="shared" si="15"/>
        <v>Desconocido</v>
      </c>
      <c r="Q482" t="s">
        <v>905</v>
      </c>
    </row>
    <row r="483" spans="1:17" x14ac:dyDescent="0.25">
      <c r="A483">
        <v>555</v>
      </c>
      <c r="B483">
        <v>1</v>
      </c>
      <c r="C483">
        <v>3</v>
      </c>
      <c r="D483" t="s">
        <v>1759</v>
      </c>
      <c r="E483" t="s">
        <v>907</v>
      </c>
      <c r="F483">
        <f>ROUNDUP(Titanic_DATASET[[#This Row],[Age Correción 2]],0)</f>
        <v>22</v>
      </c>
      <c r="G483" s="4">
        <f>VALUE(SUBSTITUTE(Titanic_DATASET[[#This Row],[Age Correción.]],".",","))</f>
        <v>22</v>
      </c>
      <c r="H483" s="5">
        <v>22</v>
      </c>
      <c r="I483">
        <v>22</v>
      </c>
      <c r="J483">
        <v>0</v>
      </c>
      <c r="K483">
        <v>0</v>
      </c>
      <c r="L483" s="3">
        <v>347085</v>
      </c>
      <c r="M483" s="6">
        <f t="shared" si="14"/>
        <v>7775</v>
      </c>
      <c r="N483" s="1">
        <v>7775</v>
      </c>
      <c r="O483" s="1" t="str">
        <f t="shared" si="15"/>
        <v>Desconocido</v>
      </c>
      <c r="Q483" t="s">
        <v>905</v>
      </c>
    </row>
    <row r="484" spans="1:17" x14ac:dyDescent="0.25">
      <c r="A484">
        <v>808</v>
      </c>
      <c r="B484">
        <v>0</v>
      </c>
      <c r="C484">
        <v>3</v>
      </c>
      <c r="D484" t="s">
        <v>2089</v>
      </c>
      <c r="E484" t="s">
        <v>907</v>
      </c>
      <c r="F484">
        <f>ROUNDUP(Titanic_DATASET[[#This Row],[Age Correción 2]],0)</f>
        <v>18</v>
      </c>
      <c r="G484" s="4">
        <f>VALUE(SUBSTITUTE(Titanic_DATASET[[#This Row],[Age Correción.]],".",","))</f>
        <v>18</v>
      </c>
      <c r="H484" s="5">
        <v>18</v>
      </c>
      <c r="I484">
        <v>18</v>
      </c>
      <c r="J484">
        <v>0</v>
      </c>
      <c r="K484">
        <v>0</v>
      </c>
      <c r="L484" s="3">
        <v>347087</v>
      </c>
      <c r="M484" s="6">
        <f t="shared" si="14"/>
        <v>7775</v>
      </c>
      <c r="N484" s="1">
        <v>7775</v>
      </c>
      <c r="O484" s="1" t="str">
        <f t="shared" si="15"/>
        <v>Desconocido</v>
      </c>
      <c r="Q484" t="s">
        <v>905</v>
      </c>
    </row>
    <row r="485" spans="1:17" x14ac:dyDescent="0.25">
      <c r="A485">
        <v>64</v>
      </c>
      <c r="B485">
        <v>0</v>
      </c>
      <c r="C485">
        <v>3</v>
      </c>
      <c r="D485" t="s">
        <v>1014</v>
      </c>
      <c r="E485" t="s">
        <v>902</v>
      </c>
      <c r="F485">
        <f>ROUNDUP(Titanic_DATASET[[#This Row],[Age Correción 2]],0)</f>
        <v>4</v>
      </c>
      <c r="G485" s="4">
        <f>VALUE(SUBSTITUTE(Titanic_DATASET[[#This Row],[Age Correción.]],".",","))</f>
        <v>4</v>
      </c>
      <c r="H485" s="5">
        <v>4</v>
      </c>
      <c r="I485">
        <v>4</v>
      </c>
      <c r="J485">
        <v>3</v>
      </c>
      <c r="K485">
        <v>2</v>
      </c>
      <c r="L485" s="3">
        <v>347088</v>
      </c>
      <c r="M485" s="6">
        <f t="shared" si="14"/>
        <v>27.9</v>
      </c>
      <c r="N485" t="s">
        <v>1015</v>
      </c>
      <c r="O485" t="str">
        <f t="shared" si="15"/>
        <v>Desconocido</v>
      </c>
      <c r="Q485" t="s">
        <v>905</v>
      </c>
    </row>
    <row r="486" spans="1:17" x14ac:dyDescent="0.25">
      <c r="A486">
        <v>168</v>
      </c>
      <c r="B486">
        <v>0</v>
      </c>
      <c r="C486">
        <v>3</v>
      </c>
      <c r="D486" t="s">
        <v>1187</v>
      </c>
      <c r="E486" t="s">
        <v>907</v>
      </c>
      <c r="F486">
        <f>ROUNDUP(Titanic_DATASET[[#This Row],[Age Correción 2]],0)</f>
        <v>45</v>
      </c>
      <c r="G486" s="4">
        <f>VALUE(SUBSTITUTE(Titanic_DATASET[[#This Row],[Age Correción.]],".",","))</f>
        <v>45</v>
      </c>
      <c r="H486" s="5">
        <v>45</v>
      </c>
      <c r="I486">
        <v>45</v>
      </c>
      <c r="J486">
        <v>1</v>
      </c>
      <c r="K486">
        <v>4</v>
      </c>
      <c r="L486" s="3">
        <v>347088</v>
      </c>
      <c r="M486" s="6">
        <f t="shared" si="14"/>
        <v>27.9</v>
      </c>
      <c r="N486" t="s">
        <v>1015</v>
      </c>
      <c r="O486" t="str">
        <f t="shared" si="15"/>
        <v>Desconocido</v>
      </c>
      <c r="Q486" t="s">
        <v>905</v>
      </c>
    </row>
    <row r="487" spans="1:17" x14ac:dyDescent="0.25">
      <c r="A487">
        <v>361</v>
      </c>
      <c r="B487">
        <v>0</v>
      </c>
      <c r="C487">
        <v>3</v>
      </c>
      <c r="D487" t="s">
        <v>1486</v>
      </c>
      <c r="E487" t="s">
        <v>902</v>
      </c>
      <c r="F487">
        <f>ROUNDUP(Titanic_DATASET[[#This Row],[Age Correción 2]],0)</f>
        <v>40</v>
      </c>
      <c r="G487" s="4">
        <f>VALUE(SUBSTITUTE(Titanic_DATASET[[#This Row],[Age Correción.]],".",","))</f>
        <v>40</v>
      </c>
      <c r="H487" s="5">
        <v>40</v>
      </c>
      <c r="I487">
        <v>40</v>
      </c>
      <c r="J487">
        <v>1</v>
      </c>
      <c r="K487">
        <v>4</v>
      </c>
      <c r="L487" s="3">
        <v>347088</v>
      </c>
      <c r="M487" s="6">
        <f t="shared" si="14"/>
        <v>27.9</v>
      </c>
      <c r="N487" t="s">
        <v>1015</v>
      </c>
      <c r="O487" t="str">
        <f t="shared" si="15"/>
        <v>Desconocido</v>
      </c>
      <c r="Q487" t="s">
        <v>905</v>
      </c>
    </row>
    <row r="488" spans="1:17" x14ac:dyDescent="0.25">
      <c r="A488">
        <v>635</v>
      </c>
      <c r="B488">
        <v>0</v>
      </c>
      <c r="C488">
        <v>3</v>
      </c>
      <c r="D488" t="s">
        <v>1867</v>
      </c>
      <c r="E488" t="s">
        <v>907</v>
      </c>
      <c r="F488">
        <f>ROUNDUP(Titanic_DATASET[[#This Row],[Age Correción 2]],0)</f>
        <v>9</v>
      </c>
      <c r="G488" s="4">
        <f>VALUE(SUBSTITUTE(Titanic_DATASET[[#This Row],[Age Correción.]],".",","))</f>
        <v>9</v>
      </c>
      <c r="H488" s="5">
        <v>9</v>
      </c>
      <c r="I488">
        <v>9</v>
      </c>
      <c r="J488">
        <v>3</v>
      </c>
      <c r="K488">
        <v>2</v>
      </c>
      <c r="L488" s="3">
        <v>347088</v>
      </c>
      <c r="M488" s="6">
        <f t="shared" si="14"/>
        <v>27.9</v>
      </c>
      <c r="N488" t="s">
        <v>1015</v>
      </c>
      <c r="O488" t="str">
        <f t="shared" si="15"/>
        <v>Desconocido</v>
      </c>
      <c r="Q488" t="s">
        <v>905</v>
      </c>
    </row>
    <row r="489" spans="1:17" x14ac:dyDescent="0.25">
      <c r="A489">
        <v>643</v>
      </c>
      <c r="B489">
        <v>0</v>
      </c>
      <c r="C489">
        <v>3</v>
      </c>
      <c r="D489" t="s">
        <v>1876</v>
      </c>
      <c r="E489" t="s">
        <v>907</v>
      </c>
      <c r="F489">
        <f>ROUNDUP(Titanic_DATASET[[#This Row],[Age Correción 2]],0)</f>
        <v>2</v>
      </c>
      <c r="G489" s="4">
        <f>VALUE(SUBSTITUTE(Titanic_DATASET[[#This Row],[Age Correción.]],".",","))</f>
        <v>2</v>
      </c>
      <c r="H489" s="5">
        <v>2</v>
      </c>
      <c r="I489">
        <v>2</v>
      </c>
      <c r="J489">
        <v>3</v>
      </c>
      <c r="K489">
        <v>2</v>
      </c>
      <c r="L489" s="3">
        <v>347088</v>
      </c>
      <c r="M489" s="6">
        <f t="shared" si="14"/>
        <v>27.9</v>
      </c>
      <c r="N489" t="s">
        <v>1015</v>
      </c>
      <c r="O489" t="str">
        <f t="shared" si="15"/>
        <v>Desconocido</v>
      </c>
      <c r="Q489" t="s">
        <v>905</v>
      </c>
    </row>
    <row r="490" spans="1:17" x14ac:dyDescent="0.25">
      <c r="A490">
        <v>820</v>
      </c>
      <c r="B490">
        <v>0</v>
      </c>
      <c r="C490">
        <v>3</v>
      </c>
      <c r="D490" t="s">
        <v>2106</v>
      </c>
      <c r="E490" t="s">
        <v>902</v>
      </c>
      <c r="F490">
        <f>ROUNDUP(Titanic_DATASET[[#This Row],[Age Correción 2]],0)</f>
        <v>10</v>
      </c>
      <c r="G490" s="4">
        <f>VALUE(SUBSTITUTE(Titanic_DATASET[[#This Row],[Age Correción.]],".",","))</f>
        <v>10</v>
      </c>
      <c r="H490" s="5">
        <v>10</v>
      </c>
      <c r="I490">
        <v>10</v>
      </c>
      <c r="J490">
        <v>3</v>
      </c>
      <c r="K490">
        <v>2</v>
      </c>
      <c r="L490" s="3">
        <v>347088</v>
      </c>
      <c r="M490" s="6">
        <f t="shared" si="14"/>
        <v>27.9</v>
      </c>
      <c r="N490" t="s">
        <v>1015</v>
      </c>
      <c r="O490" t="str">
        <f t="shared" si="15"/>
        <v>Desconocido</v>
      </c>
      <c r="Q490" t="s">
        <v>905</v>
      </c>
    </row>
    <row r="491" spans="1:17" x14ac:dyDescent="0.25">
      <c r="A491">
        <v>805</v>
      </c>
      <c r="B491">
        <v>1</v>
      </c>
      <c r="C491">
        <v>3</v>
      </c>
      <c r="D491" t="s">
        <v>2085</v>
      </c>
      <c r="E491" t="s">
        <v>902</v>
      </c>
      <c r="F491">
        <f>ROUNDUP(Titanic_DATASET[[#This Row],[Age Correción 2]],0)</f>
        <v>27</v>
      </c>
      <c r="G491" s="4">
        <f>VALUE(SUBSTITUTE(Titanic_DATASET[[#This Row],[Age Correción.]],".",","))</f>
        <v>27</v>
      </c>
      <c r="H491" s="5">
        <v>27</v>
      </c>
      <c r="I491">
        <v>27</v>
      </c>
      <c r="J491">
        <v>0</v>
      </c>
      <c r="K491">
        <v>0</v>
      </c>
      <c r="L491" s="3">
        <v>347089</v>
      </c>
      <c r="M491" s="6">
        <f t="shared" si="14"/>
        <v>6975</v>
      </c>
      <c r="N491" s="1">
        <v>6975</v>
      </c>
      <c r="O491" s="1" t="str">
        <f t="shared" si="15"/>
        <v>Desconocido</v>
      </c>
      <c r="Q491" t="s">
        <v>905</v>
      </c>
    </row>
    <row r="492" spans="1:17" x14ac:dyDescent="0.25">
      <c r="A492">
        <v>282</v>
      </c>
      <c r="B492">
        <v>0</v>
      </c>
      <c r="C492">
        <v>3</v>
      </c>
      <c r="D492" t="s">
        <v>1365</v>
      </c>
      <c r="E492" t="s">
        <v>902</v>
      </c>
      <c r="F492">
        <f>ROUNDUP(Titanic_DATASET[[#This Row],[Age Correción 2]],0)</f>
        <v>28</v>
      </c>
      <c r="G492" s="4">
        <f>VALUE(SUBSTITUTE(Titanic_DATASET[[#This Row],[Age Correción.]],".",","))</f>
        <v>28</v>
      </c>
      <c r="H492" s="5">
        <v>28</v>
      </c>
      <c r="I492">
        <v>28</v>
      </c>
      <c r="J492">
        <v>0</v>
      </c>
      <c r="K492">
        <v>0</v>
      </c>
      <c r="L492" s="3">
        <v>347464</v>
      </c>
      <c r="M492" s="6">
        <f t="shared" si="14"/>
        <v>78542</v>
      </c>
      <c r="N492" s="1">
        <v>78542</v>
      </c>
      <c r="O492" s="1" t="str">
        <f t="shared" si="15"/>
        <v>Desconocido</v>
      </c>
      <c r="Q492" t="s">
        <v>905</v>
      </c>
    </row>
    <row r="493" spans="1:17" x14ac:dyDescent="0.25">
      <c r="A493">
        <v>92</v>
      </c>
      <c r="B493">
        <v>0</v>
      </c>
      <c r="C493">
        <v>3</v>
      </c>
      <c r="D493" t="s">
        <v>1059</v>
      </c>
      <c r="E493" t="s">
        <v>902</v>
      </c>
      <c r="F493">
        <f>ROUNDUP(Titanic_DATASET[[#This Row],[Age Correción 2]],0)</f>
        <v>20</v>
      </c>
      <c r="G493" s="4">
        <f>VALUE(SUBSTITUTE(Titanic_DATASET[[#This Row],[Age Correción.]],".",","))</f>
        <v>20</v>
      </c>
      <c r="H493" s="5">
        <v>20</v>
      </c>
      <c r="I493">
        <v>20</v>
      </c>
      <c r="J493">
        <v>0</v>
      </c>
      <c r="K493">
        <v>0</v>
      </c>
      <c r="L493" s="3">
        <v>347466</v>
      </c>
      <c r="M493" s="6">
        <f t="shared" si="14"/>
        <v>78542</v>
      </c>
      <c r="N493" s="1">
        <v>78542</v>
      </c>
      <c r="O493" s="1" t="str">
        <f t="shared" si="15"/>
        <v>Desconocido</v>
      </c>
      <c r="Q493" t="s">
        <v>905</v>
      </c>
    </row>
    <row r="494" spans="1:17" x14ac:dyDescent="0.25">
      <c r="A494">
        <v>834</v>
      </c>
      <c r="B494">
        <v>0</v>
      </c>
      <c r="C494">
        <v>3</v>
      </c>
      <c r="D494" t="s">
        <v>2122</v>
      </c>
      <c r="E494" t="s">
        <v>902</v>
      </c>
      <c r="F494">
        <f>ROUNDUP(Titanic_DATASET[[#This Row],[Age Correción 2]],0)</f>
        <v>23</v>
      </c>
      <c r="G494" s="4">
        <f>VALUE(SUBSTITUTE(Titanic_DATASET[[#This Row],[Age Correción.]],".",","))</f>
        <v>23</v>
      </c>
      <c r="H494" s="5">
        <v>23</v>
      </c>
      <c r="I494">
        <v>23</v>
      </c>
      <c r="J494">
        <v>0</v>
      </c>
      <c r="K494">
        <v>0</v>
      </c>
      <c r="L494" s="3">
        <v>347468</v>
      </c>
      <c r="M494" s="6">
        <f t="shared" si="14"/>
        <v>78542</v>
      </c>
      <c r="N494" s="1">
        <v>78542</v>
      </c>
      <c r="O494" s="1" t="str">
        <f t="shared" si="15"/>
        <v>Desconocido</v>
      </c>
      <c r="Q494" t="s">
        <v>905</v>
      </c>
    </row>
    <row r="495" spans="1:17" x14ac:dyDescent="0.25">
      <c r="A495">
        <v>316</v>
      </c>
      <c r="B495">
        <v>1</v>
      </c>
      <c r="C495">
        <v>3</v>
      </c>
      <c r="D495" t="s">
        <v>1426</v>
      </c>
      <c r="E495" t="s">
        <v>907</v>
      </c>
      <c r="F495">
        <f>ROUNDUP(Titanic_DATASET[[#This Row],[Age Correción 2]],0)</f>
        <v>26</v>
      </c>
      <c r="G495" s="4">
        <f>VALUE(SUBSTITUTE(Titanic_DATASET[[#This Row],[Age Correción.]],".",","))</f>
        <v>26</v>
      </c>
      <c r="H495" s="5">
        <v>26</v>
      </c>
      <c r="I495">
        <v>26</v>
      </c>
      <c r="J495">
        <v>0</v>
      </c>
      <c r="K495">
        <v>0</v>
      </c>
      <c r="L495" s="3">
        <v>347470</v>
      </c>
      <c r="M495" s="6">
        <f t="shared" si="14"/>
        <v>78542</v>
      </c>
      <c r="N495" s="1">
        <v>78542</v>
      </c>
      <c r="O495" s="1" t="str">
        <f t="shared" si="15"/>
        <v>Desconocido</v>
      </c>
      <c r="Q495" t="s">
        <v>905</v>
      </c>
    </row>
    <row r="496" spans="1:17" x14ac:dyDescent="0.25">
      <c r="A496">
        <v>9</v>
      </c>
      <c r="B496">
        <v>1</v>
      </c>
      <c r="C496">
        <v>3</v>
      </c>
      <c r="D496" t="s">
        <v>923</v>
      </c>
      <c r="E496" t="s">
        <v>907</v>
      </c>
      <c r="F496">
        <f>ROUNDUP(Titanic_DATASET[[#This Row],[Age Correción 2]],0)</f>
        <v>27</v>
      </c>
      <c r="G496" s="4">
        <f>VALUE(SUBSTITUTE(Titanic_DATASET[[#This Row],[Age Correción.]],".",","))</f>
        <v>27</v>
      </c>
      <c r="H496" s="5">
        <v>27</v>
      </c>
      <c r="I496">
        <v>27</v>
      </c>
      <c r="J496">
        <v>0</v>
      </c>
      <c r="K496">
        <v>2</v>
      </c>
      <c r="L496" s="3">
        <v>347742</v>
      </c>
      <c r="M496" s="6">
        <f t="shared" si="14"/>
        <v>111333</v>
      </c>
      <c r="N496" s="1">
        <v>111333</v>
      </c>
      <c r="O496" s="1" t="str">
        <f t="shared" si="15"/>
        <v>Desconocido</v>
      </c>
      <c r="Q496" t="s">
        <v>905</v>
      </c>
    </row>
    <row r="497" spans="1:17" x14ac:dyDescent="0.25">
      <c r="A497">
        <v>173</v>
      </c>
      <c r="B497">
        <v>1</v>
      </c>
      <c r="C497">
        <v>3</v>
      </c>
      <c r="D497" t="s">
        <v>1195</v>
      </c>
      <c r="E497" t="s">
        <v>907</v>
      </c>
      <c r="F497">
        <f>ROUNDUP(Titanic_DATASET[[#This Row],[Age Correción 2]],0)</f>
        <v>1</v>
      </c>
      <c r="G497" s="4">
        <f>VALUE(SUBSTITUTE(Titanic_DATASET[[#This Row],[Age Correción.]],".",","))</f>
        <v>1</v>
      </c>
      <c r="H497" s="5">
        <v>1</v>
      </c>
      <c r="I497">
        <v>1</v>
      </c>
      <c r="J497">
        <v>1</v>
      </c>
      <c r="K497">
        <v>1</v>
      </c>
      <c r="L497" s="3">
        <v>347742</v>
      </c>
      <c r="M497" s="6">
        <f t="shared" si="14"/>
        <v>111333</v>
      </c>
      <c r="N497" s="1">
        <v>111333</v>
      </c>
      <c r="O497" s="1" t="str">
        <f t="shared" si="15"/>
        <v>Desconocido</v>
      </c>
      <c r="Q497" t="s">
        <v>905</v>
      </c>
    </row>
    <row r="498" spans="1:17" x14ac:dyDescent="0.25">
      <c r="A498">
        <v>870</v>
      </c>
      <c r="B498">
        <v>1</v>
      </c>
      <c r="C498">
        <v>3</v>
      </c>
      <c r="D498" t="s">
        <v>2172</v>
      </c>
      <c r="E498" t="s">
        <v>902</v>
      </c>
      <c r="F498">
        <f>ROUNDUP(Titanic_DATASET[[#This Row],[Age Correción 2]],0)</f>
        <v>4</v>
      </c>
      <c r="G498" s="4">
        <f>VALUE(SUBSTITUTE(Titanic_DATASET[[#This Row],[Age Correción.]],".",","))</f>
        <v>4</v>
      </c>
      <c r="H498" s="5">
        <v>4</v>
      </c>
      <c r="I498">
        <v>4</v>
      </c>
      <c r="J498">
        <v>1</v>
      </c>
      <c r="K498">
        <v>1</v>
      </c>
      <c r="L498" s="3">
        <v>347742</v>
      </c>
      <c r="M498" s="6">
        <f t="shared" si="14"/>
        <v>111333</v>
      </c>
      <c r="N498" s="1">
        <v>111333</v>
      </c>
      <c r="O498" s="1" t="str">
        <f t="shared" si="15"/>
        <v>Desconocido</v>
      </c>
      <c r="Q498" t="s">
        <v>905</v>
      </c>
    </row>
    <row r="499" spans="1:17" x14ac:dyDescent="0.25">
      <c r="A499">
        <v>632</v>
      </c>
      <c r="B499">
        <v>0</v>
      </c>
      <c r="C499">
        <v>3</v>
      </c>
      <c r="D499" t="s">
        <v>1863</v>
      </c>
      <c r="E499" t="s">
        <v>902</v>
      </c>
      <c r="F499">
        <f>ROUNDUP(Titanic_DATASET[[#This Row],[Age Correción 2]],0)</f>
        <v>51</v>
      </c>
      <c r="G499" s="4">
        <f>VALUE(SUBSTITUTE(Titanic_DATASET[[#This Row],[Age Correción.]],".",","))</f>
        <v>51</v>
      </c>
      <c r="H499" s="5">
        <v>51</v>
      </c>
      <c r="I499">
        <v>51</v>
      </c>
      <c r="J499">
        <v>0</v>
      </c>
      <c r="K499">
        <v>0</v>
      </c>
      <c r="L499" s="3">
        <v>347743</v>
      </c>
      <c r="M499" s="6">
        <f t="shared" si="14"/>
        <v>70542</v>
      </c>
      <c r="N499" s="1">
        <v>70542</v>
      </c>
      <c r="O499" s="1" t="str">
        <f t="shared" si="15"/>
        <v>Desconocido</v>
      </c>
      <c r="Q499" t="s">
        <v>905</v>
      </c>
    </row>
    <row r="500" spans="1:17" x14ac:dyDescent="0.25">
      <c r="A500">
        <v>700</v>
      </c>
      <c r="B500">
        <v>0</v>
      </c>
      <c r="C500">
        <v>3</v>
      </c>
      <c r="D500" t="s">
        <v>1949</v>
      </c>
      <c r="E500" t="s">
        <v>902</v>
      </c>
      <c r="F500">
        <f>ROUNDUP(Titanic_DATASET[[#This Row],[Age Correción 2]],0)</f>
        <v>42</v>
      </c>
      <c r="G500" s="4">
        <f>VALUE(SUBSTITUTE(Titanic_DATASET[[#This Row],[Age Correción.]],".",","))</f>
        <v>42</v>
      </c>
      <c r="H500" s="5">
        <v>42</v>
      </c>
      <c r="I500">
        <v>42</v>
      </c>
      <c r="J500">
        <v>0</v>
      </c>
      <c r="K500">
        <v>0</v>
      </c>
      <c r="L500" s="3">
        <v>348121</v>
      </c>
      <c r="M500" s="6">
        <f t="shared" si="14"/>
        <v>7.65</v>
      </c>
      <c r="N500" t="s">
        <v>1035</v>
      </c>
      <c r="O500" t="str">
        <f t="shared" si="15"/>
        <v>F G63</v>
      </c>
      <c r="P500" t="s">
        <v>1950</v>
      </c>
      <c r="Q500" t="s">
        <v>905</v>
      </c>
    </row>
    <row r="501" spans="1:17" x14ac:dyDescent="0.25">
      <c r="A501">
        <v>76</v>
      </c>
      <c r="B501">
        <v>0</v>
      </c>
      <c r="C501">
        <v>3</v>
      </c>
      <c r="D501" t="s">
        <v>1034</v>
      </c>
      <c r="E501" t="s">
        <v>902</v>
      </c>
      <c r="F501">
        <f>ROUNDUP(Titanic_DATASET[[#This Row],[Age Correción 2]],0)</f>
        <v>25</v>
      </c>
      <c r="G501" s="4">
        <f>VALUE(SUBSTITUTE(Titanic_DATASET[[#This Row],[Age Correción.]],".",","))</f>
        <v>25</v>
      </c>
      <c r="H501" s="5">
        <v>25</v>
      </c>
      <c r="I501">
        <v>25</v>
      </c>
      <c r="J501">
        <v>0</v>
      </c>
      <c r="K501">
        <v>0</v>
      </c>
      <c r="L501" s="3">
        <v>348123</v>
      </c>
      <c r="M501" s="6">
        <f t="shared" si="14"/>
        <v>7.65</v>
      </c>
      <c r="N501" t="s">
        <v>1035</v>
      </c>
      <c r="O501" t="str">
        <f t="shared" si="15"/>
        <v>F G73</v>
      </c>
      <c r="P501" t="s">
        <v>1036</v>
      </c>
      <c r="Q501" t="s">
        <v>905</v>
      </c>
    </row>
    <row r="502" spans="1:17" x14ac:dyDescent="0.25">
      <c r="A502">
        <v>716</v>
      </c>
      <c r="B502">
        <v>0</v>
      </c>
      <c r="C502">
        <v>3</v>
      </c>
      <c r="D502" t="s">
        <v>1972</v>
      </c>
      <c r="E502" t="s">
        <v>902</v>
      </c>
      <c r="F502">
        <f>ROUNDUP(Titanic_DATASET[[#This Row],[Age Correción 2]],0)</f>
        <v>19</v>
      </c>
      <c r="G502" s="4">
        <f>VALUE(SUBSTITUTE(Titanic_DATASET[[#This Row],[Age Correción.]],".",","))</f>
        <v>19</v>
      </c>
      <c r="H502" s="5">
        <v>19</v>
      </c>
      <c r="I502">
        <v>19</v>
      </c>
      <c r="J502">
        <v>0</v>
      </c>
      <c r="K502">
        <v>0</v>
      </c>
      <c r="L502" s="3">
        <v>348124</v>
      </c>
      <c r="M502" s="6">
        <f t="shared" si="14"/>
        <v>7.65</v>
      </c>
      <c r="N502" t="s">
        <v>1035</v>
      </c>
      <c r="O502" t="str">
        <f t="shared" si="15"/>
        <v>F G73</v>
      </c>
      <c r="P502" t="s">
        <v>1036</v>
      </c>
      <c r="Q502" t="s">
        <v>905</v>
      </c>
    </row>
    <row r="503" spans="1:17" x14ac:dyDescent="0.25">
      <c r="A503">
        <v>739</v>
      </c>
      <c r="B503">
        <v>0</v>
      </c>
      <c r="C503">
        <v>3</v>
      </c>
      <c r="D503" t="s">
        <v>1999</v>
      </c>
      <c r="E503" t="s">
        <v>902</v>
      </c>
      <c r="F503">
        <f>ROUNDUP(Titanic_DATASET[[#This Row],[Age Correción 2]],0)</f>
        <v>10</v>
      </c>
      <c r="G503" s="4">
        <f>VALUE(SUBSTITUTE(Titanic_DATASET[[#This Row],[Age Correción.]],".",","))</f>
        <v>10</v>
      </c>
      <c r="H503" s="5">
        <v>10</v>
      </c>
      <c r="J503">
        <v>0</v>
      </c>
      <c r="K503">
        <v>0</v>
      </c>
      <c r="L503" s="3">
        <v>349201</v>
      </c>
      <c r="M503" s="6">
        <f t="shared" si="14"/>
        <v>78958</v>
      </c>
      <c r="N503" s="1">
        <v>78958</v>
      </c>
      <c r="O503" s="1" t="str">
        <f t="shared" si="15"/>
        <v>Desconocido</v>
      </c>
      <c r="Q503" t="s">
        <v>905</v>
      </c>
    </row>
    <row r="504" spans="1:17" x14ac:dyDescent="0.25">
      <c r="A504">
        <v>795</v>
      </c>
      <c r="B504">
        <v>0</v>
      </c>
      <c r="C504">
        <v>3</v>
      </c>
      <c r="D504" t="s">
        <v>2073</v>
      </c>
      <c r="E504" t="s">
        <v>902</v>
      </c>
      <c r="F504">
        <f>ROUNDUP(Titanic_DATASET[[#This Row],[Age Correción 2]],0)</f>
        <v>25</v>
      </c>
      <c r="G504" s="4">
        <f>VALUE(SUBSTITUTE(Titanic_DATASET[[#This Row],[Age Correción.]],".",","))</f>
        <v>25</v>
      </c>
      <c r="H504" s="5">
        <v>25</v>
      </c>
      <c r="I504">
        <v>25</v>
      </c>
      <c r="J504">
        <v>0</v>
      </c>
      <c r="K504">
        <v>0</v>
      </c>
      <c r="L504" s="3">
        <v>349203</v>
      </c>
      <c r="M504" s="6">
        <f t="shared" si="14"/>
        <v>78958</v>
      </c>
      <c r="N504" s="1">
        <v>78958</v>
      </c>
      <c r="O504" s="1" t="str">
        <f t="shared" si="15"/>
        <v>Desconocido</v>
      </c>
      <c r="Q504" t="s">
        <v>905</v>
      </c>
    </row>
    <row r="505" spans="1:17" x14ac:dyDescent="0.25">
      <c r="A505">
        <v>754</v>
      </c>
      <c r="B505">
        <v>0</v>
      </c>
      <c r="C505">
        <v>3</v>
      </c>
      <c r="D505" t="s">
        <v>2019</v>
      </c>
      <c r="E505" t="s">
        <v>902</v>
      </c>
      <c r="F505">
        <f>ROUNDUP(Titanic_DATASET[[#This Row],[Age Correción 2]],0)</f>
        <v>23</v>
      </c>
      <c r="G505" s="4">
        <f>VALUE(SUBSTITUTE(Titanic_DATASET[[#This Row],[Age Correción.]],".",","))</f>
        <v>23</v>
      </c>
      <c r="H505" s="5">
        <v>23</v>
      </c>
      <c r="I505">
        <v>23</v>
      </c>
      <c r="J505">
        <v>0</v>
      </c>
      <c r="K505">
        <v>0</v>
      </c>
      <c r="L505" s="3">
        <v>349204</v>
      </c>
      <c r="M505" s="6">
        <f t="shared" si="14"/>
        <v>78958</v>
      </c>
      <c r="N505" s="1">
        <v>78958</v>
      </c>
      <c r="O505" s="1" t="str">
        <f t="shared" si="15"/>
        <v>Desconocido</v>
      </c>
      <c r="Q505" t="s">
        <v>905</v>
      </c>
    </row>
    <row r="506" spans="1:17" x14ac:dyDescent="0.25">
      <c r="A506">
        <v>567</v>
      </c>
      <c r="B506">
        <v>0</v>
      </c>
      <c r="C506">
        <v>3</v>
      </c>
      <c r="D506" t="s">
        <v>1777</v>
      </c>
      <c r="E506" t="s">
        <v>902</v>
      </c>
      <c r="F506">
        <f>ROUNDUP(Titanic_DATASET[[#This Row],[Age Correción 2]],0)</f>
        <v>19</v>
      </c>
      <c r="G506" s="4">
        <f>VALUE(SUBSTITUTE(Titanic_DATASET[[#This Row],[Age Correción.]],".",","))</f>
        <v>19</v>
      </c>
      <c r="H506" s="5">
        <v>19</v>
      </c>
      <c r="I506">
        <v>19</v>
      </c>
      <c r="J506">
        <v>0</v>
      </c>
      <c r="K506">
        <v>0</v>
      </c>
      <c r="L506" s="3">
        <v>349205</v>
      </c>
      <c r="M506" s="6">
        <f t="shared" si="14"/>
        <v>78958</v>
      </c>
      <c r="N506" s="1">
        <v>78958</v>
      </c>
      <c r="O506" s="1" t="str">
        <f t="shared" si="15"/>
        <v>Desconocido</v>
      </c>
      <c r="Q506" t="s">
        <v>905</v>
      </c>
    </row>
    <row r="507" spans="1:17" x14ac:dyDescent="0.25">
      <c r="A507">
        <v>288</v>
      </c>
      <c r="B507">
        <v>0</v>
      </c>
      <c r="C507">
        <v>3</v>
      </c>
      <c r="D507" t="s">
        <v>1373</v>
      </c>
      <c r="E507" t="s">
        <v>902</v>
      </c>
      <c r="F507">
        <f>ROUNDUP(Titanic_DATASET[[#This Row],[Age Correción 2]],0)</f>
        <v>22</v>
      </c>
      <c r="G507" s="4">
        <f>VALUE(SUBSTITUTE(Titanic_DATASET[[#This Row],[Age Correción.]],".",","))</f>
        <v>22</v>
      </c>
      <c r="H507" s="5">
        <v>22</v>
      </c>
      <c r="I507">
        <v>22</v>
      </c>
      <c r="J507">
        <v>0</v>
      </c>
      <c r="K507">
        <v>0</v>
      </c>
      <c r="L507" s="3">
        <v>349206</v>
      </c>
      <c r="M507" s="6">
        <f t="shared" si="14"/>
        <v>78958</v>
      </c>
      <c r="N507" s="1">
        <v>78958</v>
      </c>
      <c r="O507" s="1" t="str">
        <f t="shared" si="15"/>
        <v>Desconocido</v>
      </c>
      <c r="Q507" t="s">
        <v>905</v>
      </c>
    </row>
    <row r="508" spans="1:17" x14ac:dyDescent="0.25">
      <c r="A508">
        <v>106</v>
      </c>
      <c r="B508">
        <v>0</v>
      </c>
      <c r="C508">
        <v>3</v>
      </c>
      <c r="D508" t="s">
        <v>1081</v>
      </c>
      <c r="E508" t="s">
        <v>902</v>
      </c>
      <c r="F508">
        <f>ROUNDUP(Titanic_DATASET[[#This Row],[Age Correción 2]],0)</f>
        <v>28</v>
      </c>
      <c r="G508" s="4">
        <f>VALUE(SUBSTITUTE(Titanic_DATASET[[#This Row],[Age Correción.]],".",","))</f>
        <v>28</v>
      </c>
      <c r="H508" s="5">
        <v>28</v>
      </c>
      <c r="I508">
        <v>28</v>
      </c>
      <c r="J508">
        <v>0</v>
      </c>
      <c r="K508">
        <v>0</v>
      </c>
      <c r="L508" s="3">
        <v>349207</v>
      </c>
      <c r="M508" s="6">
        <f t="shared" si="14"/>
        <v>78958</v>
      </c>
      <c r="N508" s="1">
        <v>78958</v>
      </c>
      <c r="O508" s="1" t="str">
        <f t="shared" si="15"/>
        <v>Desconocido</v>
      </c>
      <c r="Q508" t="s">
        <v>905</v>
      </c>
    </row>
    <row r="509" spans="1:17" x14ac:dyDescent="0.25">
      <c r="A509">
        <v>77</v>
      </c>
      <c r="B509">
        <v>0</v>
      </c>
      <c r="C509">
        <v>3</v>
      </c>
      <c r="D509" t="s">
        <v>1037</v>
      </c>
      <c r="E509" t="s">
        <v>902</v>
      </c>
      <c r="F509">
        <f>ROUNDUP(Titanic_DATASET[[#This Row],[Age Correción 2]],0)</f>
        <v>6</v>
      </c>
      <c r="G509" s="4">
        <f>VALUE(SUBSTITUTE(Titanic_DATASET[[#This Row],[Age Correción.]],".",","))</f>
        <v>6</v>
      </c>
      <c r="H509" s="5">
        <v>6</v>
      </c>
      <c r="J509">
        <v>0</v>
      </c>
      <c r="K509">
        <v>0</v>
      </c>
      <c r="L509" s="3">
        <v>349208</v>
      </c>
      <c r="M509" s="6">
        <f t="shared" si="14"/>
        <v>78958</v>
      </c>
      <c r="N509" s="1">
        <v>78958</v>
      </c>
      <c r="O509" s="1" t="str">
        <f t="shared" si="15"/>
        <v>Desconocido</v>
      </c>
      <c r="Q509" t="s">
        <v>905</v>
      </c>
    </row>
    <row r="510" spans="1:17" x14ac:dyDescent="0.25">
      <c r="A510">
        <v>515</v>
      </c>
      <c r="B510">
        <v>0</v>
      </c>
      <c r="C510">
        <v>3</v>
      </c>
      <c r="D510" t="s">
        <v>1703</v>
      </c>
      <c r="E510" t="s">
        <v>902</v>
      </c>
      <c r="F510">
        <f>ROUNDUP(Titanic_DATASET[[#This Row],[Age Correción 2]],0)</f>
        <v>24</v>
      </c>
      <c r="G510" s="4">
        <f>VALUE(SUBSTITUTE(Titanic_DATASET[[#This Row],[Age Correción.]],".",","))</f>
        <v>24</v>
      </c>
      <c r="H510" s="5">
        <v>24</v>
      </c>
      <c r="I510">
        <v>24</v>
      </c>
      <c r="J510">
        <v>0</v>
      </c>
      <c r="K510">
        <v>0</v>
      </c>
      <c r="L510" s="3">
        <v>349209</v>
      </c>
      <c r="M510" s="6">
        <f t="shared" si="14"/>
        <v>74958</v>
      </c>
      <c r="N510" s="1">
        <v>74958</v>
      </c>
      <c r="O510" s="1" t="str">
        <f t="shared" si="15"/>
        <v>Desconocido</v>
      </c>
      <c r="Q510" t="s">
        <v>905</v>
      </c>
    </row>
    <row r="511" spans="1:17" x14ac:dyDescent="0.25">
      <c r="A511">
        <v>664</v>
      </c>
      <c r="B511">
        <v>0</v>
      </c>
      <c r="C511">
        <v>3</v>
      </c>
      <c r="D511" t="s">
        <v>1902</v>
      </c>
      <c r="E511" t="s">
        <v>902</v>
      </c>
      <c r="F511">
        <f>ROUNDUP(Titanic_DATASET[[#This Row],[Age Correción 2]],0)</f>
        <v>36</v>
      </c>
      <c r="G511" s="4">
        <f>VALUE(SUBSTITUTE(Titanic_DATASET[[#This Row],[Age Correción.]],".",","))</f>
        <v>36</v>
      </c>
      <c r="H511" s="5">
        <v>36</v>
      </c>
      <c r="I511">
        <v>36</v>
      </c>
      <c r="J511">
        <v>0</v>
      </c>
      <c r="K511">
        <v>0</v>
      </c>
      <c r="L511" s="3">
        <v>349210</v>
      </c>
      <c r="M511" s="6">
        <f t="shared" si="14"/>
        <v>74958</v>
      </c>
      <c r="N511" s="1">
        <v>74958</v>
      </c>
      <c r="O511" s="1" t="str">
        <f t="shared" si="15"/>
        <v>Desconocido</v>
      </c>
      <c r="Q511" t="s">
        <v>905</v>
      </c>
    </row>
    <row r="512" spans="1:17" x14ac:dyDescent="0.25">
      <c r="A512">
        <v>878</v>
      </c>
      <c r="B512">
        <v>0</v>
      </c>
      <c r="C512">
        <v>3</v>
      </c>
      <c r="D512" t="s">
        <v>2180</v>
      </c>
      <c r="E512" t="s">
        <v>902</v>
      </c>
      <c r="F512">
        <f>ROUNDUP(Titanic_DATASET[[#This Row],[Age Correción 2]],0)</f>
        <v>19</v>
      </c>
      <c r="G512" s="4">
        <f>VALUE(SUBSTITUTE(Titanic_DATASET[[#This Row],[Age Correción.]],".",","))</f>
        <v>19</v>
      </c>
      <c r="H512" s="5">
        <v>19</v>
      </c>
      <c r="I512">
        <v>19</v>
      </c>
      <c r="J512">
        <v>0</v>
      </c>
      <c r="K512">
        <v>0</v>
      </c>
      <c r="L512" s="3">
        <v>349212</v>
      </c>
      <c r="M512" s="6">
        <f t="shared" si="14"/>
        <v>78958</v>
      </c>
      <c r="N512" s="1">
        <v>78958</v>
      </c>
      <c r="O512" s="1" t="str">
        <f t="shared" si="15"/>
        <v>Desconocido</v>
      </c>
      <c r="Q512" t="s">
        <v>905</v>
      </c>
    </row>
    <row r="513" spans="1:17" x14ac:dyDescent="0.25">
      <c r="A513">
        <v>848</v>
      </c>
      <c r="B513">
        <v>0</v>
      </c>
      <c r="C513">
        <v>3</v>
      </c>
      <c r="D513" t="s">
        <v>2143</v>
      </c>
      <c r="E513" t="s">
        <v>902</v>
      </c>
      <c r="F513">
        <f>ROUNDUP(Titanic_DATASET[[#This Row],[Age Correción 2]],0)</f>
        <v>35</v>
      </c>
      <c r="G513" s="4">
        <f>VALUE(SUBSTITUTE(Titanic_DATASET[[#This Row],[Age Correción.]],".",","))</f>
        <v>35</v>
      </c>
      <c r="H513" s="5">
        <v>35</v>
      </c>
      <c r="I513">
        <v>35</v>
      </c>
      <c r="J513">
        <v>0</v>
      </c>
      <c r="K513">
        <v>0</v>
      </c>
      <c r="L513" s="3">
        <v>349213</v>
      </c>
      <c r="M513" s="6">
        <f t="shared" si="14"/>
        <v>78958</v>
      </c>
      <c r="N513" s="1">
        <v>78958</v>
      </c>
      <c r="O513" s="1" t="str">
        <f t="shared" si="15"/>
        <v>Desconocido</v>
      </c>
      <c r="Q513" t="s">
        <v>910</v>
      </c>
    </row>
    <row r="514" spans="1:17" x14ac:dyDescent="0.25">
      <c r="A514">
        <v>602</v>
      </c>
      <c r="B514">
        <v>0</v>
      </c>
      <c r="C514">
        <v>3</v>
      </c>
      <c r="D514" t="s">
        <v>1826</v>
      </c>
      <c r="E514" t="s">
        <v>902</v>
      </c>
      <c r="F514">
        <f>ROUNDUP(Titanic_DATASET[[#This Row],[Age Correción 2]],0)</f>
        <v>3</v>
      </c>
      <c r="G514" s="4">
        <f>VALUE(SUBSTITUTE(Titanic_DATASET[[#This Row],[Age Correción.]],".",","))</f>
        <v>3</v>
      </c>
      <c r="H514" s="5">
        <v>3</v>
      </c>
      <c r="J514">
        <v>0</v>
      </c>
      <c r="K514">
        <v>0</v>
      </c>
      <c r="L514" s="3">
        <v>349214</v>
      </c>
      <c r="M514" s="6">
        <f t="shared" si="14"/>
        <v>78958</v>
      </c>
      <c r="N514" s="1">
        <v>78958</v>
      </c>
      <c r="O514" s="1" t="str">
        <f t="shared" si="15"/>
        <v>Desconocido</v>
      </c>
      <c r="Q514" t="s">
        <v>905</v>
      </c>
    </row>
    <row r="515" spans="1:17" x14ac:dyDescent="0.25">
      <c r="A515">
        <v>102</v>
      </c>
      <c r="B515">
        <v>0</v>
      </c>
      <c r="C515">
        <v>3</v>
      </c>
      <c r="D515" t="s">
        <v>1076</v>
      </c>
      <c r="E515" t="s">
        <v>902</v>
      </c>
      <c r="F515">
        <f>ROUNDUP(Titanic_DATASET[[#This Row],[Age Correción 2]],0)</f>
        <v>67</v>
      </c>
      <c r="G515" s="4">
        <f>VALUE(SUBSTITUTE(Titanic_DATASET[[#This Row],[Age Correción.]],".",","))</f>
        <v>67</v>
      </c>
      <c r="H515" s="5">
        <v>67</v>
      </c>
      <c r="J515">
        <v>0</v>
      </c>
      <c r="K515">
        <v>0</v>
      </c>
      <c r="L515" s="3">
        <v>349215</v>
      </c>
      <c r="M515" s="6">
        <f t="shared" si="14"/>
        <v>78958</v>
      </c>
      <c r="N515" s="1">
        <v>78958</v>
      </c>
      <c r="O515" s="1" t="str">
        <f t="shared" si="15"/>
        <v>Desconocido</v>
      </c>
      <c r="Q515" t="s">
        <v>905</v>
      </c>
    </row>
    <row r="516" spans="1:17" x14ac:dyDescent="0.25">
      <c r="A516">
        <v>30</v>
      </c>
      <c r="B516">
        <v>0</v>
      </c>
      <c r="C516">
        <v>3</v>
      </c>
      <c r="D516" t="s">
        <v>954</v>
      </c>
      <c r="E516" t="s">
        <v>902</v>
      </c>
      <c r="F516">
        <f>ROUNDUP(Titanic_DATASET[[#This Row],[Age Correción 2]],0)</f>
        <v>80</v>
      </c>
      <c r="G516" s="4">
        <f>VALUE(SUBSTITUTE(Titanic_DATASET[[#This Row],[Age Correción.]],".",","))</f>
        <v>80</v>
      </c>
      <c r="H516" s="5">
        <v>80</v>
      </c>
      <c r="J516">
        <v>0</v>
      </c>
      <c r="K516">
        <v>0</v>
      </c>
      <c r="L516" s="3">
        <v>349216</v>
      </c>
      <c r="M516" s="6">
        <f t="shared" ref="M516:M579" si="16">VALUE(SUBSTITUTE(N516,".",","))</f>
        <v>78958</v>
      </c>
      <c r="N516" s="1">
        <v>78958</v>
      </c>
      <c r="O516" s="1" t="str">
        <f t="shared" ref="O516:O579" si="17">IF(ISBLANK(P516),"Desconocido",P516)</f>
        <v>Desconocido</v>
      </c>
      <c r="Q516" t="s">
        <v>905</v>
      </c>
    </row>
    <row r="517" spans="1:17" x14ac:dyDescent="0.25">
      <c r="A517">
        <v>879</v>
      </c>
      <c r="B517">
        <v>0</v>
      </c>
      <c r="C517">
        <v>3</v>
      </c>
      <c r="D517" t="s">
        <v>2181</v>
      </c>
      <c r="E517" t="s">
        <v>902</v>
      </c>
      <c r="F517">
        <f>ROUNDUP(Titanic_DATASET[[#This Row],[Age Correción 2]],0)</f>
        <v>50</v>
      </c>
      <c r="G517" s="4">
        <f>VALUE(SUBSTITUTE(Titanic_DATASET[[#This Row],[Age Correción.]],".",","))</f>
        <v>50</v>
      </c>
      <c r="H517" s="5">
        <v>50</v>
      </c>
      <c r="J517">
        <v>0</v>
      </c>
      <c r="K517">
        <v>0</v>
      </c>
      <c r="L517" s="3">
        <v>349217</v>
      </c>
      <c r="M517" s="6">
        <f t="shared" si="16"/>
        <v>78958</v>
      </c>
      <c r="N517" s="1">
        <v>78958</v>
      </c>
      <c r="O517" s="1" t="str">
        <f t="shared" si="17"/>
        <v>Desconocido</v>
      </c>
      <c r="Q517" t="s">
        <v>905</v>
      </c>
    </row>
    <row r="518" spans="1:17" x14ac:dyDescent="0.25">
      <c r="A518">
        <v>740</v>
      </c>
      <c r="B518">
        <v>0</v>
      </c>
      <c r="C518">
        <v>3</v>
      </c>
      <c r="D518" t="s">
        <v>2000</v>
      </c>
      <c r="E518" t="s">
        <v>902</v>
      </c>
      <c r="F518">
        <f>ROUNDUP(Titanic_DATASET[[#This Row],[Age Correción 2]],0)</f>
        <v>48</v>
      </c>
      <c r="G518" s="4">
        <f>VALUE(SUBSTITUTE(Titanic_DATASET[[#This Row],[Age Correción.]],".",","))</f>
        <v>48</v>
      </c>
      <c r="H518" s="5">
        <v>48</v>
      </c>
      <c r="J518">
        <v>0</v>
      </c>
      <c r="K518">
        <v>0</v>
      </c>
      <c r="L518" s="3">
        <v>349218</v>
      </c>
      <c r="M518" s="6">
        <f t="shared" si="16"/>
        <v>78958</v>
      </c>
      <c r="N518" s="1">
        <v>78958</v>
      </c>
      <c r="O518" s="1" t="str">
        <f t="shared" si="17"/>
        <v>Desconocido</v>
      </c>
      <c r="Q518" t="s">
        <v>905</v>
      </c>
    </row>
    <row r="519" spans="1:17" x14ac:dyDescent="0.25">
      <c r="A519">
        <v>322</v>
      </c>
      <c r="B519">
        <v>0</v>
      </c>
      <c r="C519">
        <v>3</v>
      </c>
      <c r="D519" t="s">
        <v>1436</v>
      </c>
      <c r="E519" t="s">
        <v>902</v>
      </c>
      <c r="F519">
        <f>ROUNDUP(Titanic_DATASET[[#This Row],[Age Correción 2]],0)</f>
        <v>27</v>
      </c>
      <c r="G519" s="4">
        <f>VALUE(SUBSTITUTE(Titanic_DATASET[[#This Row],[Age Correción.]],".",","))</f>
        <v>27</v>
      </c>
      <c r="H519" s="5">
        <v>27</v>
      </c>
      <c r="I519">
        <v>27</v>
      </c>
      <c r="J519">
        <v>0</v>
      </c>
      <c r="K519">
        <v>0</v>
      </c>
      <c r="L519" s="3">
        <v>349219</v>
      </c>
      <c r="M519" s="6">
        <f t="shared" si="16"/>
        <v>78958</v>
      </c>
      <c r="N519" s="1">
        <v>78958</v>
      </c>
      <c r="O519" s="1" t="str">
        <f t="shared" si="17"/>
        <v>Desconocido</v>
      </c>
      <c r="Q519" t="s">
        <v>905</v>
      </c>
    </row>
    <row r="520" spans="1:17" x14ac:dyDescent="0.25">
      <c r="A520">
        <v>651</v>
      </c>
      <c r="B520">
        <v>0</v>
      </c>
      <c r="C520">
        <v>3</v>
      </c>
      <c r="D520" t="s">
        <v>1887</v>
      </c>
      <c r="E520" t="s">
        <v>902</v>
      </c>
      <c r="F520">
        <f>ROUNDUP(Titanic_DATASET[[#This Row],[Age Correción 2]],0)</f>
        <v>20</v>
      </c>
      <c r="G520" s="4">
        <f>VALUE(SUBSTITUTE(Titanic_DATASET[[#This Row],[Age Correción.]],".",","))</f>
        <v>20</v>
      </c>
      <c r="H520" s="5">
        <v>20</v>
      </c>
      <c r="J520">
        <v>0</v>
      </c>
      <c r="K520">
        <v>0</v>
      </c>
      <c r="L520" s="3">
        <v>349221</v>
      </c>
      <c r="M520" s="6">
        <f t="shared" si="16"/>
        <v>78958</v>
      </c>
      <c r="N520" s="1">
        <v>78958</v>
      </c>
      <c r="O520" s="1" t="str">
        <f t="shared" si="17"/>
        <v>Desconocido</v>
      </c>
      <c r="Q520" t="s">
        <v>905</v>
      </c>
    </row>
    <row r="521" spans="1:17" x14ac:dyDescent="0.25">
      <c r="A521">
        <v>411</v>
      </c>
      <c r="B521">
        <v>0</v>
      </c>
      <c r="C521">
        <v>3</v>
      </c>
      <c r="D521" t="s">
        <v>1555</v>
      </c>
      <c r="E521" t="s">
        <v>902</v>
      </c>
      <c r="F521">
        <f>ROUNDUP(Titanic_DATASET[[#This Row],[Age Correción 2]],0)</f>
        <v>31</v>
      </c>
      <c r="G521" s="4">
        <f>VALUE(SUBSTITUTE(Titanic_DATASET[[#This Row],[Age Correción.]],".",","))</f>
        <v>31</v>
      </c>
      <c r="H521" s="5">
        <v>31</v>
      </c>
      <c r="J521">
        <v>0</v>
      </c>
      <c r="K521">
        <v>0</v>
      </c>
      <c r="L521" s="3">
        <v>349222</v>
      </c>
      <c r="M521" s="6">
        <f t="shared" si="16"/>
        <v>78958</v>
      </c>
      <c r="N521" s="1">
        <v>78958</v>
      </c>
      <c r="O521" s="1" t="str">
        <f t="shared" si="17"/>
        <v>Desconocido</v>
      </c>
      <c r="Q521" t="s">
        <v>905</v>
      </c>
    </row>
    <row r="522" spans="1:17" x14ac:dyDescent="0.25">
      <c r="A522">
        <v>657</v>
      </c>
      <c r="B522">
        <v>0</v>
      </c>
      <c r="C522">
        <v>3</v>
      </c>
      <c r="D522" t="s">
        <v>1893</v>
      </c>
      <c r="E522" t="s">
        <v>902</v>
      </c>
      <c r="F522">
        <f>ROUNDUP(Titanic_DATASET[[#This Row],[Age Correción 2]],0)</f>
        <v>10</v>
      </c>
      <c r="G522" s="4">
        <f>VALUE(SUBSTITUTE(Titanic_DATASET[[#This Row],[Age Correción.]],".",","))</f>
        <v>10</v>
      </c>
      <c r="H522" s="5">
        <v>10</v>
      </c>
      <c r="J522">
        <v>0</v>
      </c>
      <c r="K522">
        <v>0</v>
      </c>
      <c r="L522" s="3">
        <v>349223</v>
      </c>
      <c r="M522" s="6">
        <f t="shared" si="16"/>
        <v>78958</v>
      </c>
      <c r="N522" s="1">
        <v>78958</v>
      </c>
      <c r="O522" s="1" t="str">
        <f t="shared" si="17"/>
        <v>Desconocido</v>
      </c>
      <c r="Q522" t="s">
        <v>905</v>
      </c>
    </row>
    <row r="523" spans="1:17" x14ac:dyDescent="0.25">
      <c r="A523">
        <v>629</v>
      </c>
      <c r="B523">
        <v>0</v>
      </c>
      <c r="C523">
        <v>3</v>
      </c>
      <c r="D523" t="s">
        <v>1859</v>
      </c>
      <c r="E523" t="s">
        <v>902</v>
      </c>
      <c r="F523">
        <f>ROUNDUP(Titanic_DATASET[[#This Row],[Age Correción 2]],0)</f>
        <v>26</v>
      </c>
      <c r="G523" s="4">
        <f>VALUE(SUBSTITUTE(Titanic_DATASET[[#This Row],[Age Correción.]],".",","))</f>
        <v>26</v>
      </c>
      <c r="H523" s="5">
        <v>26</v>
      </c>
      <c r="I523">
        <v>26</v>
      </c>
      <c r="J523">
        <v>0</v>
      </c>
      <c r="K523">
        <v>0</v>
      </c>
      <c r="L523" s="3">
        <v>349224</v>
      </c>
      <c r="M523" s="6">
        <f t="shared" si="16"/>
        <v>78958</v>
      </c>
      <c r="N523" s="1">
        <v>78958</v>
      </c>
      <c r="O523" s="1" t="str">
        <f t="shared" si="17"/>
        <v>Desconocido</v>
      </c>
      <c r="Q523" t="s">
        <v>905</v>
      </c>
    </row>
    <row r="524" spans="1:17" x14ac:dyDescent="0.25">
      <c r="A524">
        <v>336</v>
      </c>
      <c r="B524">
        <v>0</v>
      </c>
      <c r="C524">
        <v>3</v>
      </c>
      <c r="D524" t="s">
        <v>1456</v>
      </c>
      <c r="E524" t="s">
        <v>902</v>
      </c>
      <c r="F524">
        <f>ROUNDUP(Titanic_DATASET[[#This Row],[Age Correción 2]],0)</f>
        <v>2</v>
      </c>
      <c r="G524" s="4">
        <f>VALUE(SUBSTITUTE(Titanic_DATASET[[#This Row],[Age Correción.]],".",","))</f>
        <v>2</v>
      </c>
      <c r="H524" s="5">
        <v>2</v>
      </c>
      <c r="J524">
        <v>0</v>
      </c>
      <c r="K524">
        <v>0</v>
      </c>
      <c r="L524" s="3">
        <v>349225</v>
      </c>
      <c r="M524" s="6">
        <f t="shared" si="16"/>
        <v>78958</v>
      </c>
      <c r="N524" s="1">
        <v>78958</v>
      </c>
      <c r="O524" s="1" t="str">
        <f t="shared" si="17"/>
        <v>Desconocido</v>
      </c>
      <c r="Q524" t="s">
        <v>905</v>
      </c>
    </row>
    <row r="525" spans="1:17" x14ac:dyDescent="0.25">
      <c r="A525">
        <v>385</v>
      </c>
      <c r="B525">
        <v>0</v>
      </c>
      <c r="C525">
        <v>3</v>
      </c>
      <c r="D525" t="s">
        <v>1524</v>
      </c>
      <c r="E525" t="s">
        <v>902</v>
      </c>
      <c r="F525">
        <f>ROUNDUP(Titanic_DATASET[[#This Row],[Age Correción 2]],0)</f>
        <v>69</v>
      </c>
      <c r="G525" s="4">
        <f>VALUE(SUBSTITUTE(Titanic_DATASET[[#This Row],[Age Correción.]],".",","))</f>
        <v>69</v>
      </c>
      <c r="H525" s="5">
        <v>69</v>
      </c>
      <c r="J525">
        <v>0</v>
      </c>
      <c r="K525">
        <v>0</v>
      </c>
      <c r="L525" s="3">
        <v>349227</v>
      </c>
      <c r="M525" s="6">
        <f t="shared" si="16"/>
        <v>78958</v>
      </c>
      <c r="N525" s="1">
        <v>78958</v>
      </c>
      <c r="O525" s="1" t="str">
        <f t="shared" si="17"/>
        <v>Desconocido</v>
      </c>
      <c r="Q525" t="s">
        <v>905</v>
      </c>
    </row>
    <row r="526" spans="1:17" x14ac:dyDescent="0.25">
      <c r="A526">
        <v>688</v>
      </c>
      <c r="B526">
        <v>0</v>
      </c>
      <c r="C526">
        <v>3</v>
      </c>
      <c r="D526" t="s">
        <v>1935</v>
      </c>
      <c r="E526" t="s">
        <v>902</v>
      </c>
      <c r="F526">
        <f>ROUNDUP(Titanic_DATASET[[#This Row],[Age Correción 2]],0)</f>
        <v>19</v>
      </c>
      <c r="G526" s="4">
        <f>VALUE(SUBSTITUTE(Titanic_DATASET[[#This Row],[Age Correción.]],".",","))</f>
        <v>19</v>
      </c>
      <c r="H526" s="5">
        <v>19</v>
      </c>
      <c r="I526">
        <v>19</v>
      </c>
      <c r="J526">
        <v>0</v>
      </c>
      <c r="K526">
        <v>0</v>
      </c>
      <c r="L526" s="3">
        <v>349228</v>
      </c>
      <c r="M526" s="6">
        <f t="shared" si="16"/>
        <v>101708</v>
      </c>
      <c r="N526" s="1">
        <v>101708</v>
      </c>
      <c r="O526" s="1" t="str">
        <f t="shared" si="17"/>
        <v>Desconocido</v>
      </c>
      <c r="Q526" t="s">
        <v>905</v>
      </c>
    </row>
    <row r="527" spans="1:17" x14ac:dyDescent="0.25">
      <c r="A527">
        <v>647</v>
      </c>
      <c r="B527">
        <v>0</v>
      </c>
      <c r="C527">
        <v>3</v>
      </c>
      <c r="D527" t="s">
        <v>1880</v>
      </c>
      <c r="E527" t="s">
        <v>902</v>
      </c>
      <c r="F527">
        <f>ROUNDUP(Titanic_DATASET[[#This Row],[Age Correción 2]],0)</f>
        <v>19</v>
      </c>
      <c r="G527" s="4">
        <f>VALUE(SUBSTITUTE(Titanic_DATASET[[#This Row],[Age Correción.]],".",","))</f>
        <v>19</v>
      </c>
      <c r="H527" s="5">
        <v>19</v>
      </c>
      <c r="I527">
        <v>19</v>
      </c>
      <c r="J527">
        <v>0</v>
      </c>
      <c r="K527">
        <v>0</v>
      </c>
      <c r="L527" s="3">
        <v>349231</v>
      </c>
      <c r="M527" s="6">
        <f t="shared" si="16"/>
        <v>78958</v>
      </c>
      <c r="N527" s="1">
        <v>78958</v>
      </c>
      <c r="O527" s="1" t="str">
        <f t="shared" si="17"/>
        <v>Desconocido</v>
      </c>
      <c r="Q527" t="s">
        <v>905</v>
      </c>
    </row>
    <row r="528" spans="1:17" x14ac:dyDescent="0.25">
      <c r="A528">
        <v>295</v>
      </c>
      <c r="B528">
        <v>0</v>
      </c>
      <c r="C528">
        <v>3</v>
      </c>
      <c r="D528" t="s">
        <v>1385</v>
      </c>
      <c r="E528" t="s">
        <v>902</v>
      </c>
      <c r="F528">
        <f>ROUNDUP(Titanic_DATASET[[#This Row],[Age Correción 2]],0)</f>
        <v>24</v>
      </c>
      <c r="G528" s="4">
        <f>VALUE(SUBSTITUTE(Titanic_DATASET[[#This Row],[Age Correción.]],".",","))</f>
        <v>24</v>
      </c>
      <c r="H528" s="5">
        <v>24</v>
      </c>
      <c r="I528">
        <v>24</v>
      </c>
      <c r="J528">
        <v>0</v>
      </c>
      <c r="K528">
        <v>0</v>
      </c>
      <c r="L528" s="3">
        <v>349233</v>
      </c>
      <c r="M528" s="6">
        <f t="shared" si="16"/>
        <v>78958</v>
      </c>
      <c r="N528" s="1">
        <v>78958</v>
      </c>
      <c r="O528" s="1" t="str">
        <f t="shared" si="17"/>
        <v>Desconocido</v>
      </c>
      <c r="Q528" t="s">
        <v>905</v>
      </c>
    </row>
    <row r="529" spans="1:17" x14ac:dyDescent="0.25">
      <c r="A529">
        <v>224</v>
      </c>
      <c r="B529">
        <v>0</v>
      </c>
      <c r="C529">
        <v>3</v>
      </c>
      <c r="D529" t="s">
        <v>1269</v>
      </c>
      <c r="E529" t="s">
        <v>902</v>
      </c>
      <c r="F529">
        <f>ROUNDUP(Titanic_DATASET[[#This Row],[Age Correción 2]],0)</f>
        <v>19</v>
      </c>
      <c r="G529" s="4">
        <f>VALUE(SUBSTITUTE(Titanic_DATASET[[#This Row],[Age Correción.]],".",","))</f>
        <v>19</v>
      </c>
      <c r="H529" s="5">
        <v>19</v>
      </c>
      <c r="J529">
        <v>0</v>
      </c>
      <c r="K529">
        <v>0</v>
      </c>
      <c r="L529" s="3">
        <v>349234</v>
      </c>
      <c r="M529" s="6">
        <f t="shared" si="16"/>
        <v>78958</v>
      </c>
      <c r="N529" s="1">
        <v>78958</v>
      </c>
      <c r="O529" s="1" t="str">
        <f t="shared" si="17"/>
        <v>Desconocido</v>
      </c>
      <c r="Q529" t="s">
        <v>905</v>
      </c>
    </row>
    <row r="530" spans="1:17" x14ac:dyDescent="0.25">
      <c r="A530">
        <v>294</v>
      </c>
      <c r="B530">
        <v>0</v>
      </c>
      <c r="C530">
        <v>3</v>
      </c>
      <c r="D530" t="s">
        <v>1383</v>
      </c>
      <c r="E530" t="s">
        <v>907</v>
      </c>
      <c r="F530">
        <f>ROUNDUP(Titanic_DATASET[[#This Row],[Age Correción 2]],0)</f>
        <v>24</v>
      </c>
      <c r="G530" s="4">
        <f>VALUE(SUBSTITUTE(Titanic_DATASET[[#This Row],[Age Correción.]],".",","))</f>
        <v>24</v>
      </c>
      <c r="H530" s="5">
        <v>24</v>
      </c>
      <c r="I530">
        <v>24</v>
      </c>
      <c r="J530">
        <v>0</v>
      </c>
      <c r="K530">
        <v>0</v>
      </c>
      <c r="L530" s="3">
        <v>349236</v>
      </c>
      <c r="M530" s="6">
        <f t="shared" si="16"/>
        <v>8.85</v>
      </c>
      <c r="N530" t="s">
        <v>1384</v>
      </c>
      <c r="O530" t="str">
        <f t="shared" si="17"/>
        <v>Desconocido</v>
      </c>
      <c r="Q530" t="s">
        <v>905</v>
      </c>
    </row>
    <row r="531" spans="1:17" x14ac:dyDescent="0.25">
      <c r="A531">
        <v>50</v>
      </c>
      <c r="B531">
        <v>0</v>
      </c>
      <c r="C531">
        <v>3</v>
      </c>
      <c r="D531" t="s">
        <v>985</v>
      </c>
      <c r="E531" t="s">
        <v>907</v>
      </c>
      <c r="F531">
        <f>ROUNDUP(Titanic_DATASET[[#This Row],[Age Correción 2]],0)</f>
        <v>18</v>
      </c>
      <c r="G531" s="4">
        <f>VALUE(SUBSTITUTE(Titanic_DATASET[[#This Row],[Age Correción.]],".",","))</f>
        <v>18</v>
      </c>
      <c r="H531" s="5">
        <v>18</v>
      </c>
      <c r="I531">
        <v>18</v>
      </c>
      <c r="J531">
        <v>1</v>
      </c>
      <c r="K531">
        <v>0</v>
      </c>
      <c r="L531" s="3">
        <v>349237</v>
      </c>
      <c r="M531" s="6">
        <f t="shared" si="16"/>
        <v>17.8</v>
      </c>
      <c r="N531" t="s">
        <v>986</v>
      </c>
      <c r="O531" t="str">
        <f t="shared" si="17"/>
        <v>Desconocido</v>
      </c>
      <c r="Q531" t="s">
        <v>905</v>
      </c>
    </row>
    <row r="532" spans="1:17" x14ac:dyDescent="0.25">
      <c r="A532">
        <v>354</v>
      </c>
      <c r="B532">
        <v>0</v>
      </c>
      <c r="C532">
        <v>3</v>
      </c>
      <c r="D532" t="s">
        <v>1479</v>
      </c>
      <c r="E532" t="s">
        <v>902</v>
      </c>
      <c r="F532">
        <f>ROUNDUP(Titanic_DATASET[[#This Row],[Age Correción 2]],0)</f>
        <v>25</v>
      </c>
      <c r="G532" s="4">
        <f>VALUE(SUBSTITUTE(Titanic_DATASET[[#This Row],[Age Correción.]],".",","))</f>
        <v>25</v>
      </c>
      <c r="H532" s="5">
        <v>25</v>
      </c>
      <c r="I532">
        <v>25</v>
      </c>
      <c r="J532">
        <v>1</v>
      </c>
      <c r="K532">
        <v>0</v>
      </c>
      <c r="L532" s="3">
        <v>349237</v>
      </c>
      <c r="M532" s="6">
        <f t="shared" si="16"/>
        <v>17.8</v>
      </c>
      <c r="N532" t="s">
        <v>986</v>
      </c>
      <c r="O532" t="str">
        <f t="shared" si="17"/>
        <v>Desconocido</v>
      </c>
      <c r="Q532" t="s">
        <v>905</v>
      </c>
    </row>
    <row r="533" spans="1:17" x14ac:dyDescent="0.25">
      <c r="A533">
        <v>286</v>
      </c>
      <c r="B533">
        <v>0</v>
      </c>
      <c r="C533">
        <v>3</v>
      </c>
      <c r="D533" t="s">
        <v>1371</v>
      </c>
      <c r="E533" t="s">
        <v>902</v>
      </c>
      <c r="F533">
        <f>ROUNDUP(Titanic_DATASET[[#This Row],[Age Correción 2]],0)</f>
        <v>33</v>
      </c>
      <c r="G533" s="4">
        <f>VALUE(SUBSTITUTE(Titanic_DATASET[[#This Row],[Age Correción.]],".",","))</f>
        <v>33</v>
      </c>
      <c r="H533" s="5">
        <v>33</v>
      </c>
      <c r="I533">
        <v>33</v>
      </c>
      <c r="J533">
        <v>0</v>
      </c>
      <c r="K533">
        <v>0</v>
      </c>
      <c r="L533" s="3">
        <v>349239</v>
      </c>
      <c r="M533" s="6">
        <f t="shared" si="16"/>
        <v>86625</v>
      </c>
      <c r="N533" s="1">
        <v>86625</v>
      </c>
      <c r="O533" s="1" t="str">
        <f t="shared" si="17"/>
        <v>Desconocido</v>
      </c>
      <c r="Q533" t="s">
        <v>910</v>
      </c>
    </row>
    <row r="534" spans="1:17" x14ac:dyDescent="0.25">
      <c r="A534">
        <v>456</v>
      </c>
      <c r="B534">
        <v>1</v>
      </c>
      <c r="C534">
        <v>3</v>
      </c>
      <c r="D534" t="s">
        <v>1616</v>
      </c>
      <c r="E534" t="s">
        <v>902</v>
      </c>
      <c r="F534">
        <f>ROUNDUP(Titanic_DATASET[[#This Row],[Age Correción 2]],0)</f>
        <v>29</v>
      </c>
      <c r="G534" s="4">
        <f>VALUE(SUBSTITUTE(Titanic_DATASET[[#This Row],[Age Correción.]],".",","))</f>
        <v>29</v>
      </c>
      <c r="H534" s="5">
        <v>29</v>
      </c>
      <c r="I534">
        <v>29</v>
      </c>
      <c r="J534">
        <v>0</v>
      </c>
      <c r="K534">
        <v>0</v>
      </c>
      <c r="L534" s="3">
        <v>349240</v>
      </c>
      <c r="M534" s="6">
        <f t="shared" si="16"/>
        <v>78958</v>
      </c>
      <c r="N534" s="1">
        <v>78958</v>
      </c>
      <c r="O534" s="1" t="str">
        <f t="shared" si="17"/>
        <v>Desconocido</v>
      </c>
      <c r="Q534" t="s">
        <v>910</v>
      </c>
    </row>
    <row r="535" spans="1:17" x14ac:dyDescent="0.25">
      <c r="A535">
        <v>131</v>
      </c>
      <c r="B535">
        <v>0</v>
      </c>
      <c r="C535">
        <v>3</v>
      </c>
      <c r="D535" t="s">
        <v>1118</v>
      </c>
      <c r="E535" t="s">
        <v>902</v>
      </c>
      <c r="F535">
        <f>ROUNDUP(Titanic_DATASET[[#This Row],[Age Correción 2]],0)</f>
        <v>33</v>
      </c>
      <c r="G535" s="4">
        <f>VALUE(SUBSTITUTE(Titanic_DATASET[[#This Row],[Age Correción.]],".",","))</f>
        <v>33</v>
      </c>
      <c r="H535" s="5">
        <v>33</v>
      </c>
      <c r="I535">
        <v>33</v>
      </c>
      <c r="J535">
        <v>0</v>
      </c>
      <c r="K535">
        <v>0</v>
      </c>
      <c r="L535" s="3">
        <v>349241</v>
      </c>
      <c r="M535" s="6">
        <f t="shared" si="16"/>
        <v>78958</v>
      </c>
      <c r="N535" s="1">
        <v>78958</v>
      </c>
      <c r="O535" s="1" t="str">
        <f t="shared" si="17"/>
        <v>Desconocido</v>
      </c>
      <c r="Q535" t="s">
        <v>910</v>
      </c>
    </row>
    <row r="536" spans="1:17" x14ac:dyDescent="0.25">
      <c r="A536">
        <v>520</v>
      </c>
      <c r="B536">
        <v>0</v>
      </c>
      <c r="C536">
        <v>3</v>
      </c>
      <c r="D536" t="s">
        <v>1710</v>
      </c>
      <c r="E536" t="s">
        <v>902</v>
      </c>
      <c r="F536">
        <f>ROUNDUP(Titanic_DATASET[[#This Row],[Age Correción 2]],0)</f>
        <v>32</v>
      </c>
      <c r="G536" s="4">
        <f>VALUE(SUBSTITUTE(Titanic_DATASET[[#This Row],[Age Correción.]],".",","))</f>
        <v>32</v>
      </c>
      <c r="H536" s="5">
        <v>32</v>
      </c>
      <c r="I536">
        <v>32</v>
      </c>
      <c r="J536">
        <v>0</v>
      </c>
      <c r="K536">
        <v>0</v>
      </c>
      <c r="L536" s="3">
        <v>349242</v>
      </c>
      <c r="M536" s="6">
        <f t="shared" si="16"/>
        <v>78958</v>
      </c>
      <c r="N536" s="1">
        <v>78958</v>
      </c>
      <c r="O536" s="1" t="str">
        <f t="shared" si="17"/>
        <v>Desconocido</v>
      </c>
      <c r="Q536" t="s">
        <v>905</v>
      </c>
    </row>
    <row r="537" spans="1:17" x14ac:dyDescent="0.25">
      <c r="A537">
        <v>314</v>
      </c>
      <c r="B537">
        <v>0</v>
      </c>
      <c r="C537">
        <v>3</v>
      </c>
      <c r="D537" t="s">
        <v>1423</v>
      </c>
      <c r="E537" t="s">
        <v>902</v>
      </c>
      <c r="F537">
        <f>ROUNDUP(Titanic_DATASET[[#This Row],[Age Correción 2]],0)</f>
        <v>28</v>
      </c>
      <c r="G537" s="4">
        <f>VALUE(SUBSTITUTE(Titanic_DATASET[[#This Row],[Age Correción.]],".",","))</f>
        <v>28</v>
      </c>
      <c r="H537" s="5">
        <v>28</v>
      </c>
      <c r="I537">
        <v>28</v>
      </c>
      <c r="J537">
        <v>0</v>
      </c>
      <c r="K537">
        <v>0</v>
      </c>
      <c r="L537" s="3">
        <v>349243</v>
      </c>
      <c r="M537" s="6">
        <f t="shared" si="16"/>
        <v>78958</v>
      </c>
      <c r="N537" s="1">
        <v>78958</v>
      </c>
      <c r="O537" s="1" t="str">
        <f t="shared" si="17"/>
        <v>Desconocido</v>
      </c>
      <c r="Q537" t="s">
        <v>905</v>
      </c>
    </row>
    <row r="538" spans="1:17" x14ac:dyDescent="0.25">
      <c r="A538">
        <v>798</v>
      </c>
      <c r="B538">
        <v>1</v>
      </c>
      <c r="C538">
        <v>3</v>
      </c>
      <c r="D538" t="s">
        <v>2077</v>
      </c>
      <c r="E538" t="s">
        <v>907</v>
      </c>
      <c r="F538">
        <f>ROUNDUP(Titanic_DATASET[[#This Row],[Age Correción 2]],0)</f>
        <v>31</v>
      </c>
      <c r="G538" s="4">
        <f>VALUE(SUBSTITUTE(Titanic_DATASET[[#This Row],[Age Correción.]],".",","))</f>
        <v>31</v>
      </c>
      <c r="H538" s="5">
        <v>31</v>
      </c>
      <c r="I538">
        <v>31</v>
      </c>
      <c r="J538">
        <v>0</v>
      </c>
      <c r="K538">
        <v>0</v>
      </c>
      <c r="L538" s="3">
        <v>349244</v>
      </c>
      <c r="M538" s="6">
        <f t="shared" si="16"/>
        <v>86833</v>
      </c>
      <c r="N538" s="1">
        <v>86833</v>
      </c>
      <c r="O538" s="1" t="str">
        <f t="shared" si="17"/>
        <v>Desconocido</v>
      </c>
      <c r="Q538" t="s">
        <v>905</v>
      </c>
    </row>
    <row r="539" spans="1:17" x14ac:dyDescent="0.25">
      <c r="A539">
        <v>101</v>
      </c>
      <c r="B539">
        <v>0</v>
      </c>
      <c r="C539">
        <v>3</v>
      </c>
      <c r="D539" t="s">
        <v>1075</v>
      </c>
      <c r="E539" t="s">
        <v>907</v>
      </c>
      <c r="F539">
        <f>ROUNDUP(Titanic_DATASET[[#This Row],[Age Correción 2]],0)</f>
        <v>28</v>
      </c>
      <c r="G539" s="4">
        <f>VALUE(SUBSTITUTE(Titanic_DATASET[[#This Row],[Age Correción.]],".",","))</f>
        <v>28</v>
      </c>
      <c r="H539" s="5">
        <v>28</v>
      </c>
      <c r="I539">
        <v>28</v>
      </c>
      <c r="J539">
        <v>0</v>
      </c>
      <c r="K539">
        <v>0</v>
      </c>
      <c r="L539" s="3">
        <v>349245</v>
      </c>
      <c r="M539" s="6">
        <f t="shared" si="16"/>
        <v>78958</v>
      </c>
      <c r="N539" s="1">
        <v>78958</v>
      </c>
      <c r="O539" s="1" t="str">
        <f t="shared" si="17"/>
        <v>Desconocido</v>
      </c>
      <c r="Q539" t="s">
        <v>905</v>
      </c>
    </row>
    <row r="540" spans="1:17" x14ac:dyDescent="0.25">
      <c r="A540">
        <v>607</v>
      </c>
      <c r="B540">
        <v>0</v>
      </c>
      <c r="C540">
        <v>3</v>
      </c>
      <c r="D540" t="s">
        <v>1833</v>
      </c>
      <c r="E540" t="s">
        <v>902</v>
      </c>
      <c r="F540">
        <f>ROUNDUP(Titanic_DATASET[[#This Row],[Age Correción 2]],0)</f>
        <v>30</v>
      </c>
      <c r="G540" s="4">
        <f>VALUE(SUBSTITUTE(Titanic_DATASET[[#This Row],[Age Correción.]],".",","))</f>
        <v>30</v>
      </c>
      <c r="H540" s="5">
        <v>30</v>
      </c>
      <c r="I540">
        <v>30</v>
      </c>
      <c r="J540">
        <v>0</v>
      </c>
      <c r="K540">
        <v>0</v>
      </c>
      <c r="L540" s="3">
        <v>349246</v>
      </c>
      <c r="M540" s="6">
        <f t="shared" si="16"/>
        <v>78958</v>
      </c>
      <c r="N540" s="1">
        <v>78958</v>
      </c>
      <c r="O540" s="1" t="str">
        <f t="shared" si="17"/>
        <v>Desconocido</v>
      </c>
      <c r="Q540" t="s">
        <v>905</v>
      </c>
    </row>
    <row r="541" spans="1:17" x14ac:dyDescent="0.25">
      <c r="A541">
        <v>190</v>
      </c>
      <c r="B541">
        <v>0</v>
      </c>
      <c r="C541">
        <v>3</v>
      </c>
      <c r="D541" t="s">
        <v>1221</v>
      </c>
      <c r="E541" t="s">
        <v>902</v>
      </c>
      <c r="F541">
        <f>ROUNDUP(Titanic_DATASET[[#This Row],[Age Correción 2]],0)</f>
        <v>36</v>
      </c>
      <c r="G541" s="4">
        <f>VALUE(SUBSTITUTE(Titanic_DATASET[[#This Row],[Age Correción.]],".",","))</f>
        <v>36</v>
      </c>
      <c r="H541" s="5">
        <v>36</v>
      </c>
      <c r="I541">
        <v>36</v>
      </c>
      <c r="J541">
        <v>0</v>
      </c>
      <c r="K541">
        <v>0</v>
      </c>
      <c r="L541" s="3">
        <v>349247</v>
      </c>
      <c r="M541" s="6">
        <f t="shared" si="16"/>
        <v>78958</v>
      </c>
      <c r="N541" s="1">
        <v>78958</v>
      </c>
      <c r="O541" s="1" t="str">
        <f t="shared" si="17"/>
        <v>Desconocido</v>
      </c>
      <c r="Q541" t="s">
        <v>905</v>
      </c>
    </row>
    <row r="542" spans="1:17" x14ac:dyDescent="0.25">
      <c r="A542">
        <v>871</v>
      </c>
      <c r="B542">
        <v>0</v>
      </c>
      <c r="C542">
        <v>3</v>
      </c>
      <c r="D542" t="s">
        <v>2173</v>
      </c>
      <c r="E542" t="s">
        <v>902</v>
      </c>
      <c r="F542">
        <f>ROUNDUP(Titanic_DATASET[[#This Row],[Age Correción 2]],0)</f>
        <v>26</v>
      </c>
      <c r="G542" s="4">
        <f>VALUE(SUBSTITUTE(Titanic_DATASET[[#This Row],[Age Correción.]],".",","))</f>
        <v>26</v>
      </c>
      <c r="H542" s="5">
        <v>26</v>
      </c>
      <c r="I542">
        <v>26</v>
      </c>
      <c r="J542">
        <v>0</v>
      </c>
      <c r="K542">
        <v>0</v>
      </c>
      <c r="L542" s="3">
        <v>349248</v>
      </c>
      <c r="M542" s="6">
        <f t="shared" si="16"/>
        <v>78958</v>
      </c>
      <c r="N542" s="1">
        <v>78958</v>
      </c>
      <c r="O542" s="1" t="str">
        <f t="shared" si="17"/>
        <v>Desconocido</v>
      </c>
      <c r="Q542" t="s">
        <v>905</v>
      </c>
    </row>
    <row r="543" spans="1:17" x14ac:dyDescent="0.25">
      <c r="A543">
        <v>109</v>
      </c>
      <c r="B543">
        <v>0</v>
      </c>
      <c r="C543">
        <v>3</v>
      </c>
      <c r="D543" t="s">
        <v>1084</v>
      </c>
      <c r="E543" t="s">
        <v>902</v>
      </c>
      <c r="F543">
        <f>ROUNDUP(Titanic_DATASET[[#This Row],[Age Correción 2]],0)</f>
        <v>38</v>
      </c>
      <c r="G543" s="4">
        <f>VALUE(SUBSTITUTE(Titanic_DATASET[[#This Row],[Age Correción.]],".",","))</f>
        <v>38</v>
      </c>
      <c r="H543" s="5">
        <v>38</v>
      </c>
      <c r="I543">
        <v>38</v>
      </c>
      <c r="J543">
        <v>0</v>
      </c>
      <c r="K543">
        <v>0</v>
      </c>
      <c r="L543" s="3">
        <v>349249</v>
      </c>
      <c r="M543" s="6">
        <f t="shared" si="16"/>
        <v>78958</v>
      </c>
      <c r="N543" s="1">
        <v>78958</v>
      </c>
      <c r="O543" s="1" t="str">
        <f t="shared" si="17"/>
        <v>Desconocido</v>
      </c>
      <c r="Q543" t="s">
        <v>905</v>
      </c>
    </row>
    <row r="544" spans="1:17" x14ac:dyDescent="0.25">
      <c r="A544">
        <v>562</v>
      </c>
      <c r="B544">
        <v>0</v>
      </c>
      <c r="C544">
        <v>3</v>
      </c>
      <c r="D544" t="s">
        <v>1769</v>
      </c>
      <c r="E544" t="s">
        <v>902</v>
      </c>
      <c r="F544">
        <f>ROUNDUP(Titanic_DATASET[[#This Row],[Age Correción 2]],0)</f>
        <v>40</v>
      </c>
      <c r="G544" s="4">
        <f>VALUE(SUBSTITUTE(Titanic_DATASET[[#This Row],[Age Correción.]],".",","))</f>
        <v>40</v>
      </c>
      <c r="H544" s="5">
        <v>40</v>
      </c>
      <c r="I544">
        <v>40</v>
      </c>
      <c r="J544">
        <v>0</v>
      </c>
      <c r="K544">
        <v>0</v>
      </c>
      <c r="L544" s="3">
        <v>349251</v>
      </c>
      <c r="M544" s="6">
        <f t="shared" si="16"/>
        <v>78958</v>
      </c>
      <c r="N544" s="1">
        <v>78958</v>
      </c>
      <c r="O544" s="1" t="str">
        <f t="shared" si="17"/>
        <v>Desconocido</v>
      </c>
      <c r="Q544" t="s">
        <v>905</v>
      </c>
    </row>
    <row r="545" spans="1:17" x14ac:dyDescent="0.25">
      <c r="A545">
        <v>522</v>
      </c>
      <c r="B545">
        <v>0</v>
      </c>
      <c r="C545">
        <v>3</v>
      </c>
      <c r="D545" t="s">
        <v>1714</v>
      </c>
      <c r="E545" t="s">
        <v>902</v>
      </c>
      <c r="F545">
        <f>ROUNDUP(Titanic_DATASET[[#This Row],[Age Correción 2]],0)</f>
        <v>22</v>
      </c>
      <c r="G545" s="4">
        <f>VALUE(SUBSTITUTE(Titanic_DATASET[[#This Row],[Age Correción.]],".",","))</f>
        <v>22</v>
      </c>
      <c r="H545" s="5">
        <v>22</v>
      </c>
      <c r="I545">
        <v>22</v>
      </c>
      <c r="J545">
        <v>0</v>
      </c>
      <c r="K545">
        <v>0</v>
      </c>
      <c r="L545" s="3">
        <v>349252</v>
      </c>
      <c r="M545" s="6">
        <f t="shared" si="16"/>
        <v>78958</v>
      </c>
      <c r="N545" s="1">
        <v>78958</v>
      </c>
      <c r="O545" s="1" t="str">
        <f t="shared" si="17"/>
        <v>Desconocido</v>
      </c>
      <c r="Q545" t="s">
        <v>905</v>
      </c>
    </row>
    <row r="546" spans="1:17" x14ac:dyDescent="0.25">
      <c r="A546">
        <v>43</v>
      </c>
      <c r="B546">
        <v>0</v>
      </c>
      <c r="C546">
        <v>3</v>
      </c>
      <c r="D546" t="s">
        <v>975</v>
      </c>
      <c r="E546" t="s">
        <v>902</v>
      </c>
      <c r="F546">
        <f>ROUNDUP(Titanic_DATASET[[#This Row],[Age Correción 2]],0)</f>
        <v>8</v>
      </c>
      <c r="G546" s="4">
        <f>VALUE(SUBSTITUTE(Titanic_DATASET[[#This Row],[Age Correción.]],".",","))</f>
        <v>8</v>
      </c>
      <c r="H546" s="5">
        <v>8</v>
      </c>
      <c r="J546">
        <v>0</v>
      </c>
      <c r="K546">
        <v>0</v>
      </c>
      <c r="L546" s="3">
        <v>349253</v>
      </c>
      <c r="M546" s="6">
        <f t="shared" si="16"/>
        <v>78958</v>
      </c>
      <c r="N546" s="1">
        <v>78958</v>
      </c>
      <c r="O546" s="1" t="str">
        <f t="shared" si="17"/>
        <v>Desconocido</v>
      </c>
      <c r="Q546" t="s">
        <v>910</v>
      </c>
    </row>
    <row r="547" spans="1:17" x14ac:dyDescent="0.25">
      <c r="A547">
        <v>421</v>
      </c>
      <c r="B547">
        <v>0</v>
      </c>
      <c r="C547">
        <v>3</v>
      </c>
      <c r="D547" t="s">
        <v>1566</v>
      </c>
      <c r="E547" t="s">
        <v>902</v>
      </c>
      <c r="F547">
        <f>ROUNDUP(Titanic_DATASET[[#This Row],[Age Correción 2]],0)</f>
        <v>28</v>
      </c>
      <c r="G547" s="4">
        <f>VALUE(SUBSTITUTE(Titanic_DATASET[[#This Row],[Age Correción.]],".",","))</f>
        <v>28</v>
      </c>
      <c r="H547" s="5">
        <v>28</v>
      </c>
      <c r="J547">
        <v>0</v>
      </c>
      <c r="K547">
        <v>0</v>
      </c>
      <c r="L547" s="3">
        <v>349254</v>
      </c>
      <c r="M547" s="6">
        <f t="shared" si="16"/>
        <v>78958</v>
      </c>
      <c r="N547" s="1">
        <v>78958</v>
      </c>
      <c r="O547" s="1" t="str">
        <f t="shared" si="17"/>
        <v>Desconocido</v>
      </c>
      <c r="Q547" t="s">
        <v>910</v>
      </c>
    </row>
    <row r="548" spans="1:17" x14ac:dyDescent="0.25">
      <c r="A548">
        <v>692</v>
      </c>
      <c r="B548">
        <v>1</v>
      </c>
      <c r="C548">
        <v>3</v>
      </c>
      <c r="D548" t="s">
        <v>1941</v>
      </c>
      <c r="E548" t="s">
        <v>907</v>
      </c>
      <c r="F548">
        <f>ROUNDUP(Titanic_DATASET[[#This Row],[Age Correción 2]],0)</f>
        <v>4</v>
      </c>
      <c r="G548" s="4">
        <f>VALUE(SUBSTITUTE(Titanic_DATASET[[#This Row],[Age Correción.]],".",","))</f>
        <v>4</v>
      </c>
      <c r="H548" s="5">
        <v>4</v>
      </c>
      <c r="I548">
        <v>4</v>
      </c>
      <c r="J548">
        <v>0</v>
      </c>
      <c r="K548">
        <v>1</v>
      </c>
      <c r="L548" s="3">
        <v>349256</v>
      </c>
      <c r="M548" s="6">
        <f t="shared" si="16"/>
        <v>134167</v>
      </c>
      <c r="N548" s="1">
        <v>134167</v>
      </c>
      <c r="O548" s="1" t="str">
        <f t="shared" si="17"/>
        <v>Desconocido</v>
      </c>
      <c r="Q548" t="s">
        <v>910</v>
      </c>
    </row>
    <row r="549" spans="1:17" x14ac:dyDescent="0.25">
      <c r="A549">
        <v>882</v>
      </c>
      <c r="B549">
        <v>0</v>
      </c>
      <c r="C549">
        <v>3</v>
      </c>
      <c r="D549" t="s">
        <v>2185</v>
      </c>
      <c r="E549" t="s">
        <v>902</v>
      </c>
      <c r="F549">
        <f>ROUNDUP(Titanic_DATASET[[#This Row],[Age Correción 2]],0)</f>
        <v>33</v>
      </c>
      <c r="G549" s="4">
        <f>VALUE(SUBSTITUTE(Titanic_DATASET[[#This Row],[Age Correción.]],".",","))</f>
        <v>33</v>
      </c>
      <c r="H549" s="5">
        <v>33</v>
      </c>
      <c r="I549">
        <v>33</v>
      </c>
      <c r="J549">
        <v>0</v>
      </c>
      <c r="K549">
        <v>0</v>
      </c>
      <c r="L549" s="3">
        <v>349257</v>
      </c>
      <c r="M549" s="6">
        <f t="shared" si="16"/>
        <v>78958</v>
      </c>
      <c r="N549" s="1">
        <v>78958</v>
      </c>
      <c r="O549" s="1" t="str">
        <f t="shared" si="17"/>
        <v>Desconocido</v>
      </c>
      <c r="Q549" t="s">
        <v>905</v>
      </c>
    </row>
    <row r="550" spans="1:17" x14ac:dyDescent="0.25">
      <c r="A550">
        <v>8</v>
      </c>
      <c r="B550">
        <v>0</v>
      </c>
      <c r="C550">
        <v>3</v>
      </c>
      <c r="D550" t="s">
        <v>922</v>
      </c>
      <c r="E550" t="s">
        <v>902</v>
      </c>
      <c r="F550">
        <f>ROUNDUP(Titanic_DATASET[[#This Row],[Age Correción 2]],0)</f>
        <v>2</v>
      </c>
      <c r="G550" s="4">
        <f>VALUE(SUBSTITUTE(Titanic_DATASET[[#This Row],[Age Correción.]],".",","))</f>
        <v>2</v>
      </c>
      <c r="H550" s="5">
        <v>2</v>
      </c>
      <c r="I550">
        <v>2</v>
      </c>
      <c r="J550">
        <v>3</v>
      </c>
      <c r="K550">
        <v>1</v>
      </c>
      <c r="L550" s="3">
        <v>349909</v>
      </c>
      <c r="M550" s="6">
        <f t="shared" si="16"/>
        <v>21075</v>
      </c>
      <c r="N550" s="1">
        <v>21075</v>
      </c>
      <c r="O550" s="1" t="str">
        <f t="shared" si="17"/>
        <v>Desconocido</v>
      </c>
      <c r="Q550" t="s">
        <v>905</v>
      </c>
    </row>
    <row r="551" spans="1:17" x14ac:dyDescent="0.25">
      <c r="A551">
        <v>25</v>
      </c>
      <c r="B551">
        <v>0</v>
      </c>
      <c r="C551">
        <v>3</v>
      </c>
      <c r="D551" t="s">
        <v>948</v>
      </c>
      <c r="E551" t="s">
        <v>907</v>
      </c>
      <c r="F551">
        <f>ROUNDUP(Titanic_DATASET[[#This Row],[Age Correción 2]],0)</f>
        <v>8</v>
      </c>
      <c r="G551" s="4">
        <f>VALUE(SUBSTITUTE(Titanic_DATASET[[#This Row],[Age Correción.]],".",","))</f>
        <v>8</v>
      </c>
      <c r="H551" s="5">
        <v>8</v>
      </c>
      <c r="I551">
        <v>8</v>
      </c>
      <c r="J551">
        <v>3</v>
      </c>
      <c r="K551">
        <v>1</v>
      </c>
      <c r="L551" s="3">
        <v>349909</v>
      </c>
      <c r="M551" s="6">
        <f t="shared" si="16"/>
        <v>21075</v>
      </c>
      <c r="N551" s="1">
        <v>21075</v>
      </c>
      <c r="O551" s="1" t="str">
        <f t="shared" si="17"/>
        <v>Desconocido</v>
      </c>
      <c r="Q551" t="s">
        <v>905</v>
      </c>
    </row>
    <row r="552" spans="1:17" x14ac:dyDescent="0.25">
      <c r="A552">
        <v>375</v>
      </c>
      <c r="B552">
        <v>0</v>
      </c>
      <c r="C552">
        <v>3</v>
      </c>
      <c r="D552" t="s">
        <v>1509</v>
      </c>
      <c r="E552" t="s">
        <v>907</v>
      </c>
      <c r="F552">
        <f>ROUNDUP(Titanic_DATASET[[#This Row],[Age Correción 2]],0)</f>
        <v>3</v>
      </c>
      <c r="G552" s="4">
        <f>VALUE(SUBSTITUTE(Titanic_DATASET[[#This Row],[Age Correción.]],".",","))</f>
        <v>3</v>
      </c>
      <c r="H552" s="5">
        <v>3</v>
      </c>
      <c r="I552">
        <v>3</v>
      </c>
      <c r="J552">
        <v>3</v>
      </c>
      <c r="K552">
        <v>1</v>
      </c>
      <c r="L552" s="3">
        <v>349909</v>
      </c>
      <c r="M552" s="6">
        <f t="shared" si="16"/>
        <v>21075</v>
      </c>
      <c r="N552" s="1">
        <v>21075</v>
      </c>
      <c r="O552" s="1" t="str">
        <f t="shared" si="17"/>
        <v>Desconocido</v>
      </c>
      <c r="Q552" t="s">
        <v>905</v>
      </c>
    </row>
    <row r="553" spans="1:17" x14ac:dyDescent="0.25">
      <c r="A553">
        <v>568</v>
      </c>
      <c r="B553">
        <v>0</v>
      </c>
      <c r="C553">
        <v>3</v>
      </c>
      <c r="D553" t="s">
        <v>1778</v>
      </c>
      <c r="E553" t="s">
        <v>907</v>
      </c>
      <c r="F553">
        <f>ROUNDUP(Titanic_DATASET[[#This Row],[Age Correción 2]],0)</f>
        <v>29</v>
      </c>
      <c r="G553" s="4">
        <f>VALUE(SUBSTITUTE(Titanic_DATASET[[#This Row],[Age Correción.]],".",","))</f>
        <v>29</v>
      </c>
      <c r="H553" s="5">
        <v>29</v>
      </c>
      <c r="I553">
        <v>29</v>
      </c>
      <c r="J553">
        <v>0</v>
      </c>
      <c r="K553">
        <v>4</v>
      </c>
      <c r="L553" s="3">
        <v>349909</v>
      </c>
      <c r="M553" s="6">
        <f t="shared" si="16"/>
        <v>21075</v>
      </c>
      <c r="N553" s="1">
        <v>21075</v>
      </c>
      <c r="O553" s="1" t="str">
        <f t="shared" si="17"/>
        <v>Desconocido</v>
      </c>
      <c r="Q553" t="s">
        <v>905</v>
      </c>
    </row>
    <row r="554" spans="1:17" x14ac:dyDescent="0.25">
      <c r="A554">
        <v>606</v>
      </c>
      <c r="B554">
        <v>0</v>
      </c>
      <c r="C554">
        <v>3</v>
      </c>
      <c r="D554" t="s">
        <v>1831</v>
      </c>
      <c r="E554" t="s">
        <v>902</v>
      </c>
      <c r="F554">
        <f>ROUNDUP(Titanic_DATASET[[#This Row],[Age Correción 2]],0)</f>
        <v>36</v>
      </c>
      <c r="G554" s="4">
        <f>VALUE(SUBSTITUTE(Titanic_DATASET[[#This Row],[Age Correción.]],".",","))</f>
        <v>36</v>
      </c>
      <c r="H554" s="5">
        <v>36</v>
      </c>
      <c r="I554">
        <v>36</v>
      </c>
      <c r="J554">
        <v>1</v>
      </c>
      <c r="K554">
        <v>0</v>
      </c>
      <c r="L554" s="3">
        <v>349910</v>
      </c>
      <c r="M554" s="6">
        <f t="shared" si="16"/>
        <v>15.55</v>
      </c>
      <c r="N554" t="s">
        <v>1832</v>
      </c>
      <c r="O554" t="str">
        <f t="shared" si="17"/>
        <v>Desconocido</v>
      </c>
      <c r="Q554" t="s">
        <v>905</v>
      </c>
    </row>
    <row r="555" spans="1:17" x14ac:dyDescent="0.25">
      <c r="A555">
        <v>676</v>
      </c>
      <c r="B555">
        <v>0</v>
      </c>
      <c r="C555">
        <v>3</v>
      </c>
      <c r="D555" t="s">
        <v>1920</v>
      </c>
      <c r="E555" t="s">
        <v>902</v>
      </c>
      <c r="F555">
        <f>ROUNDUP(Titanic_DATASET[[#This Row],[Age Correción 2]],0)</f>
        <v>18</v>
      </c>
      <c r="G555" s="4">
        <f>VALUE(SUBSTITUTE(Titanic_DATASET[[#This Row],[Age Correción.]],".",","))</f>
        <v>18</v>
      </c>
      <c r="H555" s="5">
        <v>18</v>
      </c>
      <c r="I555">
        <v>18</v>
      </c>
      <c r="J555">
        <v>0</v>
      </c>
      <c r="K555">
        <v>0</v>
      </c>
      <c r="L555" s="3">
        <v>349912</v>
      </c>
      <c r="M555" s="6">
        <f t="shared" si="16"/>
        <v>7775</v>
      </c>
      <c r="N555" s="1">
        <v>7775</v>
      </c>
      <c r="O555" s="1" t="str">
        <f t="shared" si="17"/>
        <v>Desconocido</v>
      </c>
      <c r="Q555" t="s">
        <v>905</v>
      </c>
    </row>
    <row r="556" spans="1:17" x14ac:dyDescent="0.25">
      <c r="A556">
        <v>705</v>
      </c>
      <c r="B556">
        <v>0</v>
      </c>
      <c r="C556">
        <v>3</v>
      </c>
      <c r="D556" t="s">
        <v>1958</v>
      </c>
      <c r="E556" t="s">
        <v>902</v>
      </c>
      <c r="F556">
        <f>ROUNDUP(Titanic_DATASET[[#This Row],[Age Correción 2]],0)</f>
        <v>26</v>
      </c>
      <c r="G556" s="4">
        <f>VALUE(SUBSTITUTE(Titanic_DATASET[[#This Row],[Age Correción.]],".",","))</f>
        <v>26</v>
      </c>
      <c r="H556" s="5">
        <v>26</v>
      </c>
      <c r="I556">
        <v>26</v>
      </c>
      <c r="J556">
        <v>1</v>
      </c>
      <c r="K556">
        <v>0</v>
      </c>
      <c r="L556" s="3">
        <v>350025</v>
      </c>
      <c r="M556" s="6">
        <f t="shared" si="16"/>
        <v>78542</v>
      </c>
      <c r="N556" s="1">
        <v>78542</v>
      </c>
      <c r="O556" s="1" t="str">
        <f t="shared" si="17"/>
        <v>Desconocido</v>
      </c>
      <c r="Q556" t="s">
        <v>905</v>
      </c>
    </row>
    <row r="557" spans="1:17" x14ac:dyDescent="0.25">
      <c r="A557">
        <v>861</v>
      </c>
      <c r="B557">
        <v>0</v>
      </c>
      <c r="C557">
        <v>3</v>
      </c>
      <c r="D557" t="s">
        <v>2160</v>
      </c>
      <c r="E557" t="s">
        <v>902</v>
      </c>
      <c r="F557">
        <f>ROUNDUP(Titanic_DATASET[[#This Row],[Age Correción 2]],0)</f>
        <v>41</v>
      </c>
      <c r="G557" s="4">
        <f>VALUE(SUBSTITUTE(Titanic_DATASET[[#This Row],[Age Correción.]],".",","))</f>
        <v>41</v>
      </c>
      <c r="H557" s="5">
        <v>41</v>
      </c>
      <c r="I557">
        <v>41</v>
      </c>
      <c r="J557">
        <v>2</v>
      </c>
      <c r="K557">
        <v>0</v>
      </c>
      <c r="L557" s="3">
        <v>350026</v>
      </c>
      <c r="M557" s="6">
        <f t="shared" si="16"/>
        <v>141083</v>
      </c>
      <c r="N557" s="1">
        <v>141083</v>
      </c>
      <c r="O557" s="1" t="str">
        <f t="shared" si="17"/>
        <v>Desconocido</v>
      </c>
      <c r="Q557" t="s">
        <v>905</v>
      </c>
    </row>
    <row r="558" spans="1:17" x14ac:dyDescent="0.25">
      <c r="A558">
        <v>624</v>
      </c>
      <c r="B558">
        <v>0</v>
      </c>
      <c r="C558">
        <v>3</v>
      </c>
      <c r="D558" t="s">
        <v>1852</v>
      </c>
      <c r="E558" t="s">
        <v>902</v>
      </c>
      <c r="F558">
        <f>ROUNDUP(Titanic_DATASET[[#This Row],[Age Correción 2]],0)</f>
        <v>21</v>
      </c>
      <c r="G558" s="4">
        <f>VALUE(SUBSTITUTE(Titanic_DATASET[[#This Row],[Age Correción.]],".",","))</f>
        <v>21</v>
      </c>
      <c r="H558" s="5">
        <v>21</v>
      </c>
      <c r="I558">
        <v>21</v>
      </c>
      <c r="J558">
        <v>0</v>
      </c>
      <c r="K558">
        <v>0</v>
      </c>
      <c r="L558" s="3">
        <v>350029</v>
      </c>
      <c r="M558" s="6">
        <f t="shared" si="16"/>
        <v>78542</v>
      </c>
      <c r="N558" s="1">
        <v>78542</v>
      </c>
      <c r="O558" s="1" t="str">
        <f t="shared" si="17"/>
        <v>Desconocido</v>
      </c>
      <c r="Q558" t="s">
        <v>905</v>
      </c>
    </row>
    <row r="559" spans="1:17" x14ac:dyDescent="0.25">
      <c r="A559">
        <v>392</v>
      </c>
      <c r="B559">
        <v>1</v>
      </c>
      <c r="C559">
        <v>3</v>
      </c>
      <c r="D559" t="s">
        <v>1533</v>
      </c>
      <c r="E559" t="s">
        <v>902</v>
      </c>
      <c r="F559">
        <f>ROUNDUP(Titanic_DATASET[[#This Row],[Age Correción 2]],0)</f>
        <v>21</v>
      </c>
      <c r="G559" s="4">
        <f>VALUE(SUBSTITUTE(Titanic_DATASET[[#This Row],[Age Correción.]],".",","))</f>
        <v>21</v>
      </c>
      <c r="H559" s="5">
        <v>21</v>
      </c>
      <c r="I559">
        <v>21</v>
      </c>
      <c r="J559">
        <v>0</v>
      </c>
      <c r="K559">
        <v>0</v>
      </c>
      <c r="L559" s="3">
        <v>350034</v>
      </c>
      <c r="M559" s="6">
        <f t="shared" si="16"/>
        <v>77958</v>
      </c>
      <c r="N559" s="1">
        <v>77958</v>
      </c>
      <c r="O559" s="1" t="str">
        <f t="shared" si="17"/>
        <v>Desconocido</v>
      </c>
      <c r="Q559" t="s">
        <v>905</v>
      </c>
    </row>
    <row r="560" spans="1:17" x14ac:dyDescent="0.25">
      <c r="A560">
        <v>500</v>
      </c>
      <c r="B560">
        <v>0</v>
      </c>
      <c r="C560">
        <v>3</v>
      </c>
      <c r="D560" t="s">
        <v>1681</v>
      </c>
      <c r="E560" t="s">
        <v>902</v>
      </c>
      <c r="F560">
        <f>ROUNDUP(Titanic_DATASET[[#This Row],[Age Correción 2]],0)</f>
        <v>24</v>
      </c>
      <c r="G560" s="4">
        <f>VALUE(SUBSTITUTE(Titanic_DATASET[[#This Row],[Age Correción.]],".",","))</f>
        <v>24</v>
      </c>
      <c r="H560" s="5">
        <v>24</v>
      </c>
      <c r="I560">
        <v>24</v>
      </c>
      <c r="J560">
        <v>0</v>
      </c>
      <c r="K560">
        <v>0</v>
      </c>
      <c r="L560" s="3">
        <v>350035</v>
      </c>
      <c r="M560" s="6">
        <f t="shared" si="16"/>
        <v>77958</v>
      </c>
      <c r="N560" s="1">
        <v>77958</v>
      </c>
      <c r="O560" s="1" t="str">
        <f t="shared" si="17"/>
        <v>Desconocido</v>
      </c>
      <c r="Q560" t="s">
        <v>905</v>
      </c>
    </row>
    <row r="561" spans="1:17" x14ac:dyDescent="0.25">
      <c r="A561">
        <v>689</v>
      </c>
      <c r="B561">
        <v>0</v>
      </c>
      <c r="C561">
        <v>3</v>
      </c>
      <c r="D561" t="s">
        <v>1936</v>
      </c>
      <c r="E561" t="s">
        <v>902</v>
      </c>
      <c r="F561">
        <f>ROUNDUP(Titanic_DATASET[[#This Row],[Age Correción 2]],0)</f>
        <v>18</v>
      </c>
      <c r="G561" s="4">
        <f>VALUE(SUBSTITUTE(Titanic_DATASET[[#This Row],[Age Correción.]],".",","))</f>
        <v>18</v>
      </c>
      <c r="H561" s="5">
        <v>18</v>
      </c>
      <c r="I561">
        <v>18</v>
      </c>
      <c r="J561">
        <v>0</v>
      </c>
      <c r="K561">
        <v>0</v>
      </c>
      <c r="L561" s="3">
        <v>350036</v>
      </c>
      <c r="M561" s="6">
        <f t="shared" si="16"/>
        <v>77958</v>
      </c>
      <c r="N561" s="1">
        <v>77958</v>
      </c>
      <c r="O561" s="1" t="str">
        <f t="shared" si="17"/>
        <v>Desconocido</v>
      </c>
      <c r="Q561" t="s">
        <v>905</v>
      </c>
    </row>
    <row r="562" spans="1:17" x14ac:dyDescent="0.25">
      <c r="A562">
        <v>757</v>
      </c>
      <c r="B562">
        <v>0</v>
      </c>
      <c r="C562">
        <v>3</v>
      </c>
      <c r="D562" t="s">
        <v>2023</v>
      </c>
      <c r="E562" t="s">
        <v>902</v>
      </c>
      <c r="F562">
        <f>ROUNDUP(Titanic_DATASET[[#This Row],[Age Correción 2]],0)</f>
        <v>28</v>
      </c>
      <c r="G562" s="4">
        <f>VALUE(SUBSTITUTE(Titanic_DATASET[[#This Row],[Age Correción.]],".",","))</f>
        <v>28</v>
      </c>
      <c r="H562" s="5">
        <v>28</v>
      </c>
      <c r="I562">
        <v>28</v>
      </c>
      <c r="J562">
        <v>0</v>
      </c>
      <c r="K562">
        <v>0</v>
      </c>
      <c r="L562" s="3">
        <v>350042</v>
      </c>
      <c r="M562" s="6">
        <f t="shared" si="16"/>
        <v>77958</v>
      </c>
      <c r="N562" s="1">
        <v>77958</v>
      </c>
      <c r="O562" s="1" t="str">
        <f t="shared" si="17"/>
        <v>Desconocido</v>
      </c>
      <c r="Q562" t="s">
        <v>905</v>
      </c>
    </row>
    <row r="563" spans="1:17" x14ac:dyDescent="0.25">
      <c r="A563">
        <v>147</v>
      </c>
      <c r="B563">
        <v>1</v>
      </c>
      <c r="C563">
        <v>3</v>
      </c>
      <c r="D563" t="s">
        <v>1148</v>
      </c>
      <c r="E563" t="s">
        <v>902</v>
      </c>
      <c r="F563">
        <f>ROUNDUP(Titanic_DATASET[[#This Row],[Age Correción 2]],0)</f>
        <v>27</v>
      </c>
      <c r="G563" s="4">
        <f>VALUE(SUBSTITUTE(Titanic_DATASET[[#This Row],[Age Correción.]],".",","))</f>
        <v>27</v>
      </c>
      <c r="H563" s="5">
        <v>27</v>
      </c>
      <c r="I563">
        <v>27</v>
      </c>
      <c r="J563">
        <v>0</v>
      </c>
      <c r="K563">
        <v>0</v>
      </c>
      <c r="L563" s="3">
        <v>350043</v>
      </c>
      <c r="M563" s="6">
        <f t="shared" si="16"/>
        <v>77958</v>
      </c>
      <c r="N563" s="1">
        <v>77958</v>
      </c>
      <c r="O563" s="1" t="str">
        <f t="shared" si="17"/>
        <v>Desconocido</v>
      </c>
      <c r="Q563" t="s">
        <v>905</v>
      </c>
    </row>
    <row r="564" spans="1:17" x14ac:dyDescent="0.25">
      <c r="A564">
        <v>193</v>
      </c>
      <c r="B564">
        <v>1</v>
      </c>
      <c r="C564">
        <v>3</v>
      </c>
      <c r="D564" t="s">
        <v>1224</v>
      </c>
      <c r="E564" t="s">
        <v>907</v>
      </c>
      <c r="F564">
        <f>ROUNDUP(Titanic_DATASET[[#This Row],[Age Correción 2]],0)</f>
        <v>19</v>
      </c>
      <c r="G564" s="4">
        <f>VALUE(SUBSTITUTE(Titanic_DATASET[[#This Row],[Age Correción.]],".",","))</f>
        <v>19</v>
      </c>
      <c r="H564" s="5">
        <v>19</v>
      </c>
      <c r="I564">
        <v>19</v>
      </c>
      <c r="J564">
        <v>1</v>
      </c>
      <c r="K564">
        <v>0</v>
      </c>
      <c r="L564" s="3">
        <v>350046</v>
      </c>
      <c r="M564" s="6">
        <f t="shared" si="16"/>
        <v>78542</v>
      </c>
      <c r="N564" s="1">
        <v>78542</v>
      </c>
      <c r="O564" s="1" t="str">
        <f t="shared" si="17"/>
        <v>Desconocido</v>
      </c>
      <c r="Q564" t="s">
        <v>905</v>
      </c>
    </row>
    <row r="565" spans="1:17" x14ac:dyDescent="0.25">
      <c r="A565">
        <v>772</v>
      </c>
      <c r="B565">
        <v>0</v>
      </c>
      <c r="C565">
        <v>3</v>
      </c>
      <c r="D565" t="s">
        <v>2040</v>
      </c>
      <c r="E565" t="s">
        <v>902</v>
      </c>
      <c r="F565">
        <f>ROUNDUP(Titanic_DATASET[[#This Row],[Age Correción 2]],0)</f>
        <v>48</v>
      </c>
      <c r="G565" s="4">
        <f>VALUE(SUBSTITUTE(Titanic_DATASET[[#This Row],[Age Correción.]],".",","))</f>
        <v>48</v>
      </c>
      <c r="H565" s="5">
        <v>48</v>
      </c>
      <c r="I565">
        <v>48</v>
      </c>
      <c r="J565">
        <v>0</v>
      </c>
      <c r="K565">
        <v>0</v>
      </c>
      <c r="L565" s="3">
        <v>350047</v>
      </c>
      <c r="M565" s="6">
        <f t="shared" si="16"/>
        <v>78542</v>
      </c>
      <c r="N565" s="1">
        <v>78542</v>
      </c>
      <c r="O565" s="1" t="str">
        <f t="shared" si="17"/>
        <v>Desconocido</v>
      </c>
      <c r="Q565" t="s">
        <v>905</v>
      </c>
    </row>
    <row r="566" spans="1:17" x14ac:dyDescent="0.25">
      <c r="A566">
        <v>722</v>
      </c>
      <c r="B566">
        <v>0</v>
      </c>
      <c r="C566">
        <v>3</v>
      </c>
      <c r="D566" t="s">
        <v>1979</v>
      </c>
      <c r="E566" t="s">
        <v>902</v>
      </c>
      <c r="F566">
        <f>ROUNDUP(Titanic_DATASET[[#This Row],[Age Correción 2]],0)</f>
        <v>17</v>
      </c>
      <c r="G566" s="4">
        <f>VALUE(SUBSTITUTE(Titanic_DATASET[[#This Row],[Age Correción.]],".",","))</f>
        <v>17</v>
      </c>
      <c r="H566" s="5">
        <v>17</v>
      </c>
      <c r="I566">
        <v>17</v>
      </c>
      <c r="J566">
        <v>1</v>
      </c>
      <c r="K566">
        <v>0</v>
      </c>
      <c r="L566" s="3">
        <v>350048</v>
      </c>
      <c r="M566" s="6">
        <f t="shared" si="16"/>
        <v>70542</v>
      </c>
      <c r="N566" s="1">
        <v>70542</v>
      </c>
      <c r="O566" s="1" t="str">
        <f t="shared" si="17"/>
        <v>Desconocido</v>
      </c>
      <c r="Q566" t="s">
        <v>905</v>
      </c>
    </row>
    <row r="567" spans="1:17" x14ac:dyDescent="0.25">
      <c r="A567">
        <v>641</v>
      </c>
      <c r="B567">
        <v>0</v>
      </c>
      <c r="C567">
        <v>3</v>
      </c>
      <c r="D567" t="s">
        <v>1874</v>
      </c>
      <c r="E567" t="s">
        <v>902</v>
      </c>
      <c r="F567">
        <f>ROUNDUP(Titanic_DATASET[[#This Row],[Age Correción 2]],0)</f>
        <v>20</v>
      </c>
      <c r="G567" s="4">
        <f>VALUE(SUBSTITUTE(Titanic_DATASET[[#This Row],[Age Correción.]],".",","))</f>
        <v>20</v>
      </c>
      <c r="H567" s="5">
        <v>20</v>
      </c>
      <c r="I567">
        <v>20</v>
      </c>
      <c r="J567">
        <v>0</v>
      </c>
      <c r="K567">
        <v>0</v>
      </c>
      <c r="L567" s="3">
        <v>350050</v>
      </c>
      <c r="M567" s="6">
        <f t="shared" si="16"/>
        <v>78542</v>
      </c>
      <c r="N567" s="1">
        <v>78542</v>
      </c>
      <c r="O567" s="1" t="str">
        <f t="shared" si="17"/>
        <v>Desconocido</v>
      </c>
      <c r="Q567" t="s">
        <v>905</v>
      </c>
    </row>
    <row r="568" spans="1:17" x14ac:dyDescent="0.25">
      <c r="A568">
        <v>396</v>
      </c>
      <c r="B568">
        <v>0</v>
      </c>
      <c r="C568">
        <v>3</v>
      </c>
      <c r="D568" t="s">
        <v>1537</v>
      </c>
      <c r="E568" t="s">
        <v>902</v>
      </c>
      <c r="F568">
        <f>ROUNDUP(Titanic_DATASET[[#This Row],[Age Correción 2]],0)</f>
        <v>22</v>
      </c>
      <c r="G568" s="4">
        <f>VALUE(SUBSTITUTE(Titanic_DATASET[[#This Row],[Age Correción.]],".",","))</f>
        <v>22</v>
      </c>
      <c r="H568" s="5">
        <v>22</v>
      </c>
      <c r="I568">
        <v>22</v>
      </c>
      <c r="J568">
        <v>0</v>
      </c>
      <c r="K568">
        <v>0</v>
      </c>
      <c r="L568" s="3">
        <v>350052</v>
      </c>
      <c r="M568" s="6">
        <f t="shared" si="16"/>
        <v>77958</v>
      </c>
      <c r="N568" s="1">
        <v>77958</v>
      </c>
      <c r="O568" s="1" t="str">
        <f t="shared" si="17"/>
        <v>Desconocido</v>
      </c>
      <c r="Q568" t="s">
        <v>905</v>
      </c>
    </row>
    <row r="569" spans="1:17" x14ac:dyDescent="0.25">
      <c r="A569">
        <v>479</v>
      </c>
      <c r="B569">
        <v>0</v>
      </c>
      <c r="C569">
        <v>3</v>
      </c>
      <c r="D569" t="s">
        <v>1650</v>
      </c>
      <c r="E569" t="s">
        <v>902</v>
      </c>
      <c r="F569">
        <f>ROUNDUP(Titanic_DATASET[[#This Row],[Age Correción 2]],0)</f>
        <v>22</v>
      </c>
      <c r="G569" s="4">
        <f>VALUE(SUBSTITUTE(Titanic_DATASET[[#This Row],[Age Correción.]],".",","))</f>
        <v>22</v>
      </c>
      <c r="H569" s="5">
        <v>22</v>
      </c>
      <c r="I569">
        <v>22</v>
      </c>
      <c r="J569">
        <v>0</v>
      </c>
      <c r="K569">
        <v>0</v>
      </c>
      <c r="L569" s="3">
        <v>350060</v>
      </c>
      <c r="M569" s="6">
        <f t="shared" si="16"/>
        <v>75208</v>
      </c>
      <c r="N569" s="1">
        <v>75208</v>
      </c>
      <c r="O569" s="1" t="str">
        <f t="shared" si="17"/>
        <v>Desconocido</v>
      </c>
      <c r="Q569" t="s">
        <v>905</v>
      </c>
    </row>
    <row r="570" spans="1:17" x14ac:dyDescent="0.25">
      <c r="A570">
        <v>176</v>
      </c>
      <c r="B570">
        <v>0</v>
      </c>
      <c r="C570">
        <v>3</v>
      </c>
      <c r="D570" t="s">
        <v>1200</v>
      </c>
      <c r="E570" t="s">
        <v>902</v>
      </c>
      <c r="F570">
        <f>ROUNDUP(Titanic_DATASET[[#This Row],[Age Correción 2]],0)</f>
        <v>18</v>
      </c>
      <c r="G570" s="4">
        <f>VALUE(SUBSTITUTE(Titanic_DATASET[[#This Row],[Age Correción.]],".",","))</f>
        <v>18</v>
      </c>
      <c r="H570" s="5">
        <v>18</v>
      </c>
      <c r="I570">
        <v>18</v>
      </c>
      <c r="J570">
        <v>1</v>
      </c>
      <c r="K570">
        <v>1</v>
      </c>
      <c r="L570" s="3">
        <v>350404</v>
      </c>
      <c r="M570" s="6">
        <f t="shared" si="16"/>
        <v>78542</v>
      </c>
      <c r="N570" s="1">
        <v>78542</v>
      </c>
      <c r="O570" s="1" t="str">
        <f t="shared" si="17"/>
        <v>Desconocido</v>
      </c>
      <c r="Q570" t="s">
        <v>905</v>
      </c>
    </row>
    <row r="571" spans="1:17" x14ac:dyDescent="0.25">
      <c r="A571">
        <v>15</v>
      </c>
      <c r="B571">
        <v>0</v>
      </c>
      <c r="C571">
        <v>3</v>
      </c>
      <c r="D571" t="s">
        <v>935</v>
      </c>
      <c r="E571" t="s">
        <v>907</v>
      </c>
      <c r="F571">
        <f>ROUNDUP(Titanic_DATASET[[#This Row],[Age Correción 2]],0)</f>
        <v>14</v>
      </c>
      <c r="G571" s="4">
        <f>VALUE(SUBSTITUTE(Titanic_DATASET[[#This Row],[Age Correción.]],".",","))</f>
        <v>14</v>
      </c>
      <c r="H571" s="5">
        <v>14</v>
      </c>
      <c r="I571">
        <v>14</v>
      </c>
      <c r="J571">
        <v>0</v>
      </c>
      <c r="K571">
        <v>0</v>
      </c>
      <c r="L571" s="3">
        <v>350406</v>
      </c>
      <c r="M571" s="6">
        <f t="shared" si="16"/>
        <v>78542</v>
      </c>
      <c r="N571" s="1">
        <v>78542</v>
      </c>
      <c r="O571" s="1" t="str">
        <f t="shared" si="17"/>
        <v>Desconocido</v>
      </c>
      <c r="Q571" t="s">
        <v>905</v>
      </c>
    </row>
    <row r="572" spans="1:17" x14ac:dyDescent="0.25">
      <c r="A572">
        <v>397</v>
      </c>
      <c r="B572">
        <v>0</v>
      </c>
      <c r="C572">
        <v>3</v>
      </c>
      <c r="D572" t="s">
        <v>1538</v>
      </c>
      <c r="E572" t="s">
        <v>907</v>
      </c>
      <c r="F572">
        <f>ROUNDUP(Titanic_DATASET[[#This Row],[Age Correción 2]],0)</f>
        <v>31</v>
      </c>
      <c r="G572" s="4">
        <f>VALUE(SUBSTITUTE(Titanic_DATASET[[#This Row],[Age Correción.]],".",","))</f>
        <v>31</v>
      </c>
      <c r="H572" s="5">
        <v>31</v>
      </c>
      <c r="I572">
        <v>31</v>
      </c>
      <c r="J572">
        <v>0</v>
      </c>
      <c r="K572">
        <v>0</v>
      </c>
      <c r="L572" s="3">
        <v>350407</v>
      </c>
      <c r="M572" s="6">
        <f t="shared" si="16"/>
        <v>78542</v>
      </c>
      <c r="N572" s="1">
        <v>78542</v>
      </c>
      <c r="O572" s="1" t="str">
        <f t="shared" si="17"/>
        <v>Desconocido</v>
      </c>
      <c r="Q572" t="s">
        <v>905</v>
      </c>
    </row>
    <row r="573" spans="1:17" x14ac:dyDescent="0.25">
      <c r="A573">
        <v>570</v>
      </c>
      <c r="B573">
        <v>1</v>
      </c>
      <c r="C573">
        <v>3</v>
      </c>
      <c r="D573" t="s">
        <v>1780</v>
      </c>
      <c r="E573" t="s">
        <v>902</v>
      </c>
      <c r="F573">
        <f>ROUNDUP(Titanic_DATASET[[#This Row],[Age Correción 2]],0)</f>
        <v>32</v>
      </c>
      <c r="G573" s="4">
        <f>VALUE(SUBSTITUTE(Titanic_DATASET[[#This Row],[Age Correción.]],".",","))</f>
        <v>32</v>
      </c>
      <c r="H573" s="5">
        <v>32</v>
      </c>
      <c r="I573">
        <v>32</v>
      </c>
      <c r="J573">
        <v>0</v>
      </c>
      <c r="K573">
        <v>0</v>
      </c>
      <c r="L573" s="3">
        <v>350417</v>
      </c>
      <c r="M573" s="6">
        <f t="shared" si="16"/>
        <v>78542</v>
      </c>
      <c r="N573" s="1">
        <v>78542</v>
      </c>
      <c r="O573" s="1" t="str">
        <f t="shared" si="17"/>
        <v>Desconocido</v>
      </c>
      <c r="Q573" t="s">
        <v>905</v>
      </c>
    </row>
    <row r="574" spans="1:17" x14ac:dyDescent="0.25">
      <c r="A574">
        <v>576</v>
      </c>
      <c r="B574">
        <v>0</v>
      </c>
      <c r="C574">
        <v>3</v>
      </c>
      <c r="D574" t="s">
        <v>1790</v>
      </c>
      <c r="E574" t="s">
        <v>902</v>
      </c>
      <c r="F574">
        <f>ROUNDUP(Titanic_DATASET[[#This Row],[Age Correción 2]],0)</f>
        <v>19</v>
      </c>
      <c r="G574" s="4">
        <f>VALUE(SUBSTITUTE(Titanic_DATASET[[#This Row],[Age Correción.]],".",","))</f>
        <v>19</v>
      </c>
      <c r="H574" s="5">
        <v>19</v>
      </c>
      <c r="I574">
        <v>19</v>
      </c>
      <c r="J574">
        <v>0</v>
      </c>
      <c r="K574">
        <v>0</v>
      </c>
      <c r="L574" s="3">
        <v>358585</v>
      </c>
      <c r="M574" s="6">
        <f t="shared" si="16"/>
        <v>14.5</v>
      </c>
      <c r="N574" t="s">
        <v>1090</v>
      </c>
      <c r="O574" t="str">
        <f t="shared" si="17"/>
        <v>Desconocido</v>
      </c>
      <c r="Q574" t="s">
        <v>905</v>
      </c>
    </row>
    <row r="575" spans="1:17" x14ac:dyDescent="0.25">
      <c r="A575">
        <v>761</v>
      </c>
      <c r="B575">
        <v>0</v>
      </c>
      <c r="C575">
        <v>3</v>
      </c>
      <c r="D575" t="s">
        <v>2027</v>
      </c>
      <c r="E575" t="s">
        <v>902</v>
      </c>
      <c r="F575">
        <f>ROUNDUP(Titanic_DATASET[[#This Row],[Age Correción 2]],0)</f>
        <v>57</v>
      </c>
      <c r="G575" s="4">
        <f>VALUE(SUBSTITUTE(Titanic_DATASET[[#This Row],[Age Correción.]],".",","))</f>
        <v>57</v>
      </c>
      <c r="H575" s="5">
        <v>57</v>
      </c>
      <c r="J575">
        <v>0</v>
      </c>
      <c r="K575">
        <v>0</v>
      </c>
      <c r="L575" s="3">
        <v>358585</v>
      </c>
      <c r="M575" s="6">
        <f t="shared" si="16"/>
        <v>14.5</v>
      </c>
      <c r="N575" t="s">
        <v>1090</v>
      </c>
      <c r="O575" t="str">
        <f t="shared" si="17"/>
        <v>Desconocido</v>
      </c>
      <c r="Q575" t="s">
        <v>905</v>
      </c>
    </row>
    <row r="576" spans="1:17" x14ac:dyDescent="0.25">
      <c r="A576">
        <v>251</v>
      </c>
      <c r="B576">
        <v>0</v>
      </c>
      <c r="C576">
        <v>3</v>
      </c>
      <c r="D576" t="s">
        <v>1313</v>
      </c>
      <c r="E576" t="s">
        <v>902</v>
      </c>
      <c r="F576">
        <f>ROUNDUP(Titanic_DATASET[[#This Row],[Age Correción 2]],0)</f>
        <v>7</v>
      </c>
      <c r="G576" s="4">
        <f>VALUE(SUBSTITUTE(Titanic_DATASET[[#This Row],[Age Correción.]],".",","))</f>
        <v>7</v>
      </c>
      <c r="H576" s="5">
        <v>7</v>
      </c>
      <c r="J576">
        <v>0</v>
      </c>
      <c r="K576">
        <v>0</v>
      </c>
      <c r="L576" s="3">
        <v>362316</v>
      </c>
      <c r="M576" s="6">
        <f t="shared" si="16"/>
        <v>7.25</v>
      </c>
      <c r="N576" t="s">
        <v>904</v>
      </c>
      <c r="O576" t="str">
        <f t="shared" si="17"/>
        <v>Desconocido</v>
      </c>
      <c r="Q576" t="s">
        <v>905</v>
      </c>
    </row>
    <row r="577" spans="1:17" x14ac:dyDescent="0.25">
      <c r="A577">
        <v>166</v>
      </c>
      <c r="B577">
        <v>1</v>
      </c>
      <c r="C577">
        <v>3</v>
      </c>
      <c r="D577" t="s">
        <v>1184</v>
      </c>
      <c r="E577" t="s">
        <v>902</v>
      </c>
      <c r="F577">
        <f>ROUNDUP(Titanic_DATASET[[#This Row],[Age Correción 2]],0)</f>
        <v>9</v>
      </c>
      <c r="G577" s="4">
        <f>VALUE(SUBSTITUTE(Titanic_DATASET[[#This Row],[Age Correción.]],".",","))</f>
        <v>9</v>
      </c>
      <c r="H577" s="5">
        <v>9</v>
      </c>
      <c r="I577">
        <v>9</v>
      </c>
      <c r="J577">
        <v>0</v>
      </c>
      <c r="K577">
        <v>2</v>
      </c>
      <c r="L577" s="3">
        <v>363291</v>
      </c>
      <c r="M577" s="6">
        <f t="shared" si="16"/>
        <v>20525</v>
      </c>
      <c r="N577" s="1">
        <v>20525</v>
      </c>
      <c r="O577" s="1" t="str">
        <f t="shared" si="17"/>
        <v>Desconocido</v>
      </c>
      <c r="Q577" t="s">
        <v>905</v>
      </c>
    </row>
    <row r="578" spans="1:17" x14ac:dyDescent="0.25">
      <c r="A578">
        <v>329</v>
      </c>
      <c r="B578">
        <v>1</v>
      </c>
      <c r="C578">
        <v>3</v>
      </c>
      <c r="D578" t="s">
        <v>1444</v>
      </c>
      <c r="E578" t="s">
        <v>907</v>
      </c>
      <c r="F578">
        <f>ROUNDUP(Titanic_DATASET[[#This Row],[Age Correción 2]],0)</f>
        <v>31</v>
      </c>
      <c r="G578" s="4">
        <f>VALUE(SUBSTITUTE(Titanic_DATASET[[#This Row],[Age Correción.]],".",","))</f>
        <v>31</v>
      </c>
      <c r="H578" s="5">
        <v>31</v>
      </c>
      <c r="I578">
        <v>31</v>
      </c>
      <c r="J578">
        <v>1</v>
      </c>
      <c r="K578">
        <v>1</v>
      </c>
      <c r="L578" s="3">
        <v>363291</v>
      </c>
      <c r="M578" s="6">
        <f t="shared" si="16"/>
        <v>20525</v>
      </c>
      <c r="N578" s="1">
        <v>20525</v>
      </c>
      <c r="O578" s="1" t="str">
        <f t="shared" si="17"/>
        <v>Desconocido</v>
      </c>
      <c r="Q578" t="s">
        <v>905</v>
      </c>
    </row>
    <row r="579" spans="1:17" x14ac:dyDescent="0.25">
      <c r="A579">
        <v>549</v>
      </c>
      <c r="B579">
        <v>0</v>
      </c>
      <c r="C579">
        <v>3</v>
      </c>
      <c r="D579" t="s">
        <v>1752</v>
      </c>
      <c r="E579" t="s">
        <v>902</v>
      </c>
      <c r="F579">
        <f>ROUNDUP(Titanic_DATASET[[#This Row],[Age Correción 2]],0)</f>
        <v>33</v>
      </c>
      <c r="G579" s="4">
        <f>VALUE(SUBSTITUTE(Titanic_DATASET[[#This Row],[Age Correción.]],".",","))</f>
        <v>33</v>
      </c>
      <c r="H579" s="5">
        <v>33</v>
      </c>
      <c r="I579">
        <v>33</v>
      </c>
      <c r="J579">
        <v>1</v>
      </c>
      <c r="K579">
        <v>1</v>
      </c>
      <c r="L579" s="3">
        <v>363291</v>
      </c>
      <c r="M579" s="6">
        <f t="shared" si="16"/>
        <v>20525</v>
      </c>
      <c r="N579" s="1">
        <v>20525</v>
      </c>
      <c r="O579" s="1" t="str">
        <f t="shared" si="17"/>
        <v>Desconocido</v>
      </c>
      <c r="Q579" t="s">
        <v>905</v>
      </c>
    </row>
    <row r="580" spans="1:17" x14ac:dyDescent="0.25">
      <c r="A580">
        <v>759</v>
      </c>
      <c r="B580">
        <v>0</v>
      </c>
      <c r="C580">
        <v>3</v>
      </c>
      <c r="D580" t="s">
        <v>2025</v>
      </c>
      <c r="E580" t="s">
        <v>902</v>
      </c>
      <c r="F580">
        <f>ROUNDUP(Titanic_DATASET[[#This Row],[Age Correción 2]],0)</f>
        <v>34</v>
      </c>
      <c r="G580" s="4">
        <f>VALUE(SUBSTITUTE(Titanic_DATASET[[#This Row],[Age Correción.]],".",","))</f>
        <v>34</v>
      </c>
      <c r="H580" s="5">
        <v>34</v>
      </c>
      <c r="I580">
        <v>34</v>
      </c>
      <c r="J580">
        <v>0</v>
      </c>
      <c r="K580">
        <v>0</v>
      </c>
      <c r="L580" s="3">
        <v>363294</v>
      </c>
      <c r="M580" s="6">
        <f t="shared" ref="M580:M643" si="18">VALUE(SUBSTITUTE(N580,".",","))</f>
        <v>8.0500000000000007</v>
      </c>
      <c r="N580" t="s">
        <v>917</v>
      </c>
      <c r="O580" t="str">
        <f t="shared" ref="O580:O643" si="19">IF(ISBLANK(P580),"Desconocido",P580)</f>
        <v>Desconocido</v>
      </c>
      <c r="Q580" t="s">
        <v>905</v>
      </c>
    </row>
    <row r="581" spans="1:17" x14ac:dyDescent="0.25">
      <c r="A581">
        <v>697</v>
      </c>
      <c r="B581">
        <v>0</v>
      </c>
      <c r="C581">
        <v>3</v>
      </c>
      <c r="D581" t="s">
        <v>1946</v>
      </c>
      <c r="E581" t="s">
        <v>902</v>
      </c>
      <c r="F581">
        <f>ROUNDUP(Titanic_DATASET[[#This Row],[Age Correción 2]],0)</f>
        <v>44</v>
      </c>
      <c r="G581" s="4">
        <f>VALUE(SUBSTITUTE(Titanic_DATASET[[#This Row],[Age Correción.]],".",","))</f>
        <v>44</v>
      </c>
      <c r="H581" s="5">
        <v>44</v>
      </c>
      <c r="I581">
        <v>44</v>
      </c>
      <c r="J581">
        <v>0</v>
      </c>
      <c r="K581">
        <v>0</v>
      </c>
      <c r="L581" s="3">
        <v>363592</v>
      </c>
      <c r="M581" s="6">
        <f t="shared" si="18"/>
        <v>8.0500000000000007</v>
      </c>
      <c r="N581" t="s">
        <v>917</v>
      </c>
      <c r="O581" t="str">
        <f t="shared" si="19"/>
        <v>Desconocido</v>
      </c>
      <c r="Q581" t="s">
        <v>905</v>
      </c>
    </row>
    <row r="582" spans="1:17" x14ac:dyDescent="0.25">
      <c r="A582">
        <v>539</v>
      </c>
      <c r="B582">
        <v>0</v>
      </c>
      <c r="C582">
        <v>3</v>
      </c>
      <c r="D582" t="s">
        <v>1736</v>
      </c>
      <c r="E582" t="s">
        <v>902</v>
      </c>
      <c r="F582">
        <f>ROUNDUP(Titanic_DATASET[[#This Row],[Age Correción 2]],0)</f>
        <v>35</v>
      </c>
      <c r="G582" s="4">
        <f>VALUE(SUBSTITUTE(Titanic_DATASET[[#This Row],[Age Correción.]],".",","))</f>
        <v>35</v>
      </c>
      <c r="H582" s="5">
        <v>35</v>
      </c>
      <c r="J582">
        <v>0</v>
      </c>
      <c r="K582">
        <v>0</v>
      </c>
      <c r="L582" s="3">
        <v>364498</v>
      </c>
      <c r="M582" s="6">
        <f t="shared" si="18"/>
        <v>14.5</v>
      </c>
      <c r="N582" t="s">
        <v>1090</v>
      </c>
      <c r="O582" t="str">
        <f t="shared" si="19"/>
        <v>Desconocido</v>
      </c>
      <c r="Q582" t="s">
        <v>905</v>
      </c>
    </row>
    <row r="583" spans="1:17" x14ac:dyDescent="0.25">
      <c r="A583">
        <v>815</v>
      </c>
      <c r="B583">
        <v>0</v>
      </c>
      <c r="C583">
        <v>3</v>
      </c>
      <c r="D583" t="s">
        <v>2096</v>
      </c>
      <c r="E583" t="s">
        <v>902</v>
      </c>
      <c r="F583">
        <f>ROUNDUP(Titanic_DATASET[[#This Row],[Age Correción 2]],0)</f>
        <v>31</v>
      </c>
      <c r="G583" s="4">
        <f>VALUE(SUBSTITUTE(Titanic_DATASET[[#This Row],[Age Correción.]],".",","))</f>
        <v>30.5</v>
      </c>
      <c r="H583" s="5" t="s">
        <v>1394</v>
      </c>
      <c r="I583" t="s">
        <v>1394</v>
      </c>
      <c r="J583">
        <v>0</v>
      </c>
      <c r="K583">
        <v>0</v>
      </c>
      <c r="L583" s="3">
        <v>364499</v>
      </c>
      <c r="M583" s="6">
        <f t="shared" si="18"/>
        <v>8.0500000000000007</v>
      </c>
      <c r="N583" t="s">
        <v>917</v>
      </c>
      <c r="O583" t="str">
        <f t="shared" si="19"/>
        <v>Desconocido</v>
      </c>
      <c r="Q583" t="s">
        <v>905</v>
      </c>
    </row>
    <row r="584" spans="1:17" x14ac:dyDescent="0.25">
      <c r="A584">
        <v>95</v>
      </c>
      <c r="B584">
        <v>0</v>
      </c>
      <c r="C584">
        <v>3</v>
      </c>
      <c r="D584" t="s">
        <v>1065</v>
      </c>
      <c r="E584" t="s">
        <v>902</v>
      </c>
      <c r="F584">
        <f>ROUNDUP(Titanic_DATASET[[#This Row],[Age Correción 2]],0)</f>
        <v>59</v>
      </c>
      <c r="G584" s="4">
        <f>VALUE(SUBSTITUTE(Titanic_DATASET[[#This Row],[Age Correción.]],".",","))</f>
        <v>59</v>
      </c>
      <c r="H584" s="5">
        <v>59</v>
      </c>
      <c r="I584">
        <v>59</v>
      </c>
      <c r="J584">
        <v>0</v>
      </c>
      <c r="K584">
        <v>0</v>
      </c>
      <c r="L584" s="3">
        <v>364500</v>
      </c>
      <c r="M584" s="6">
        <f t="shared" si="18"/>
        <v>7.25</v>
      </c>
      <c r="N584" t="s">
        <v>904</v>
      </c>
      <c r="O584" t="str">
        <f t="shared" si="19"/>
        <v>Desconocido</v>
      </c>
      <c r="Q584" t="s">
        <v>905</v>
      </c>
    </row>
    <row r="585" spans="1:17" x14ac:dyDescent="0.25">
      <c r="A585">
        <v>462</v>
      </c>
      <c r="B585">
        <v>0</v>
      </c>
      <c r="C585">
        <v>3</v>
      </c>
      <c r="D585" t="s">
        <v>1626</v>
      </c>
      <c r="E585" t="s">
        <v>902</v>
      </c>
      <c r="F585">
        <f>ROUNDUP(Titanic_DATASET[[#This Row],[Age Correción 2]],0)</f>
        <v>34</v>
      </c>
      <c r="G585" s="4">
        <f>VALUE(SUBSTITUTE(Titanic_DATASET[[#This Row],[Age Correción.]],".",","))</f>
        <v>34</v>
      </c>
      <c r="H585" s="5">
        <v>34</v>
      </c>
      <c r="I585">
        <v>34</v>
      </c>
      <c r="J585">
        <v>0</v>
      </c>
      <c r="K585">
        <v>0</v>
      </c>
      <c r="L585" s="3">
        <v>364506</v>
      </c>
      <c r="M585" s="6">
        <f t="shared" si="18"/>
        <v>8.0500000000000007</v>
      </c>
      <c r="N585" t="s">
        <v>917</v>
      </c>
      <c r="O585" t="str">
        <f t="shared" si="19"/>
        <v>Desconocido</v>
      </c>
      <c r="Q585" t="s">
        <v>905</v>
      </c>
    </row>
    <row r="586" spans="1:17" x14ac:dyDescent="0.25">
      <c r="A586">
        <v>604</v>
      </c>
      <c r="B586">
        <v>0</v>
      </c>
      <c r="C586">
        <v>3</v>
      </c>
      <c r="D586" t="s">
        <v>1829</v>
      </c>
      <c r="E586" t="s">
        <v>902</v>
      </c>
      <c r="F586">
        <f>ROUNDUP(Titanic_DATASET[[#This Row],[Age Correción 2]],0)</f>
        <v>44</v>
      </c>
      <c r="G586" s="4">
        <f>VALUE(SUBSTITUTE(Titanic_DATASET[[#This Row],[Age Correción.]],".",","))</f>
        <v>44</v>
      </c>
      <c r="H586" s="5">
        <v>44</v>
      </c>
      <c r="I586">
        <v>44</v>
      </c>
      <c r="J586">
        <v>0</v>
      </c>
      <c r="K586">
        <v>0</v>
      </c>
      <c r="L586" s="3">
        <v>364511</v>
      </c>
      <c r="M586" s="6">
        <f t="shared" si="18"/>
        <v>8.0500000000000007</v>
      </c>
      <c r="N586" t="s">
        <v>917</v>
      </c>
      <c r="O586" t="str">
        <f t="shared" si="19"/>
        <v>Desconocido</v>
      </c>
      <c r="Q586" t="s">
        <v>905</v>
      </c>
    </row>
    <row r="587" spans="1:17" x14ac:dyDescent="0.25">
      <c r="A587">
        <v>615</v>
      </c>
      <c r="B587">
        <v>0</v>
      </c>
      <c r="C587">
        <v>3</v>
      </c>
      <c r="D587" t="s">
        <v>1842</v>
      </c>
      <c r="E587" t="s">
        <v>902</v>
      </c>
      <c r="F587">
        <f>ROUNDUP(Titanic_DATASET[[#This Row],[Age Correción 2]],0)</f>
        <v>35</v>
      </c>
      <c r="G587" s="4">
        <f>VALUE(SUBSTITUTE(Titanic_DATASET[[#This Row],[Age Correción.]],".",","))</f>
        <v>35</v>
      </c>
      <c r="H587" s="5">
        <v>35</v>
      </c>
      <c r="I587">
        <v>35</v>
      </c>
      <c r="J587">
        <v>0</v>
      </c>
      <c r="K587">
        <v>0</v>
      </c>
      <c r="L587" s="3">
        <v>364512</v>
      </c>
      <c r="M587" s="6">
        <f t="shared" si="18"/>
        <v>8.0500000000000007</v>
      </c>
      <c r="N587" t="s">
        <v>917</v>
      </c>
      <c r="O587" t="str">
        <f t="shared" si="19"/>
        <v>Desconocido</v>
      </c>
      <c r="Q587" t="s">
        <v>905</v>
      </c>
    </row>
    <row r="588" spans="1:17" x14ac:dyDescent="0.25">
      <c r="A588">
        <v>80</v>
      </c>
      <c r="B588">
        <v>1</v>
      </c>
      <c r="C588">
        <v>3</v>
      </c>
      <c r="D588" t="s">
        <v>1041</v>
      </c>
      <c r="E588" t="s">
        <v>907</v>
      </c>
      <c r="F588">
        <f>ROUNDUP(Titanic_DATASET[[#This Row],[Age Correción 2]],0)</f>
        <v>30</v>
      </c>
      <c r="G588" s="4">
        <f>VALUE(SUBSTITUTE(Titanic_DATASET[[#This Row],[Age Correción.]],".",","))</f>
        <v>30</v>
      </c>
      <c r="H588" s="5">
        <v>30</v>
      </c>
      <c r="I588">
        <v>30</v>
      </c>
      <c r="J588">
        <v>0</v>
      </c>
      <c r="K588">
        <v>0</v>
      </c>
      <c r="L588" s="3">
        <v>364516</v>
      </c>
      <c r="M588" s="6">
        <f t="shared" si="18"/>
        <v>12475</v>
      </c>
      <c r="N588" s="1">
        <v>12475</v>
      </c>
      <c r="O588" s="1" t="str">
        <f t="shared" si="19"/>
        <v>Desconocido</v>
      </c>
      <c r="Q588" t="s">
        <v>905</v>
      </c>
    </row>
    <row r="589" spans="1:17" x14ac:dyDescent="0.25">
      <c r="A589">
        <v>778</v>
      </c>
      <c r="B589">
        <v>1</v>
      </c>
      <c r="C589">
        <v>3</v>
      </c>
      <c r="D589" t="s">
        <v>2049</v>
      </c>
      <c r="E589" t="s">
        <v>907</v>
      </c>
      <c r="F589">
        <f>ROUNDUP(Titanic_DATASET[[#This Row],[Age Correción 2]],0)</f>
        <v>5</v>
      </c>
      <c r="G589" s="4">
        <f>VALUE(SUBSTITUTE(Titanic_DATASET[[#This Row],[Age Correción.]],".",","))</f>
        <v>5</v>
      </c>
      <c r="H589" s="5">
        <v>5</v>
      </c>
      <c r="I589">
        <v>5</v>
      </c>
      <c r="J589">
        <v>0</v>
      </c>
      <c r="K589">
        <v>0</v>
      </c>
      <c r="L589" s="3">
        <v>364516</v>
      </c>
      <c r="M589" s="6">
        <f t="shared" si="18"/>
        <v>12475</v>
      </c>
      <c r="N589" s="1">
        <v>12475</v>
      </c>
      <c r="O589" s="1" t="str">
        <f t="shared" si="19"/>
        <v>Desconocido</v>
      </c>
      <c r="Q589" t="s">
        <v>905</v>
      </c>
    </row>
    <row r="590" spans="1:17" x14ac:dyDescent="0.25">
      <c r="A590">
        <v>502</v>
      </c>
      <c r="B590">
        <v>0</v>
      </c>
      <c r="C590">
        <v>3</v>
      </c>
      <c r="D590" t="s">
        <v>1683</v>
      </c>
      <c r="E590" t="s">
        <v>907</v>
      </c>
      <c r="F590">
        <f>ROUNDUP(Titanic_DATASET[[#This Row],[Age Correción 2]],0)</f>
        <v>21</v>
      </c>
      <c r="G590" s="4">
        <f>VALUE(SUBSTITUTE(Titanic_DATASET[[#This Row],[Age Correción.]],".",","))</f>
        <v>21</v>
      </c>
      <c r="H590" s="5">
        <v>21</v>
      </c>
      <c r="I590">
        <v>21</v>
      </c>
      <c r="J590">
        <v>0</v>
      </c>
      <c r="K590">
        <v>0</v>
      </c>
      <c r="L590" s="3">
        <v>364846</v>
      </c>
      <c r="M590" s="6">
        <f t="shared" si="18"/>
        <v>7.75</v>
      </c>
      <c r="N590" t="s">
        <v>961</v>
      </c>
      <c r="O590" t="str">
        <f t="shared" si="19"/>
        <v>Desconocido</v>
      </c>
      <c r="Q590" t="s">
        <v>919</v>
      </c>
    </row>
    <row r="591" spans="1:17" x14ac:dyDescent="0.25">
      <c r="A591">
        <v>594</v>
      </c>
      <c r="B591">
        <v>0</v>
      </c>
      <c r="C591">
        <v>3</v>
      </c>
      <c r="D591" t="s">
        <v>1816</v>
      </c>
      <c r="E591" t="s">
        <v>907</v>
      </c>
      <c r="F591">
        <f>ROUNDUP(Titanic_DATASET[[#This Row],[Age Correción 2]],0)</f>
        <v>41</v>
      </c>
      <c r="G591" s="4">
        <f>VALUE(SUBSTITUTE(Titanic_DATASET[[#This Row],[Age Correción.]],".",","))</f>
        <v>41</v>
      </c>
      <c r="H591" s="5">
        <v>41</v>
      </c>
      <c r="J591">
        <v>0</v>
      </c>
      <c r="K591">
        <v>2</v>
      </c>
      <c r="L591" s="3">
        <v>364848</v>
      </c>
      <c r="M591" s="6">
        <f t="shared" si="18"/>
        <v>7.75</v>
      </c>
      <c r="N591" t="s">
        <v>961</v>
      </c>
      <c r="O591" t="str">
        <f t="shared" si="19"/>
        <v>Desconocido</v>
      </c>
      <c r="Q591" t="s">
        <v>919</v>
      </c>
    </row>
    <row r="592" spans="1:17" x14ac:dyDescent="0.25">
      <c r="A592">
        <v>189</v>
      </c>
      <c r="B592">
        <v>0</v>
      </c>
      <c r="C592">
        <v>3</v>
      </c>
      <c r="D592" t="s">
        <v>1220</v>
      </c>
      <c r="E592" t="s">
        <v>902</v>
      </c>
      <c r="F592">
        <f>ROUNDUP(Titanic_DATASET[[#This Row],[Age Correción 2]],0)</f>
        <v>40</v>
      </c>
      <c r="G592" s="4">
        <f>VALUE(SUBSTITUTE(Titanic_DATASET[[#This Row],[Age Correción.]],".",","))</f>
        <v>40</v>
      </c>
      <c r="H592" s="5">
        <v>40</v>
      </c>
      <c r="I592">
        <v>40</v>
      </c>
      <c r="J592">
        <v>1</v>
      </c>
      <c r="K592">
        <v>1</v>
      </c>
      <c r="L592" s="3">
        <v>364849</v>
      </c>
      <c r="M592" s="6">
        <f t="shared" si="18"/>
        <v>15.5</v>
      </c>
      <c r="N592" t="s">
        <v>982</v>
      </c>
      <c r="O592" t="str">
        <f t="shared" si="19"/>
        <v>Desconocido</v>
      </c>
      <c r="Q592" t="s">
        <v>919</v>
      </c>
    </row>
    <row r="593" spans="1:17" x14ac:dyDescent="0.25">
      <c r="A593">
        <v>658</v>
      </c>
      <c r="B593">
        <v>0</v>
      </c>
      <c r="C593">
        <v>3</v>
      </c>
      <c r="D593" t="s">
        <v>1894</v>
      </c>
      <c r="E593" t="s">
        <v>907</v>
      </c>
      <c r="F593">
        <f>ROUNDUP(Titanic_DATASET[[#This Row],[Age Correción 2]],0)</f>
        <v>32</v>
      </c>
      <c r="G593" s="4">
        <f>VALUE(SUBSTITUTE(Titanic_DATASET[[#This Row],[Age Correción.]],".",","))</f>
        <v>32</v>
      </c>
      <c r="H593" s="5">
        <v>32</v>
      </c>
      <c r="I593">
        <v>32</v>
      </c>
      <c r="J593">
        <v>1</v>
      </c>
      <c r="K593">
        <v>1</v>
      </c>
      <c r="L593" s="3">
        <v>364849</v>
      </c>
      <c r="M593" s="6">
        <f t="shared" si="18"/>
        <v>15.5</v>
      </c>
      <c r="N593" t="s">
        <v>982</v>
      </c>
      <c r="O593" t="str">
        <f t="shared" si="19"/>
        <v>Desconocido</v>
      </c>
      <c r="Q593" t="s">
        <v>919</v>
      </c>
    </row>
    <row r="594" spans="1:17" x14ac:dyDescent="0.25">
      <c r="A594">
        <v>768</v>
      </c>
      <c r="B594">
        <v>0</v>
      </c>
      <c r="C594">
        <v>3</v>
      </c>
      <c r="D594" t="s">
        <v>2036</v>
      </c>
      <c r="E594" t="s">
        <v>907</v>
      </c>
      <c r="F594">
        <f>ROUNDUP(Titanic_DATASET[[#This Row],[Age Correción 2]],0)</f>
        <v>31</v>
      </c>
      <c r="G594" s="4">
        <f>VALUE(SUBSTITUTE(Titanic_DATASET[[#This Row],[Age Correción.]],".",","))</f>
        <v>30.5</v>
      </c>
      <c r="H594" s="5" t="s">
        <v>1394</v>
      </c>
      <c r="I594" t="s">
        <v>1394</v>
      </c>
      <c r="J594">
        <v>0</v>
      </c>
      <c r="K594">
        <v>0</v>
      </c>
      <c r="L594" s="3">
        <v>364850</v>
      </c>
      <c r="M594" s="6">
        <f t="shared" si="18"/>
        <v>7.75</v>
      </c>
      <c r="N594" t="s">
        <v>961</v>
      </c>
      <c r="O594" t="str">
        <f t="shared" si="19"/>
        <v>Desconocido</v>
      </c>
      <c r="Q594" t="s">
        <v>919</v>
      </c>
    </row>
    <row r="595" spans="1:17" x14ac:dyDescent="0.25">
      <c r="A595">
        <v>429</v>
      </c>
      <c r="B595">
        <v>0</v>
      </c>
      <c r="C595">
        <v>3</v>
      </c>
      <c r="D595" t="s">
        <v>1577</v>
      </c>
      <c r="E595" t="s">
        <v>902</v>
      </c>
      <c r="F595">
        <f>ROUNDUP(Titanic_DATASET[[#This Row],[Age Correción 2]],0)</f>
        <v>33</v>
      </c>
      <c r="G595" s="4">
        <f>VALUE(SUBSTITUTE(Titanic_DATASET[[#This Row],[Age Correción.]],".",","))</f>
        <v>33</v>
      </c>
      <c r="H595" s="5">
        <v>33</v>
      </c>
      <c r="J595">
        <v>0</v>
      </c>
      <c r="K595">
        <v>0</v>
      </c>
      <c r="L595" s="3">
        <v>364851</v>
      </c>
      <c r="M595" s="6">
        <f t="shared" si="18"/>
        <v>7.75</v>
      </c>
      <c r="N595" t="s">
        <v>961</v>
      </c>
      <c r="O595" t="str">
        <f t="shared" si="19"/>
        <v>Desconocido</v>
      </c>
      <c r="Q595" t="s">
        <v>919</v>
      </c>
    </row>
    <row r="596" spans="1:17" x14ac:dyDescent="0.25">
      <c r="A596">
        <v>144</v>
      </c>
      <c r="B596">
        <v>0</v>
      </c>
      <c r="C596">
        <v>3</v>
      </c>
      <c r="D596" t="s">
        <v>1141</v>
      </c>
      <c r="E596" t="s">
        <v>902</v>
      </c>
      <c r="F596">
        <f>ROUNDUP(Titanic_DATASET[[#This Row],[Age Correción 2]],0)</f>
        <v>19</v>
      </c>
      <c r="G596" s="4">
        <f>VALUE(SUBSTITUTE(Titanic_DATASET[[#This Row],[Age Correción.]],".",","))</f>
        <v>19</v>
      </c>
      <c r="H596" s="5">
        <v>19</v>
      </c>
      <c r="I596">
        <v>19</v>
      </c>
      <c r="J596">
        <v>0</v>
      </c>
      <c r="K596">
        <v>0</v>
      </c>
      <c r="L596" s="3">
        <v>365222</v>
      </c>
      <c r="M596" s="6">
        <f t="shared" si="18"/>
        <v>6.75</v>
      </c>
      <c r="N596" t="s">
        <v>1142</v>
      </c>
      <c r="O596" t="str">
        <f t="shared" si="19"/>
        <v>Desconocido</v>
      </c>
      <c r="Q596" t="s">
        <v>919</v>
      </c>
    </row>
    <row r="597" spans="1:17" x14ac:dyDescent="0.25">
      <c r="A597">
        <v>655</v>
      </c>
      <c r="B597">
        <v>0</v>
      </c>
      <c r="C597">
        <v>3</v>
      </c>
      <c r="D597" t="s">
        <v>1891</v>
      </c>
      <c r="E597" t="s">
        <v>907</v>
      </c>
      <c r="F597">
        <f>ROUNDUP(Titanic_DATASET[[#This Row],[Age Correción 2]],0)</f>
        <v>18</v>
      </c>
      <c r="G597" s="4">
        <f>VALUE(SUBSTITUTE(Titanic_DATASET[[#This Row],[Age Correción.]],".",","))</f>
        <v>18</v>
      </c>
      <c r="H597" s="5">
        <v>18</v>
      </c>
      <c r="I597">
        <v>18</v>
      </c>
      <c r="J597">
        <v>0</v>
      </c>
      <c r="K597">
        <v>0</v>
      </c>
      <c r="L597" s="3">
        <v>365226</v>
      </c>
      <c r="M597" s="6">
        <f t="shared" si="18"/>
        <v>6.75</v>
      </c>
      <c r="N597" t="s">
        <v>1142</v>
      </c>
      <c r="O597" t="str">
        <f t="shared" si="19"/>
        <v>Desconocido</v>
      </c>
      <c r="Q597" t="s">
        <v>919</v>
      </c>
    </row>
    <row r="598" spans="1:17" x14ac:dyDescent="0.25">
      <c r="A598">
        <v>302</v>
      </c>
      <c r="B598">
        <v>1</v>
      </c>
      <c r="C598">
        <v>3</v>
      </c>
      <c r="D598" t="s">
        <v>1398</v>
      </c>
      <c r="E598" t="s">
        <v>902</v>
      </c>
      <c r="F598">
        <f>ROUNDUP(Titanic_DATASET[[#This Row],[Age Correción 2]],0)</f>
        <v>60</v>
      </c>
      <c r="G598" s="4">
        <f>VALUE(SUBSTITUTE(Titanic_DATASET[[#This Row],[Age Correción.]],".",","))</f>
        <v>60</v>
      </c>
      <c r="H598" s="5">
        <v>60</v>
      </c>
      <c r="J598">
        <v>2</v>
      </c>
      <c r="K598">
        <v>0</v>
      </c>
      <c r="L598" s="3">
        <v>367226</v>
      </c>
      <c r="M598" s="6">
        <f t="shared" si="18"/>
        <v>23.25</v>
      </c>
      <c r="N598" t="s">
        <v>1399</v>
      </c>
      <c r="O598" t="str">
        <f t="shared" si="19"/>
        <v>Desconocido</v>
      </c>
      <c r="Q598" t="s">
        <v>919</v>
      </c>
    </row>
    <row r="599" spans="1:17" x14ac:dyDescent="0.25">
      <c r="A599">
        <v>331</v>
      </c>
      <c r="B599">
        <v>1</v>
      </c>
      <c r="C599">
        <v>3</v>
      </c>
      <c r="D599" t="s">
        <v>1447</v>
      </c>
      <c r="E599" t="s">
        <v>907</v>
      </c>
      <c r="F599">
        <f>ROUNDUP(Titanic_DATASET[[#This Row],[Age Correción 2]],0)</f>
        <v>3</v>
      </c>
      <c r="G599" s="4">
        <f>VALUE(SUBSTITUTE(Titanic_DATASET[[#This Row],[Age Correción.]],".",","))</f>
        <v>3</v>
      </c>
      <c r="H599" s="5">
        <v>3</v>
      </c>
      <c r="J599">
        <v>2</v>
      </c>
      <c r="K599">
        <v>0</v>
      </c>
      <c r="L599" s="3">
        <v>367226</v>
      </c>
      <c r="M599" s="6">
        <f t="shared" si="18"/>
        <v>23.25</v>
      </c>
      <c r="N599" t="s">
        <v>1399</v>
      </c>
      <c r="O599" t="str">
        <f t="shared" si="19"/>
        <v>Desconocido</v>
      </c>
      <c r="Q599" t="s">
        <v>919</v>
      </c>
    </row>
    <row r="600" spans="1:17" x14ac:dyDescent="0.25">
      <c r="A600">
        <v>829</v>
      </c>
      <c r="B600">
        <v>1</v>
      </c>
      <c r="C600">
        <v>3</v>
      </c>
      <c r="D600" t="s">
        <v>2117</v>
      </c>
      <c r="E600" t="s">
        <v>902</v>
      </c>
      <c r="F600">
        <f>ROUNDUP(Titanic_DATASET[[#This Row],[Age Correción 2]],0)</f>
        <v>78</v>
      </c>
      <c r="G600" s="4">
        <f>VALUE(SUBSTITUTE(Titanic_DATASET[[#This Row],[Age Correción.]],".",","))</f>
        <v>78</v>
      </c>
      <c r="H600" s="5">
        <v>78</v>
      </c>
      <c r="J600">
        <v>0</v>
      </c>
      <c r="K600">
        <v>0</v>
      </c>
      <c r="L600" s="3">
        <v>367228</v>
      </c>
      <c r="M600" s="6">
        <f t="shared" si="18"/>
        <v>7.75</v>
      </c>
      <c r="N600" t="s">
        <v>961</v>
      </c>
      <c r="O600" t="str">
        <f t="shared" si="19"/>
        <v>Desconocido</v>
      </c>
      <c r="Q600" t="s">
        <v>919</v>
      </c>
    </row>
    <row r="601" spans="1:17" x14ac:dyDescent="0.25">
      <c r="A601">
        <v>215</v>
      </c>
      <c r="B601">
        <v>0</v>
      </c>
      <c r="C601">
        <v>3</v>
      </c>
      <c r="D601" t="s">
        <v>1255</v>
      </c>
      <c r="E601" t="s">
        <v>902</v>
      </c>
      <c r="F601">
        <f>ROUNDUP(Titanic_DATASET[[#This Row],[Age Correción 2]],0)</f>
        <v>57</v>
      </c>
      <c r="G601" s="4">
        <f>VALUE(SUBSTITUTE(Titanic_DATASET[[#This Row],[Age Correción.]],".",","))</f>
        <v>57</v>
      </c>
      <c r="H601" s="5">
        <v>57</v>
      </c>
      <c r="J601">
        <v>1</v>
      </c>
      <c r="K601">
        <v>0</v>
      </c>
      <c r="L601" s="3">
        <v>367229</v>
      </c>
      <c r="M601" s="6">
        <f t="shared" si="18"/>
        <v>7.75</v>
      </c>
      <c r="N601" t="s">
        <v>961</v>
      </c>
      <c r="O601" t="str">
        <f t="shared" si="19"/>
        <v>Desconocido</v>
      </c>
      <c r="Q601" t="s">
        <v>919</v>
      </c>
    </row>
    <row r="602" spans="1:17" x14ac:dyDescent="0.25">
      <c r="A602">
        <v>242</v>
      </c>
      <c r="B602">
        <v>1</v>
      </c>
      <c r="C602">
        <v>3</v>
      </c>
      <c r="D602" t="s">
        <v>1300</v>
      </c>
      <c r="E602" t="s">
        <v>907</v>
      </c>
      <c r="F602">
        <f>ROUNDUP(Titanic_DATASET[[#This Row],[Age Correción 2]],0)</f>
        <v>59</v>
      </c>
      <c r="G602" s="4">
        <f>VALUE(SUBSTITUTE(Titanic_DATASET[[#This Row],[Age Correción.]],".",","))</f>
        <v>59</v>
      </c>
      <c r="H602" s="5">
        <v>59</v>
      </c>
      <c r="J602">
        <v>1</v>
      </c>
      <c r="K602">
        <v>0</v>
      </c>
      <c r="L602" s="3">
        <v>367230</v>
      </c>
      <c r="M602" s="6">
        <f t="shared" si="18"/>
        <v>15.5</v>
      </c>
      <c r="N602" t="s">
        <v>982</v>
      </c>
      <c r="O602" t="str">
        <f t="shared" si="19"/>
        <v>Desconocido</v>
      </c>
      <c r="Q602" t="s">
        <v>919</v>
      </c>
    </row>
    <row r="603" spans="1:17" x14ac:dyDescent="0.25">
      <c r="A603">
        <v>613</v>
      </c>
      <c r="B603">
        <v>1</v>
      </c>
      <c r="C603">
        <v>3</v>
      </c>
      <c r="D603" t="s">
        <v>1840</v>
      </c>
      <c r="E603" t="s">
        <v>907</v>
      </c>
      <c r="F603">
        <f>ROUNDUP(Titanic_DATASET[[#This Row],[Age Correción 2]],0)</f>
        <v>24</v>
      </c>
      <c r="G603" s="4">
        <f>VALUE(SUBSTITUTE(Titanic_DATASET[[#This Row],[Age Correción.]],".",","))</f>
        <v>24</v>
      </c>
      <c r="H603" s="5">
        <v>24</v>
      </c>
      <c r="J603">
        <v>1</v>
      </c>
      <c r="K603">
        <v>0</v>
      </c>
      <c r="L603" s="3">
        <v>367230</v>
      </c>
      <c r="M603" s="6">
        <f t="shared" si="18"/>
        <v>15.5</v>
      </c>
      <c r="N603" t="s">
        <v>982</v>
      </c>
      <c r="O603" t="str">
        <f t="shared" si="19"/>
        <v>Desconocido</v>
      </c>
      <c r="Q603" t="s">
        <v>919</v>
      </c>
    </row>
    <row r="604" spans="1:17" x14ac:dyDescent="0.25">
      <c r="A604">
        <v>209</v>
      </c>
      <c r="B604">
        <v>1</v>
      </c>
      <c r="C604">
        <v>3</v>
      </c>
      <c r="D604" t="s">
        <v>1245</v>
      </c>
      <c r="E604" t="s">
        <v>907</v>
      </c>
      <c r="F604">
        <f>ROUNDUP(Titanic_DATASET[[#This Row],[Age Correción 2]],0)</f>
        <v>16</v>
      </c>
      <c r="G604" s="4">
        <f>VALUE(SUBSTITUTE(Titanic_DATASET[[#This Row],[Age Correción.]],".",","))</f>
        <v>16</v>
      </c>
      <c r="H604" s="5">
        <v>16</v>
      </c>
      <c r="I604">
        <v>16</v>
      </c>
      <c r="J604">
        <v>0</v>
      </c>
      <c r="K604">
        <v>0</v>
      </c>
      <c r="L604" s="3">
        <v>367231</v>
      </c>
      <c r="M604" s="6">
        <f t="shared" si="18"/>
        <v>7.75</v>
      </c>
      <c r="N604" t="s">
        <v>961</v>
      </c>
      <c r="O604" t="str">
        <f t="shared" si="19"/>
        <v>Desconocido</v>
      </c>
      <c r="Q604" t="s">
        <v>919</v>
      </c>
    </row>
    <row r="605" spans="1:17" x14ac:dyDescent="0.25">
      <c r="A605">
        <v>526</v>
      </c>
      <c r="B605">
        <v>0</v>
      </c>
      <c r="C605">
        <v>3</v>
      </c>
      <c r="D605" t="s">
        <v>1718</v>
      </c>
      <c r="E605" t="s">
        <v>902</v>
      </c>
      <c r="F605">
        <f>ROUNDUP(Titanic_DATASET[[#This Row],[Age Correción 2]],0)</f>
        <v>41</v>
      </c>
      <c r="G605" s="4">
        <f>VALUE(SUBSTITUTE(Titanic_DATASET[[#This Row],[Age Correción.]],".",","))</f>
        <v>40.5</v>
      </c>
      <c r="H605" s="5" t="s">
        <v>1163</v>
      </c>
      <c r="I605" t="s">
        <v>1163</v>
      </c>
      <c r="J605">
        <v>0</v>
      </c>
      <c r="K605">
        <v>0</v>
      </c>
      <c r="L605" s="3">
        <v>367232</v>
      </c>
      <c r="M605" s="6">
        <f t="shared" si="18"/>
        <v>7.75</v>
      </c>
      <c r="N605" t="s">
        <v>961</v>
      </c>
      <c r="O605" t="str">
        <f t="shared" si="19"/>
        <v>Desconocido</v>
      </c>
      <c r="Q605" t="s">
        <v>919</v>
      </c>
    </row>
    <row r="606" spans="1:17" x14ac:dyDescent="0.25">
      <c r="A606">
        <v>389</v>
      </c>
      <c r="B606">
        <v>0</v>
      </c>
      <c r="C606">
        <v>3</v>
      </c>
      <c r="D606" t="s">
        <v>1528</v>
      </c>
      <c r="E606" t="s">
        <v>902</v>
      </c>
      <c r="F606">
        <f>ROUNDUP(Titanic_DATASET[[#This Row],[Age Correción 2]],0)</f>
        <v>3</v>
      </c>
      <c r="G606" s="4">
        <f>VALUE(SUBSTITUTE(Titanic_DATASET[[#This Row],[Age Correción.]],".",","))</f>
        <v>3</v>
      </c>
      <c r="H606" s="5">
        <v>3</v>
      </c>
      <c r="J606">
        <v>0</v>
      </c>
      <c r="K606">
        <v>0</v>
      </c>
      <c r="L606" s="3">
        <v>367655</v>
      </c>
      <c r="M606" s="6">
        <f t="shared" si="18"/>
        <v>77292</v>
      </c>
      <c r="N606" s="1">
        <v>77292</v>
      </c>
      <c r="O606" s="1" t="str">
        <f t="shared" si="19"/>
        <v>Desconocido</v>
      </c>
      <c r="Q606" t="s">
        <v>919</v>
      </c>
    </row>
    <row r="607" spans="1:17" x14ac:dyDescent="0.25">
      <c r="A607">
        <v>826</v>
      </c>
      <c r="B607">
        <v>0</v>
      </c>
      <c r="C607">
        <v>3</v>
      </c>
      <c r="D607" t="s">
        <v>2113</v>
      </c>
      <c r="E607" t="s">
        <v>902</v>
      </c>
      <c r="F607">
        <f>ROUNDUP(Titanic_DATASET[[#This Row],[Age Correción 2]],0)</f>
        <v>70</v>
      </c>
      <c r="G607" s="4">
        <f>VALUE(SUBSTITUTE(Titanic_DATASET[[#This Row],[Age Correción.]],".",","))</f>
        <v>70</v>
      </c>
      <c r="H607" s="5">
        <v>70</v>
      </c>
      <c r="J607">
        <v>0</v>
      </c>
      <c r="K607">
        <v>0</v>
      </c>
      <c r="L607" s="3">
        <v>368323</v>
      </c>
      <c r="M607" s="6">
        <f t="shared" si="18"/>
        <v>6.95</v>
      </c>
      <c r="N607" t="s">
        <v>2114</v>
      </c>
      <c r="O607" t="str">
        <f t="shared" si="19"/>
        <v>Desconocido</v>
      </c>
      <c r="Q607" t="s">
        <v>919</v>
      </c>
    </row>
    <row r="608" spans="1:17" x14ac:dyDescent="0.25">
      <c r="A608">
        <v>197</v>
      </c>
      <c r="B608">
        <v>0</v>
      </c>
      <c r="C608">
        <v>3</v>
      </c>
      <c r="D608" t="s">
        <v>1231</v>
      </c>
      <c r="E608" t="s">
        <v>902</v>
      </c>
      <c r="F608">
        <f>ROUNDUP(Titanic_DATASET[[#This Row],[Age Correción 2]],0)</f>
        <v>2</v>
      </c>
      <c r="G608" s="4">
        <f>VALUE(SUBSTITUTE(Titanic_DATASET[[#This Row],[Age Correción.]],".",","))</f>
        <v>2</v>
      </c>
      <c r="H608" s="5">
        <v>2</v>
      </c>
      <c r="J608">
        <v>0</v>
      </c>
      <c r="K608">
        <v>0</v>
      </c>
      <c r="L608" s="3">
        <v>368703</v>
      </c>
      <c r="M608" s="6">
        <f t="shared" si="18"/>
        <v>7.75</v>
      </c>
      <c r="N608" t="s">
        <v>961</v>
      </c>
      <c r="O608" t="str">
        <f t="shared" si="19"/>
        <v>Desconocido</v>
      </c>
      <c r="Q608" t="s">
        <v>919</v>
      </c>
    </row>
    <row r="609" spans="1:17" x14ac:dyDescent="0.25">
      <c r="A609">
        <v>255</v>
      </c>
      <c r="B609">
        <v>0</v>
      </c>
      <c r="C609">
        <v>3</v>
      </c>
      <c r="D609" t="s">
        <v>1319</v>
      </c>
      <c r="E609" t="s">
        <v>907</v>
      </c>
      <c r="F609">
        <f>ROUNDUP(Titanic_DATASET[[#This Row],[Age Correción 2]],0)</f>
        <v>41</v>
      </c>
      <c r="G609" s="4">
        <f>VALUE(SUBSTITUTE(Titanic_DATASET[[#This Row],[Age Correción.]],".",","))</f>
        <v>41</v>
      </c>
      <c r="H609" s="5">
        <v>41</v>
      </c>
      <c r="I609">
        <v>41</v>
      </c>
      <c r="J609">
        <v>0</v>
      </c>
      <c r="K609">
        <v>2</v>
      </c>
      <c r="L609" s="3">
        <v>370129</v>
      </c>
      <c r="M609" s="6">
        <f t="shared" si="18"/>
        <v>202125</v>
      </c>
      <c r="N609" s="1">
        <v>202125</v>
      </c>
      <c r="O609" s="1" t="str">
        <f t="shared" si="19"/>
        <v>Desconocido</v>
      </c>
      <c r="Q609" t="s">
        <v>905</v>
      </c>
    </row>
    <row r="610" spans="1:17" x14ac:dyDescent="0.25">
      <c r="A610">
        <v>425</v>
      </c>
      <c r="B610">
        <v>0</v>
      </c>
      <c r="C610">
        <v>3</v>
      </c>
      <c r="D610" t="s">
        <v>1572</v>
      </c>
      <c r="E610" t="s">
        <v>902</v>
      </c>
      <c r="F610">
        <f>ROUNDUP(Titanic_DATASET[[#This Row],[Age Correción 2]],0)</f>
        <v>18</v>
      </c>
      <c r="G610" s="4">
        <f>VALUE(SUBSTITUTE(Titanic_DATASET[[#This Row],[Age Correción.]],".",","))</f>
        <v>18</v>
      </c>
      <c r="H610" s="5">
        <v>18</v>
      </c>
      <c r="I610">
        <v>18</v>
      </c>
      <c r="J610">
        <v>1</v>
      </c>
      <c r="K610">
        <v>1</v>
      </c>
      <c r="L610" s="3">
        <v>370129</v>
      </c>
      <c r="M610" s="6">
        <f t="shared" si="18"/>
        <v>202125</v>
      </c>
      <c r="N610" s="1">
        <v>202125</v>
      </c>
      <c r="O610" s="1" t="str">
        <f t="shared" si="19"/>
        <v>Desconocido</v>
      </c>
      <c r="Q610" t="s">
        <v>905</v>
      </c>
    </row>
    <row r="611" spans="1:17" x14ac:dyDescent="0.25">
      <c r="A611">
        <v>187</v>
      </c>
      <c r="B611">
        <v>1</v>
      </c>
      <c r="C611">
        <v>3</v>
      </c>
      <c r="D611" t="s">
        <v>1218</v>
      </c>
      <c r="E611" t="s">
        <v>907</v>
      </c>
      <c r="F611">
        <f>ROUNDUP(Titanic_DATASET[[#This Row],[Age Correción 2]],0)</f>
        <v>68</v>
      </c>
      <c r="G611" s="4">
        <f>VALUE(SUBSTITUTE(Titanic_DATASET[[#This Row],[Age Correción.]],".",","))</f>
        <v>68</v>
      </c>
      <c r="H611" s="5">
        <v>68</v>
      </c>
      <c r="J611">
        <v>1</v>
      </c>
      <c r="K611">
        <v>0</v>
      </c>
      <c r="L611" s="3">
        <v>370365</v>
      </c>
      <c r="M611" s="6">
        <f t="shared" si="18"/>
        <v>15.5</v>
      </c>
      <c r="N611" t="s">
        <v>982</v>
      </c>
      <c r="O611" t="str">
        <f t="shared" si="19"/>
        <v>Desconocido</v>
      </c>
      <c r="Q611" t="s">
        <v>919</v>
      </c>
    </row>
    <row r="612" spans="1:17" x14ac:dyDescent="0.25">
      <c r="A612">
        <v>365</v>
      </c>
      <c r="B612">
        <v>0</v>
      </c>
      <c r="C612">
        <v>3</v>
      </c>
      <c r="D612" t="s">
        <v>1492</v>
      </c>
      <c r="E612" t="s">
        <v>902</v>
      </c>
      <c r="F612">
        <f>ROUNDUP(Titanic_DATASET[[#This Row],[Age Correción 2]],0)</f>
        <v>26</v>
      </c>
      <c r="G612" s="4">
        <f>VALUE(SUBSTITUTE(Titanic_DATASET[[#This Row],[Age Correción.]],".",","))</f>
        <v>26</v>
      </c>
      <c r="H612" s="5">
        <v>26</v>
      </c>
      <c r="J612">
        <v>1</v>
      </c>
      <c r="K612">
        <v>0</v>
      </c>
      <c r="L612" s="3">
        <v>370365</v>
      </c>
      <c r="M612" s="6">
        <f t="shared" si="18"/>
        <v>15.5</v>
      </c>
      <c r="N612" t="s">
        <v>982</v>
      </c>
      <c r="O612" t="str">
        <f t="shared" si="19"/>
        <v>Desconocido</v>
      </c>
      <c r="Q612" t="s">
        <v>919</v>
      </c>
    </row>
    <row r="613" spans="1:17" x14ac:dyDescent="0.25">
      <c r="A613">
        <v>117</v>
      </c>
      <c r="B613">
        <v>0</v>
      </c>
      <c r="C613">
        <v>3</v>
      </c>
      <c r="D613" t="s">
        <v>1096</v>
      </c>
      <c r="E613" t="s">
        <v>902</v>
      </c>
      <c r="F613">
        <f>ROUNDUP(Titanic_DATASET[[#This Row],[Age Correción 2]],0)</f>
        <v>71</v>
      </c>
      <c r="G613" s="4">
        <f>VALUE(SUBSTITUTE(Titanic_DATASET[[#This Row],[Age Correción.]],".",","))</f>
        <v>70.5</v>
      </c>
      <c r="H613" s="5" t="s">
        <v>1097</v>
      </c>
      <c r="I613" t="s">
        <v>1097</v>
      </c>
      <c r="J613">
        <v>0</v>
      </c>
      <c r="K613">
        <v>0</v>
      </c>
      <c r="L613" s="3">
        <v>370369</v>
      </c>
      <c r="M613" s="6">
        <f t="shared" si="18"/>
        <v>7.75</v>
      </c>
      <c r="N613" t="s">
        <v>961</v>
      </c>
      <c r="O613" t="str">
        <f t="shared" si="19"/>
        <v>Desconocido</v>
      </c>
      <c r="Q613" t="s">
        <v>919</v>
      </c>
    </row>
    <row r="614" spans="1:17" x14ac:dyDescent="0.25">
      <c r="A614">
        <v>199</v>
      </c>
      <c r="B614">
        <v>1</v>
      </c>
      <c r="C614">
        <v>3</v>
      </c>
      <c r="D614" t="s">
        <v>1233</v>
      </c>
      <c r="E614" t="s">
        <v>907</v>
      </c>
      <c r="F614">
        <f>ROUNDUP(Titanic_DATASET[[#This Row],[Age Correción 2]],0)</f>
        <v>20</v>
      </c>
      <c r="G614" s="4">
        <f>VALUE(SUBSTITUTE(Titanic_DATASET[[#This Row],[Age Correción.]],".",","))</f>
        <v>20</v>
      </c>
      <c r="H614" s="5">
        <v>20</v>
      </c>
      <c r="J614">
        <v>0</v>
      </c>
      <c r="K614">
        <v>0</v>
      </c>
      <c r="L614" s="3">
        <v>370370</v>
      </c>
      <c r="M614" s="6">
        <f t="shared" si="18"/>
        <v>7.75</v>
      </c>
      <c r="N614" t="s">
        <v>961</v>
      </c>
      <c r="O614" t="str">
        <f t="shared" si="19"/>
        <v>Desconocido</v>
      </c>
      <c r="Q614" t="s">
        <v>919</v>
      </c>
    </row>
    <row r="615" spans="1:17" x14ac:dyDescent="0.25">
      <c r="A615">
        <v>47</v>
      </c>
      <c r="B615">
        <v>0</v>
      </c>
      <c r="C615">
        <v>3</v>
      </c>
      <c r="D615" t="s">
        <v>981</v>
      </c>
      <c r="E615" t="s">
        <v>902</v>
      </c>
      <c r="F615">
        <f>ROUNDUP(Titanic_DATASET[[#This Row],[Age Correción 2]],0)</f>
        <v>27</v>
      </c>
      <c r="G615" s="4">
        <f>VALUE(SUBSTITUTE(Titanic_DATASET[[#This Row],[Age Correción.]],".",","))</f>
        <v>27</v>
      </c>
      <c r="H615" s="5">
        <v>27</v>
      </c>
      <c r="J615">
        <v>1</v>
      </c>
      <c r="K615">
        <v>0</v>
      </c>
      <c r="L615" s="3">
        <v>370371</v>
      </c>
      <c r="M615" s="6">
        <f t="shared" si="18"/>
        <v>15.5</v>
      </c>
      <c r="N615" t="s">
        <v>982</v>
      </c>
      <c r="O615" t="str">
        <f t="shared" si="19"/>
        <v>Desconocido</v>
      </c>
      <c r="Q615" t="s">
        <v>919</v>
      </c>
    </row>
    <row r="616" spans="1:17" x14ac:dyDescent="0.25">
      <c r="A616">
        <v>127</v>
      </c>
      <c r="B616">
        <v>0</v>
      </c>
      <c r="C616">
        <v>3</v>
      </c>
      <c r="D616" t="s">
        <v>1112</v>
      </c>
      <c r="E616" t="s">
        <v>902</v>
      </c>
      <c r="F616">
        <f>ROUNDUP(Titanic_DATASET[[#This Row],[Age Correción 2]],0)</f>
        <v>49</v>
      </c>
      <c r="G616" s="4">
        <f>VALUE(SUBSTITUTE(Titanic_DATASET[[#This Row],[Age Correción.]],".",","))</f>
        <v>49</v>
      </c>
      <c r="H616" s="5">
        <v>49</v>
      </c>
      <c r="J616">
        <v>0</v>
      </c>
      <c r="K616">
        <v>0</v>
      </c>
      <c r="L616" s="3">
        <v>370372</v>
      </c>
      <c r="M616" s="6">
        <f t="shared" si="18"/>
        <v>7.75</v>
      </c>
      <c r="N616" t="s">
        <v>961</v>
      </c>
      <c r="O616" t="str">
        <f t="shared" si="19"/>
        <v>Desconocido</v>
      </c>
      <c r="Q616" t="s">
        <v>919</v>
      </c>
    </row>
    <row r="617" spans="1:17" x14ac:dyDescent="0.25">
      <c r="A617">
        <v>290</v>
      </c>
      <c r="B617">
        <v>1</v>
      </c>
      <c r="C617">
        <v>3</v>
      </c>
      <c r="D617" t="s">
        <v>1375</v>
      </c>
      <c r="E617" t="s">
        <v>907</v>
      </c>
      <c r="F617">
        <f>ROUNDUP(Titanic_DATASET[[#This Row],[Age Correción 2]],0)</f>
        <v>22</v>
      </c>
      <c r="G617" s="4">
        <f>VALUE(SUBSTITUTE(Titanic_DATASET[[#This Row],[Age Correción.]],".",","))</f>
        <v>22</v>
      </c>
      <c r="H617" s="5">
        <v>22</v>
      </c>
      <c r="I617">
        <v>22</v>
      </c>
      <c r="J617">
        <v>0</v>
      </c>
      <c r="K617">
        <v>0</v>
      </c>
      <c r="L617" s="3">
        <v>370373</v>
      </c>
      <c r="M617" s="6">
        <f t="shared" si="18"/>
        <v>7.75</v>
      </c>
      <c r="N617" t="s">
        <v>961</v>
      </c>
      <c r="O617" t="str">
        <f t="shared" si="19"/>
        <v>Desconocido</v>
      </c>
      <c r="Q617" t="s">
        <v>919</v>
      </c>
    </row>
    <row r="618" spans="1:17" x14ac:dyDescent="0.25">
      <c r="A618">
        <v>275</v>
      </c>
      <c r="B618">
        <v>1</v>
      </c>
      <c r="C618">
        <v>3</v>
      </c>
      <c r="D618" t="s">
        <v>1355</v>
      </c>
      <c r="E618" t="s">
        <v>907</v>
      </c>
      <c r="F618">
        <f>ROUNDUP(Titanic_DATASET[[#This Row],[Age Correción 2]],0)</f>
        <v>5</v>
      </c>
      <c r="G618" s="4">
        <f>VALUE(SUBSTITUTE(Titanic_DATASET[[#This Row],[Age Correción.]],".",","))</f>
        <v>5</v>
      </c>
      <c r="H618" s="5">
        <v>5</v>
      </c>
      <c r="J618">
        <v>0</v>
      </c>
      <c r="K618">
        <v>0</v>
      </c>
      <c r="L618" s="3">
        <v>370375</v>
      </c>
      <c r="M618" s="6">
        <f t="shared" si="18"/>
        <v>7.75</v>
      </c>
      <c r="N618" t="s">
        <v>961</v>
      </c>
      <c r="O618" t="str">
        <f t="shared" si="19"/>
        <v>Desconocido</v>
      </c>
      <c r="Q618" t="s">
        <v>919</v>
      </c>
    </row>
    <row r="619" spans="1:17" x14ac:dyDescent="0.25">
      <c r="A619">
        <v>891</v>
      </c>
      <c r="B619">
        <v>0</v>
      </c>
      <c r="C619">
        <v>3</v>
      </c>
      <c r="D619" t="s">
        <v>2198</v>
      </c>
      <c r="E619" t="s">
        <v>902</v>
      </c>
      <c r="F619">
        <f>ROUNDUP(Titanic_DATASET[[#This Row],[Age Correción 2]],0)</f>
        <v>32</v>
      </c>
      <c r="G619" s="4">
        <f>VALUE(SUBSTITUTE(Titanic_DATASET[[#This Row],[Age Correción.]],".",","))</f>
        <v>32</v>
      </c>
      <c r="H619" s="5">
        <v>32</v>
      </c>
      <c r="I619">
        <v>32</v>
      </c>
      <c r="J619">
        <v>0</v>
      </c>
      <c r="K619">
        <v>0</v>
      </c>
      <c r="L619" s="3">
        <v>370376</v>
      </c>
      <c r="M619" s="6">
        <f t="shared" si="18"/>
        <v>7.75</v>
      </c>
      <c r="N619" t="s">
        <v>961</v>
      </c>
      <c r="O619" t="str">
        <f t="shared" si="19"/>
        <v>Desconocido</v>
      </c>
      <c r="Q619" t="s">
        <v>919</v>
      </c>
    </row>
    <row r="620" spans="1:17" x14ac:dyDescent="0.25">
      <c r="A620">
        <v>614</v>
      </c>
      <c r="B620">
        <v>0</v>
      </c>
      <c r="C620">
        <v>3</v>
      </c>
      <c r="D620" t="s">
        <v>1841</v>
      </c>
      <c r="E620" t="s">
        <v>902</v>
      </c>
      <c r="F620">
        <f>ROUNDUP(Titanic_DATASET[[#This Row],[Age Correción 2]],0)</f>
        <v>65</v>
      </c>
      <c r="G620" s="4">
        <f>VALUE(SUBSTITUTE(Titanic_DATASET[[#This Row],[Age Correción.]],".",","))</f>
        <v>65</v>
      </c>
      <c r="H620" s="5">
        <v>65</v>
      </c>
      <c r="J620">
        <v>0</v>
      </c>
      <c r="K620">
        <v>0</v>
      </c>
      <c r="L620" s="3">
        <v>370377</v>
      </c>
      <c r="M620" s="6">
        <f t="shared" si="18"/>
        <v>7.75</v>
      </c>
      <c r="N620" t="s">
        <v>961</v>
      </c>
      <c r="O620" t="str">
        <f t="shared" si="19"/>
        <v>Desconocido</v>
      </c>
      <c r="Q620" t="s">
        <v>919</v>
      </c>
    </row>
    <row r="621" spans="1:17" x14ac:dyDescent="0.25">
      <c r="A621">
        <v>460</v>
      </c>
      <c r="B621">
        <v>0</v>
      </c>
      <c r="C621">
        <v>3</v>
      </c>
      <c r="D621" t="s">
        <v>1623</v>
      </c>
      <c r="E621" t="s">
        <v>902</v>
      </c>
      <c r="F621">
        <f>ROUNDUP(Titanic_DATASET[[#This Row],[Age Correción 2]],0)</f>
        <v>22</v>
      </c>
      <c r="G621" s="4">
        <f>VALUE(SUBSTITUTE(Titanic_DATASET[[#This Row],[Age Correción.]],".",","))</f>
        <v>22</v>
      </c>
      <c r="H621" s="5">
        <v>22</v>
      </c>
      <c r="J621">
        <v>0</v>
      </c>
      <c r="K621">
        <v>0</v>
      </c>
      <c r="L621" s="3">
        <v>371060</v>
      </c>
      <c r="M621" s="6">
        <f t="shared" si="18"/>
        <v>7.75</v>
      </c>
      <c r="N621" t="s">
        <v>961</v>
      </c>
      <c r="O621" t="str">
        <f t="shared" si="19"/>
        <v>Desconocido</v>
      </c>
      <c r="Q621" t="s">
        <v>919</v>
      </c>
    </row>
    <row r="622" spans="1:17" x14ac:dyDescent="0.25">
      <c r="A622">
        <v>110</v>
      </c>
      <c r="B622">
        <v>1</v>
      </c>
      <c r="C622">
        <v>3</v>
      </c>
      <c r="D622" t="s">
        <v>1085</v>
      </c>
      <c r="E622" t="s">
        <v>907</v>
      </c>
      <c r="F622">
        <f>ROUNDUP(Titanic_DATASET[[#This Row],[Age Correción 2]],0)</f>
        <v>43</v>
      </c>
      <c r="G622" s="4">
        <f>VALUE(SUBSTITUTE(Titanic_DATASET[[#This Row],[Age Correción.]],".",","))</f>
        <v>43</v>
      </c>
      <c r="H622" s="5">
        <v>43</v>
      </c>
      <c r="J622">
        <v>1</v>
      </c>
      <c r="K622">
        <v>0</v>
      </c>
      <c r="L622" s="3">
        <v>371110</v>
      </c>
      <c r="M622" s="6">
        <f t="shared" si="18"/>
        <v>24.15</v>
      </c>
      <c r="N622" t="s">
        <v>1086</v>
      </c>
      <c r="O622" t="str">
        <f t="shared" si="19"/>
        <v>Desconocido</v>
      </c>
      <c r="Q622" t="s">
        <v>919</v>
      </c>
    </row>
    <row r="623" spans="1:17" x14ac:dyDescent="0.25">
      <c r="A623">
        <v>518</v>
      </c>
      <c r="B623">
        <v>0</v>
      </c>
      <c r="C623">
        <v>3</v>
      </c>
      <c r="D623" t="s">
        <v>1708</v>
      </c>
      <c r="E623" t="s">
        <v>902</v>
      </c>
      <c r="F623">
        <f>ROUNDUP(Titanic_DATASET[[#This Row],[Age Correción 2]],0)</f>
        <v>2</v>
      </c>
      <c r="G623" s="4">
        <f>VALUE(SUBSTITUTE(Titanic_DATASET[[#This Row],[Age Correción.]],".",","))</f>
        <v>2</v>
      </c>
      <c r="H623" s="5">
        <v>2</v>
      </c>
      <c r="J623">
        <v>0</v>
      </c>
      <c r="K623">
        <v>0</v>
      </c>
      <c r="L623" s="3">
        <v>371110</v>
      </c>
      <c r="M623" s="6">
        <f t="shared" si="18"/>
        <v>24.15</v>
      </c>
      <c r="N623" t="s">
        <v>1086</v>
      </c>
      <c r="O623" t="str">
        <f t="shared" si="19"/>
        <v>Desconocido</v>
      </c>
      <c r="Q623" t="s">
        <v>919</v>
      </c>
    </row>
    <row r="624" spans="1:17" x14ac:dyDescent="0.25">
      <c r="A624">
        <v>769</v>
      </c>
      <c r="B624">
        <v>0</v>
      </c>
      <c r="C624">
        <v>3</v>
      </c>
      <c r="D624" t="s">
        <v>2037</v>
      </c>
      <c r="E624" t="s">
        <v>902</v>
      </c>
      <c r="F624">
        <f>ROUNDUP(Titanic_DATASET[[#This Row],[Age Correción 2]],0)</f>
        <v>8</v>
      </c>
      <c r="G624" s="4">
        <f>VALUE(SUBSTITUTE(Titanic_DATASET[[#This Row],[Age Correción.]],".",","))</f>
        <v>8</v>
      </c>
      <c r="H624" s="5">
        <v>8</v>
      </c>
      <c r="J624">
        <v>1</v>
      </c>
      <c r="K624">
        <v>0</v>
      </c>
      <c r="L624" s="3">
        <v>371110</v>
      </c>
      <c r="M624" s="6">
        <f t="shared" si="18"/>
        <v>24.15</v>
      </c>
      <c r="N624" t="s">
        <v>1086</v>
      </c>
      <c r="O624" t="str">
        <f t="shared" si="19"/>
        <v>Desconocido</v>
      </c>
      <c r="Q624" t="s">
        <v>919</v>
      </c>
    </row>
    <row r="625" spans="1:17" x14ac:dyDescent="0.25">
      <c r="A625">
        <v>161</v>
      </c>
      <c r="B625">
        <v>0</v>
      </c>
      <c r="C625">
        <v>3</v>
      </c>
      <c r="D625" t="s">
        <v>1176</v>
      </c>
      <c r="E625" t="s">
        <v>902</v>
      </c>
      <c r="F625">
        <f>ROUNDUP(Titanic_DATASET[[#This Row],[Age Correción 2]],0)</f>
        <v>44</v>
      </c>
      <c r="G625" s="4">
        <f>VALUE(SUBSTITUTE(Titanic_DATASET[[#This Row],[Age Correción.]],".",","))</f>
        <v>44</v>
      </c>
      <c r="H625" s="5">
        <v>44</v>
      </c>
      <c r="I625">
        <v>44</v>
      </c>
      <c r="J625">
        <v>0</v>
      </c>
      <c r="K625">
        <v>1</v>
      </c>
      <c r="L625" s="3">
        <v>371362</v>
      </c>
      <c r="M625" s="6">
        <f t="shared" si="18"/>
        <v>16.100000000000001</v>
      </c>
      <c r="N625" t="s">
        <v>1177</v>
      </c>
      <c r="O625" t="str">
        <f t="shared" si="19"/>
        <v>Desconocido</v>
      </c>
      <c r="Q625" t="s">
        <v>905</v>
      </c>
    </row>
    <row r="626" spans="1:17" x14ac:dyDescent="0.25">
      <c r="A626">
        <v>561</v>
      </c>
      <c r="B626">
        <v>0</v>
      </c>
      <c r="C626">
        <v>3</v>
      </c>
      <c r="D626" t="s">
        <v>1768</v>
      </c>
      <c r="E626" t="s">
        <v>902</v>
      </c>
      <c r="F626">
        <f>ROUNDUP(Titanic_DATASET[[#This Row],[Age Correción 2]],0)</f>
        <v>67</v>
      </c>
      <c r="G626" s="4">
        <f>VALUE(SUBSTITUTE(Titanic_DATASET[[#This Row],[Age Correción.]],".",","))</f>
        <v>67</v>
      </c>
      <c r="H626" s="5">
        <v>67</v>
      </c>
      <c r="J626">
        <v>0</v>
      </c>
      <c r="K626">
        <v>0</v>
      </c>
      <c r="L626" s="3">
        <v>372622</v>
      </c>
      <c r="M626" s="6">
        <f t="shared" si="18"/>
        <v>7.75</v>
      </c>
      <c r="N626" t="s">
        <v>961</v>
      </c>
      <c r="O626" t="str">
        <f t="shared" si="19"/>
        <v>Desconocido</v>
      </c>
      <c r="Q626" t="s">
        <v>919</v>
      </c>
    </row>
    <row r="627" spans="1:17" x14ac:dyDescent="0.25">
      <c r="A627">
        <v>5</v>
      </c>
      <c r="B627">
        <v>0</v>
      </c>
      <c r="C627">
        <v>3</v>
      </c>
      <c r="D627" t="s">
        <v>916</v>
      </c>
      <c r="E627" t="s">
        <v>902</v>
      </c>
      <c r="F627">
        <f>ROUNDUP(Titanic_DATASET[[#This Row],[Age Correción 2]],0)</f>
        <v>35</v>
      </c>
      <c r="G627" s="4">
        <f>VALUE(SUBSTITUTE(Titanic_DATASET[[#This Row],[Age Correción.]],".",","))</f>
        <v>35</v>
      </c>
      <c r="H627" s="5">
        <v>35</v>
      </c>
      <c r="I627">
        <v>35</v>
      </c>
      <c r="J627">
        <v>0</v>
      </c>
      <c r="K627">
        <v>0</v>
      </c>
      <c r="L627" s="3">
        <v>373450</v>
      </c>
      <c r="M627" s="6">
        <f t="shared" si="18"/>
        <v>8.0500000000000007</v>
      </c>
      <c r="N627" t="s">
        <v>917</v>
      </c>
      <c r="O627" t="str">
        <f t="shared" si="19"/>
        <v>Desconocido</v>
      </c>
      <c r="Q627" t="s">
        <v>905</v>
      </c>
    </row>
    <row r="628" spans="1:17" x14ac:dyDescent="0.25">
      <c r="A628">
        <v>78</v>
      </c>
      <c r="B628">
        <v>0</v>
      </c>
      <c r="C628">
        <v>3</v>
      </c>
      <c r="D628" t="s">
        <v>1038</v>
      </c>
      <c r="E628" t="s">
        <v>902</v>
      </c>
      <c r="F628">
        <f>ROUNDUP(Titanic_DATASET[[#This Row],[Age Correción 2]],0)</f>
        <v>36</v>
      </c>
      <c r="G628" s="4">
        <f>VALUE(SUBSTITUTE(Titanic_DATASET[[#This Row],[Age Correción.]],".",","))</f>
        <v>36</v>
      </c>
      <c r="H628" s="5">
        <v>36</v>
      </c>
      <c r="J628">
        <v>0</v>
      </c>
      <c r="K628">
        <v>0</v>
      </c>
      <c r="L628" s="3">
        <v>374746</v>
      </c>
      <c r="M628" s="6">
        <f t="shared" si="18"/>
        <v>8.0500000000000007</v>
      </c>
      <c r="N628" t="s">
        <v>917</v>
      </c>
      <c r="O628" t="str">
        <f t="shared" si="19"/>
        <v>Desconocido</v>
      </c>
      <c r="Q628" t="s">
        <v>905</v>
      </c>
    </row>
    <row r="629" spans="1:17" x14ac:dyDescent="0.25">
      <c r="A629">
        <v>786</v>
      </c>
      <c r="B629">
        <v>0</v>
      </c>
      <c r="C629">
        <v>3</v>
      </c>
      <c r="D629" t="s">
        <v>2062</v>
      </c>
      <c r="E629" t="s">
        <v>902</v>
      </c>
      <c r="F629">
        <f>ROUNDUP(Titanic_DATASET[[#This Row],[Age Correción 2]],0)</f>
        <v>25</v>
      </c>
      <c r="G629" s="4">
        <f>VALUE(SUBSTITUTE(Titanic_DATASET[[#This Row],[Age Correción.]],".",","))</f>
        <v>25</v>
      </c>
      <c r="H629" s="5">
        <v>25</v>
      </c>
      <c r="I629">
        <v>25</v>
      </c>
      <c r="J629">
        <v>0</v>
      </c>
      <c r="K629">
        <v>0</v>
      </c>
      <c r="L629" s="3">
        <v>374887</v>
      </c>
      <c r="M629" s="6">
        <f t="shared" si="18"/>
        <v>7.25</v>
      </c>
      <c r="N629" t="s">
        <v>904</v>
      </c>
      <c r="O629" t="str">
        <f t="shared" si="19"/>
        <v>Desconocido</v>
      </c>
      <c r="Q629" t="s">
        <v>905</v>
      </c>
    </row>
    <row r="630" spans="1:17" x14ac:dyDescent="0.25">
      <c r="A630">
        <v>96</v>
      </c>
      <c r="B630">
        <v>0</v>
      </c>
      <c r="C630">
        <v>3</v>
      </c>
      <c r="D630" t="s">
        <v>1066</v>
      </c>
      <c r="E630" t="s">
        <v>902</v>
      </c>
      <c r="F630">
        <f>ROUNDUP(Titanic_DATASET[[#This Row],[Age Correción 2]],0)</f>
        <v>2</v>
      </c>
      <c r="G630" s="4">
        <f>VALUE(SUBSTITUTE(Titanic_DATASET[[#This Row],[Age Correción.]],".",","))</f>
        <v>2</v>
      </c>
      <c r="H630" s="5">
        <v>2</v>
      </c>
      <c r="J630">
        <v>0</v>
      </c>
      <c r="K630">
        <v>0</v>
      </c>
      <c r="L630" s="3">
        <v>374910</v>
      </c>
      <c r="M630" s="6">
        <f t="shared" si="18"/>
        <v>8.0500000000000007</v>
      </c>
      <c r="N630" t="s">
        <v>917</v>
      </c>
      <c r="O630" t="str">
        <f t="shared" si="19"/>
        <v>Desconocido</v>
      </c>
      <c r="Q630" t="s">
        <v>905</v>
      </c>
    </row>
    <row r="631" spans="1:17" x14ac:dyDescent="0.25">
      <c r="A631">
        <v>432</v>
      </c>
      <c r="B631">
        <v>1</v>
      </c>
      <c r="C631">
        <v>3</v>
      </c>
      <c r="D631" t="s">
        <v>1582</v>
      </c>
      <c r="E631" t="s">
        <v>907</v>
      </c>
      <c r="F631">
        <f>ROUNDUP(Titanic_DATASET[[#This Row],[Age Correción 2]],0)</f>
        <v>65</v>
      </c>
      <c r="G631" s="4">
        <f>VALUE(SUBSTITUTE(Titanic_DATASET[[#This Row],[Age Correción.]],".",","))</f>
        <v>65</v>
      </c>
      <c r="H631" s="5">
        <v>65</v>
      </c>
      <c r="J631">
        <v>1</v>
      </c>
      <c r="K631">
        <v>0</v>
      </c>
      <c r="L631" s="3">
        <v>376564</v>
      </c>
      <c r="M631" s="6">
        <f t="shared" si="18"/>
        <v>16.100000000000001</v>
      </c>
      <c r="N631" t="s">
        <v>1177</v>
      </c>
      <c r="O631" t="str">
        <f t="shared" si="19"/>
        <v>Desconocido</v>
      </c>
      <c r="Q631" t="s">
        <v>905</v>
      </c>
    </row>
    <row r="632" spans="1:17" x14ac:dyDescent="0.25">
      <c r="A632">
        <v>640</v>
      </c>
      <c r="B632">
        <v>0</v>
      </c>
      <c r="C632">
        <v>3</v>
      </c>
      <c r="D632" t="s">
        <v>1873</v>
      </c>
      <c r="E632" t="s">
        <v>902</v>
      </c>
      <c r="F632">
        <f>ROUNDUP(Titanic_DATASET[[#This Row],[Age Correción 2]],0)</f>
        <v>43</v>
      </c>
      <c r="G632" s="4">
        <f>VALUE(SUBSTITUTE(Titanic_DATASET[[#This Row],[Age Correción.]],".",","))</f>
        <v>43</v>
      </c>
      <c r="H632" s="5">
        <v>43</v>
      </c>
      <c r="J632">
        <v>1</v>
      </c>
      <c r="K632">
        <v>0</v>
      </c>
      <c r="L632" s="3">
        <v>376564</v>
      </c>
      <c r="M632" s="6">
        <f t="shared" si="18"/>
        <v>16.100000000000001</v>
      </c>
      <c r="N632" t="s">
        <v>1177</v>
      </c>
      <c r="O632" t="str">
        <f t="shared" si="19"/>
        <v>Desconocido</v>
      </c>
      <c r="Q632" t="s">
        <v>905</v>
      </c>
    </row>
    <row r="633" spans="1:17" x14ac:dyDescent="0.25">
      <c r="A633">
        <v>744</v>
      </c>
      <c r="B633">
        <v>0</v>
      </c>
      <c r="C633">
        <v>3</v>
      </c>
      <c r="D633" t="s">
        <v>2006</v>
      </c>
      <c r="E633" t="s">
        <v>902</v>
      </c>
      <c r="F633">
        <f>ROUNDUP(Titanic_DATASET[[#This Row],[Age Correción 2]],0)</f>
        <v>24</v>
      </c>
      <c r="G633" s="4">
        <f>VALUE(SUBSTITUTE(Titanic_DATASET[[#This Row],[Age Correción.]],".",","))</f>
        <v>24</v>
      </c>
      <c r="H633" s="5">
        <v>24</v>
      </c>
      <c r="I633">
        <v>24</v>
      </c>
      <c r="J633">
        <v>1</v>
      </c>
      <c r="K633">
        <v>0</v>
      </c>
      <c r="L633" s="3">
        <v>376566</v>
      </c>
      <c r="M633" s="6">
        <f t="shared" si="18"/>
        <v>16.100000000000001</v>
      </c>
      <c r="N633" t="s">
        <v>1177</v>
      </c>
      <c r="O633" t="str">
        <f t="shared" si="19"/>
        <v>Desconocido</v>
      </c>
      <c r="Q633" t="s">
        <v>905</v>
      </c>
    </row>
    <row r="634" spans="1:17" x14ac:dyDescent="0.25">
      <c r="A634">
        <v>265</v>
      </c>
      <c r="B634">
        <v>0</v>
      </c>
      <c r="C634">
        <v>3</v>
      </c>
      <c r="D634" t="s">
        <v>1336</v>
      </c>
      <c r="E634" t="s">
        <v>907</v>
      </c>
      <c r="F634">
        <f>ROUNDUP(Titanic_DATASET[[#This Row],[Age Correción 2]],0)</f>
        <v>15</v>
      </c>
      <c r="G634" s="4">
        <f>VALUE(SUBSTITUTE(Titanic_DATASET[[#This Row],[Age Correción.]],".",","))</f>
        <v>15</v>
      </c>
      <c r="H634" s="5">
        <v>15</v>
      </c>
      <c r="J634">
        <v>0</v>
      </c>
      <c r="K634">
        <v>0</v>
      </c>
      <c r="L634" s="3">
        <v>382649</v>
      </c>
      <c r="M634" s="6">
        <f t="shared" si="18"/>
        <v>7.75</v>
      </c>
      <c r="N634" t="s">
        <v>961</v>
      </c>
      <c r="O634" t="str">
        <f t="shared" si="19"/>
        <v>Desconocido</v>
      </c>
      <c r="Q634" t="s">
        <v>919</v>
      </c>
    </row>
    <row r="635" spans="1:17" x14ac:dyDescent="0.25">
      <c r="A635">
        <v>511</v>
      </c>
      <c r="B635">
        <v>1</v>
      </c>
      <c r="C635">
        <v>3</v>
      </c>
      <c r="D635" t="s">
        <v>1694</v>
      </c>
      <c r="E635" t="s">
        <v>902</v>
      </c>
      <c r="F635">
        <f>ROUNDUP(Titanic_DATASET[[#This Row],[Age Correción 2]],0)</f>
        <v>29</v>
      </c>
      <c r="G635" s="4">
        <f>VALUE(SUBSTITUTE(Titanic_DATASET[[#This Row],[Age Correción.]],".",","))</f>
        <v>29</v>
      </c>
      <c r="H635" s="5">
        <v>29</v>
      </c>
      <c r="I635">
        <v>29</v>
      </c>
      <c r="J635">
        <v>0</v>
      </c>
      <c r="K635">
        <v>0</v>
      </c>
      <c r="L635" s="3">
        <v>382651</v>
      </c>
      <c r="M635" s="6">
        <f t="shared" si="18"/>
        <v>7.75</v>
      </c>
      <c r="N635" t="s">
        <v>961</v>
      </c>
      <c r="O635" t="str">
        <f t="shared" si="19"/>
        <v>Desconocido</v>
      </c>
      <c r="Q635" t="s">
        <v>919</v>
      </c>
    </row>
    <row r="636" spans="1:17" x14ac:dyDescent="0.25">
      <c r="A636">
        <v>17</v>
      </c>
      <c r="B636">
        <v>0</v>
      </c>
      <c r="C636">
        <v>3</v>
      </c>
      <c r="D636" t="s">
        <v>937</v>
      </c>
      <c r="E636" t="s">
        <v>902</v>
      </c>
      <c r="F636">
        <f>ROUNDUP(Titanic_DATASET[[#This Row],[Age Correción 2]],0)</f>
        <v>2</v>
      </c>
      <c r="G636" s="4">
        <f>VALUE(SUBSTITUTE(Titanic_DATASET[[#This Row],[Age Correción.]],".",","))</f>
        <v>2</v>
      </c>
      <c r="H636" s="5">
        <v>2</v>
      </c>
      <c r="I636">
        <v>2</v>
      </c>
      <c r="J636">
        <v>4</v>
      </c>
      <c r="K636">
        <v>1</v>
      </c>
      <c r="L636" s="3">
        <v>382652</v>
      </c>
      <c r="M636" s="6">
        <f t="shared" si="18"/>
        <v>29125</v>
      </c>
      <c r="N636" s="1">
        <v>29125</v>
      </c>
      <c r="O636" s="1" t="str">
        <f t="shared" si="19"/>
        <v>Desconocido</v>
      </c>
      <c r="Q636" t="s">
        <v>919</v>
      </c>
    </row>
    <row r="637" spans="1:17" x14ac:dyDescent="0.25">
      <c r="A637">
        <v>172</v>
      </c>
      <c r="B637">
        <v>0</v>
      </c>
      <c r="C637">
        <v>3</v>
      </c>
      <c r="D637" t="s">
        <v>1194</v>
      </c>
      <c r="E637" t="s">
        <v>902</v>
      </c>
      <c r="F637">
        <f>ROUNDUP(Titanic_DATASET[[#This Row],[Age Correción 2]],0)</f>
        <v>4</v>
      </c>
      <c r="G637" s="4">
        <f>VALUE(SUBSTITUTE(Titanic_DATASET[[#This Row],[Age Correción.]],".",","))</f>
        <v>4</v>
      </c>
      <c r="H637" s="5">
        <v>4</v>
      </c>
      <c r="I637">
        <v>4</v>
      </c>
      <c r="J637">
        <v>4</v>
      </c>
      <c r="K637">
        <v>1</v>
      </c>
      <c r="L637" s="3">
        <v>382652</v>
      </c>
      <c r="M637" s="6">
        <f t="shared" si="18"/>
        <v>29125</v>
      </c>
      <c r="N637" s="1">
        <v>29125</v>
      </c>
      <c r="O637" s="1" t="str">
        <f t="shared" si="19"/>
        <v>Desconocido</v>
      </c>
      <c r="Q637" t="s">
        <v>919</v>
      </c>
    </row>
    <row r="638" spans="1:17" x14ac:dyDescent="0.25">
      <c r="A638">
        <v>279</v>
      </c>
      <c r="B638">
        <v>0</v>
      </c>
      <c r="C638">
        <v>3</v>
      </c>
      <c r="D638" t="s">
        <v>1360</v>
      </c>
      <c r="E638" t="s">
        <v>902</v>
      </c>
      <c r="F638">
        <f>ROUNDUP(Titanic_DATASET[[#This Row],[Age Correción 2]],0)</f>
        <v>7</v>
      </c>
      <c r="G638" s="4">
        <f>VALUE(SUBSTITUTE(Titanic_DATASET[[#This Row],[Age Correción.]],".",","))</f>
        <v>7</v>
      </c>
      <c r="H638" s="5">
        <v>7</v>
      </c>
      <c r="I638">
        <v>7</v>
      </c>
      <c r="J638">
        <v>4</v>
      </c>
      <c r="K638">
        <v>1</v>
      </c>
      <c r="L638" s="3">
        <v>382652</v>
      </c>
      <c r="M638" s="6">
        <f t="shared" si="18"/>
        <v>29125</v>
      </c>
      <c r="N638" s="1">
        <v>29125</v>
      </c>
      <c r="O638" s="1" t="str">
        <f t="shared" si="19"/>
        <v>Desconocido</v>
      </c>
      <c r="Q638" t="s">
        <v>919</v>
      </c>
    </row>
    <row r="639" spans="1:17" x14ac:dyDescent="0.25">
      <c r="A639">
        <v>788</v>
      </c>
      <c r="B639">
        <v>0</v>
      </c>
      <c r="C639">
        <v>3</v>
      </c>
      <c r="D639" t="s">
        <v>2064</v>
      </c>
      <c r="E639" t="s">
        <v>902</v>
      </c>
      <c r="F639">
        <f>ROUNDUP(Titanic_DATASET[[#This Row],[Age Correción 2]],0)</f>
        <v>8</v>
      </c>
      <c r="G639" s="4">
        <f>VALUE(SUBSTITUTE(Titanic_DATASET[[#This Row],[Age Correción.]],".",","))</f>
        <v>8</v>
      </c>
      <c r="H639" s="5">
        <v>8</v>
      </c>
      <c r="I639">
        <v>8</v>
      </c>
      <c r="J639">
        <v>4</v>
      </c>
      <c r="K639">
        <v>1</v>
      </c>
      <c r="L639" s="3">
        <v>382652</v>
      </c>
      <c r="M639" s="6">
        <f t="shared" si="18"/>
        <v>29125</v>
      </c>
      <c r="N639" s="1">
        <v>29125</v>
      </c>
      <c r="O639" s="1" t="str">
        <f t="shared" si="19"/>
        <v>Desconocido</v>
      </c>
      <c r="Q639" t="s">
        <v>919</v>
      </c>
    </row>
    <row r="640" spans="1:17" x14ac:dyDescent="0.25">
      <c r="A640">
        <v>886</v>
      </c>
      <c r="B640">
        <v>0</v>
      </c>
      <c r="C640">
        <v>3</v>
      </c>
      <c r="D640" t="s">
        <v>2191</v>
      </c>
      <c r="E640" t="s">
        <v>907</v>
      </c>
      <c r="F640">
        <f>ROUNDUP(Titanic_DATASET[[#This Row],[Age Correción 2]],0)</f>
        <v>39</v>
      </c>
      <c r="G640" s="4">
        <f>VALUE(SUBSTITUTE(Titanic_DATASET[[#This Row],[Age Correción.]],".",","))</f>
        <v>39</v>
      </c>
      <c r="H640" s="5">
        <v>39</v>
      </c>
      <c r="I640">
        <v>39</v>
      </c>
      <c r="J640">
        <v>0</v>
      </c>
      <c r="K640">
        <v>5</v>
      </c>
      <c r="L640" s="3">
        <v>382652</v>
      </c>
      <c r="M640" s="6">
        <f t="shared" si="18"/>
        <v>29125</v>
      </c>
      <c r="N640" s="1">
        <v>29125</v>
      </c>
      <c r="O640" s="1" t="str">
        <f t="shared" si="19"/>
        <v>Desconocido</v>
      </c>
      <c r="Q640" t="s">
        <v>919</v>
      </c>
    </row>
    <row r="641" spans="1:17" x14ac:dyDescent="0.25">
      <c r="A641">
        <v>777</v>
      </c>
      <c r="B641">
        <v>0</v>
      </c>
      <c r="C641">
        <v>3</v>
      </c>
      <c r="D641" t="s">
        <v>2047</v>
      </c>
      <c r="E641" t="s">
        <v>902</v>
      </c>
      <c r="F641">
        <f>ROUNDUP(Titanic_DATASET[[#This Row],[Age Correción 2]],0)</f>
        <v>24</v>
      </c>
      <c r="G641" s="4">
        <f>VALUE(SUBSTITUTE(Titanic_DATASET[[#This Row],[Age Correción.]],".",","))</f>
        <v>24</v>
      </c>
      <c r="H641" s="5">
        <v>24</v>
      </c>
      <c r="J641">
        <v>0</v>
      </c>
      <c r="K641">
        <v>0</v>
      </c>
      <c r="L641" s="3">
        <v>383121</v>
      </c>
      <c r="M641" s="6">
        <f t="shared" si="18"/>
        <v>7.75</v>
      </c>
      <c r="N641" t="s">
        <v>961</v>
      </c>
      <c r="O641" t="str">
        <f t="shared" si="19"/>
        <v>F38</v>
      </c>
      <c r="P641" t="s">
        <v>2048</v>
      </c>
      <c r="Q641" t="s">
        <v>919</v>
      </c>
    </row>
    <row r="642" spans="1:17" x14ac:dyDescent="0.25">
      <c r="A642">
        <v>261</v>
      </c>
      <c r="B642">
        <v>0</v>
      </c>
      <c r="C642">
        <v>3</v>
      </c>
      <c r="D642" t="s">
        <v>1329</v>
      </c>
      <c r="E642" t="s">
        <v>902</v>
      </c>
      <c r="F642">
        <f>ROUNDUP(Titanic_DATASET[[#This Row],[Age Correción 2]],0)</f>
        <v>56</v>
      </c>
      <c r="G642" s="4">
        <f>VALUE(SUBSTITUTE(Titanic_DATASET[[#This Row],[Age Correción.]],".",","))</f>
        <v>56</v>
      </c>
      <c r="H642" s="5">
        <v>56</v>
      </c>
      <c r="J642">
        <v>0</v>
      </c>
      <c r="K642">
        <v>0</v>
      </c>
      <c r="L642" s="3">
        <v>384461</v>
      </c>
      <c r="M642" s="6">
        <f t="shared" si="18"/>
        <v>7.75</v>
      </c>
      <c r="N642" t="s">
        <v>961</v>
      </c>
      <c r="O642" t="str">
        <f t="shared" si="19"/>
        <v>Desconocido</v>
      </c>
      <c r="Q642" t="s">
        <v>919</v>
      </c>
    </row>
    <row r="643" spans="1:17" x14ac:dyDescent="0.25">
      <c r="A643">
        <v>348</v>
      </c>
      <c r="B643">
        <v>1</v>
      </c>
      <c r="C643">
        <v>3</v>
      </c>
      <c r="D643" t="s">
        <v>1470</v>
      </c>
      <c r="E643" t="s">
        <v>907</v>
      </c>
      <c r="F643">
        <f>ROUNDUP(Titanic_DATASET[[#This Row],[Age Correción 2]],0)</f>
        <v>21</v>
      </c>
      <c r="G643" s="4">
        <f>VALUE(SUBSTITUTE(Titanic_DATASET[[#This Row],[Age Correción.]],".",","))</f>
        <v>21</v>
      </c>
      <c r="H643" s="5">
        <v>21</v>
      </c>
      <c r="J643">
        <v>1</v>
      </c>
      <c r="K643">
        <v>0</v>
      </c>
      <c r="L643" s="3">
        <v>386525</v>
      </c>
      <c r="M643" s="6">
        <f t="shared" si="18"/>
        <v>16.100000000000001</v>
      </c>
      <c r="N643" t="s">
        <v>1177</v>
      </c>
      <c r="O643" t="str">
        <f t="shared" si="19"/>
        <v>Desconocido</v>
      </c>
      <c r="Q643" t="s">
        <v>905</v>
      </c>
    </row>
    <row r="644" spans="1:17" x14ac:dyDescent="0.25">
      <c r="A644">
        <v>856</v>
      </c>
      <c r="B644">
        <v>1</v>
      </c>
      <c r="C644">
        <v>3</v>
      </c>
      <c r="D644" t="s">
        <v>2154</v>
      </c>
      <c r="E644" t="s">
        <v>907</v>
      </c>
      <c r="F644">
        <f>ROUNDUP(Titanic_DATASET[[#This Row],[Age Correción 2]],0)</f>
        <v>18</v>
      </c>
      <c r="G644" s="4">
        <f>VALUE(SUBSTITUTE(Titanic_DATASET[[#This Row],[Age Correción.]],".",","))</f>
        <v>18</v>
      </c>
      <c r="H644" s="5">
        <v>18</v>
      </c>
      <c r="I644">
        <v>18</v>
      </c>
      <c r="J644">
        <v>0</v>
      </c>
      <c r="K644">
        <v>1</v>
      </c>
      <c r="L644" s="3">
        <v>392091</v>
      </c>
      <c r="M644" s="6">
        <f t="shared" ref="M644:M707" si="20">VALUE(SUBSTITUTE(N644,".",","))</f>
        <v>9.35</v>
      </c>
      <c r="N644" t="s">
        <v>1274</v>
      </c>
      <c r="O644" t="str">
        <f t="shared" ref="O644:O707" si="21">IF(ISBLANK(P644),"Desconocido",P644)</f>
        <v>Desconocido</v>
      </c>
      <c r="Q644" t="s">
        <v>905</v>
      </c>
    </row>
    <row r="645" spans="1:17" x14ac:dyDescent="0.25">
      <c r="A645">
        <v>838</v>
      </c>
      <c r="B645">
        <v>0</v>
      </c>
      <c r="C645">
        <v>3</v>
      </c>
      <c r="D645" t="s">
        <v>2129</v>
      </c>
      <c r="E645" t="s">
        <v>902</v>
      </c>
      <c r="F645">
        <f>ROUNDUP(Titanic_DATASET[[#This Row],[Age Correción 2]],0)</f>
        <v>80</v>
      </c>
      <c r="G645" s="4">
        <f>VALUE(SUBSTITUTE(Titanic_DATASET[[#This Row],[Age Correción.]],".",","))</f>
        <v>80</v>
      </c>
      <c r="H645" s="5">
        <v>80</v>
      </c>
      <c r="J645">
        <v>0</v>
      </c>
      <c r="K645">
        <v>0</v>
      </c>
      <c r="L645" s="3">
        <v>392092</v>
      </c>
      <c r="M645" s="6">
        <f t="shared" si="20"/>
        <v>8.0500000000000007</v>
      </c>
      <c r="N645" t="s">
        <v>917</v>
      </c>
      <c r="O645" t="str">
        <f t="shared" si="21"/>
        <v>Desconocido</v>
      </c>
      <c r="Q645" t="s">
        <v>905</v>
      </c>
    </row>
    <row r="646" spans="1:17" x14ac:dyDescent="0.25">
      <c r="A646">
        <v>752</v>
      </c>
      <c r="B646">
        <v>1</v>
      </c>
      <c r="C646">
        <v>3</v>
      </c>
      <c r="D646" t="s">
        <v>2016</v>
      </c>
      <c r="E646" t="s">
        <v>902</v>
      </c>
      <c r="F646">
        <f>ROUNDUP(Titanic_DATASET[[#This Row],[Age Correción 2]],0)</f>
        <v>6</v>
      </c>
      <c r="G646" s="4">
        <f>VALUE(SUBSTITUTE(Titanic_DATASET[[#This Row],[Age Correción.]],".",","))</f>
        <v>6</v>
      </c>
      <c r="H646" s="5">
        <v>6</v>
      </c>
      <c r="I646">
        <v>6</v>
      </c>
      <c r="J646">
        <v>0</v>
      </c>
      <c r="K646">
        <v>1</v>
      </c>
      <c r="L646" s="3">
        <v>392096</v>
      </c>
      <c r="M646" s="6">
        <f t="shared" si="20"/>
        <v>12475</v>
      </c>
      <c r="N646" s="1">
        <v>12475</v>
      </c>
      <c r="O646" s="1" t="str">
        <f t="shared" si="21"/>
        <v>E121</v>
      </c>
      <c r="P646" t="s">
        <v>2017</v>
      </c>
      <c r="Q646" t="s">
        <v>905</v>
      </c>
    </row>
    <row r="647" spans="1:17" x14ac:dyDescent="0.25">
      <c r="A647">
        <v>824</v>
      </c>
      <c r="B647">
        <v>1</v>
      </c>
      <c r="C647">
        <v>3</v>
      </c>
      <c r="D647" t="s">
        <v>2111</v>
      </c>
      <c r="E647" t="s">
        <v>907</v>
      </c>
      <c r="F647">
        <f>ROUNDUP(Titanic_DATASET[[#This Row],[Age Correción 2]],0)</f>
        <v>27</v>
      </c>
      <c r="G647" s="4">
        <f>VALUE(SUBSTITUTE(Titanic_DATASET[[#This Row],[Age Correción.]],".",","))</f>
        <v>27</v>
      </c>
      <c r="H647" s="5">
        <v>27</v>
      </c>
      <c r="I647">
        <v>27</v>
      </c>
      <c r="J647">
        <v>0</v>
      </c>
      <c r="K647">
        <v>1</v>
      </c>
      <c r="L647" s="3">
        <v>392096</v>
      </c>
      <c r="M647" s="6">
        <f t="shared" si="20"/>
        <v>12475</v>
      </c>
      <c r="N647" s="1">
        <v>12475</v>
      </c>
      <c r="O647" s="1" t="str">
        <f t="shared" si="21"/>
        <v>E121</v>
      </c>
      <c r="P647" t="s">
        <v>2017</v>
      </c>
      <c r="Q647" t="s">
        <v>905</v>
      </c>
    </row>
    <row r="648" spans="1:17" x14ac:dyDescent="0.25">
      <c r="A648">
        <v>412</v>
      </c>
      <c r="B648">
        <v>0</v>
      </c>
      <c r="C648">
        <v>3</v>
      </c>
      <c r="D648" t="s">
        <v>1556</v>
      </c>
      <c r="E648" t="s">
        <v>902</v>
      </c>
      <c r="F648">
        <f>ROUNDUP(Titanic_DATASET[[#This Row],[Age Correción 2]],0)</f>
        <v>41</v>
      </c>
      <c r="G648" s="4">
        <f>VALUE(SUBSTITUTE(Titanic_DATASET[[#This Row],[Age Correción.]],".",","))</f>
        <v>41</v>
      </c>
      <c r="H648" s="5">
        <v>41</v>
      </c>
      <c r="J648">
        <v>0</v>
      </c>
      <c r="K648">
        <v>0</v>
      </c>
      <c r="L648" s="3">
        <v>394140</v>
      </c>
      <c r="M648" s="6">
        <f t="shared" si="20"/>
        <v>68583</v>
      </c>
      <c r="N648" s="1">
        <v>68583</v>
      </c>
      <c r="O648" s="1" t="str">
        <f t="shared" si="21"/>
        <v>Desconocido</v>
      </c>
      <c r="Q648" t="s">
        <v>919</v>
      </c>
    </row>
    <row r="649" spans="1:17" x14ac:dyDescent="0.25">
      <c r="A649">
        <v>203</v>
      </c>
      <c r="B649">
        <v>0</v>
      </c>
      <c r="C649">
        <v>3</v>
      </c>
      <c r="D649" t="s">
        <v>1237</v>
      </c>
      <c r="E649" t="s">
        <v>902</v>
      </c>
      <c r="F649">
        <f>ROUNDUP(Titanic_DATASET[[#This Row],[Age Correción 2]],0)</f>
        <v>34</v>
      </c>
      <c r="G649" s="4">
        <f>VALUE(SUBSTITUTE(Titanic_DATASET[[#This Row],[Age Correción.]],".",","))</f>
        <v>34</v>
      </c>
      <c r="H649" s="5">
        <v>34</v>
      </c>
      <c r="I649">
        <v>34</v>
      </c>
      <c r="J649">
        <v>0</v>
      </c>
      <c r="K649">
        <v>0</v>
      </c>
      <c r="L649" s="3">
        <v>3101264</v>
      </c>
      <c r="M649" s="6">
        <f t="shared" si="20"/>
        <v>64958</v>
      </c>
      <c r="N649" s="1">
        <v>64958</v>
      </c>
      <c r="O649" s="1" t="str">
        <f t="shared" si="21"/>
        <v>Desconocido</v>
      </c>
      <c r="Q649" t="s">
        <v>905</v>
      </c>
    </row>
    <row r="650" spans="1:17" x14ac:dyDescent="0.25">
      <c r="A650">
        <v>787</v>
      </c>
      <c r="B650">
        <v>1</v>
      </c>
      <c r="C650">
        <v>3</v>
      </c>
      <c r="D650" t="s">
        <v>2063</v>
      </c>
      <c r="E650" t="s">
        <v>907</v>
      </c>
      <c r="F650">
        <f>ROUNDUP(Titanic_DATASET[[#This Row],[Age Correción 2]],0)</f>
        <v>18</v>
      </c>
      <c r="G650" s="4">
        <f>VALUE(SUBSTITUTE(Titanic_DATASET[[#This Row],[Age Correción.]],".",","))</f>
        <v>18</v>
      </c>
      <c r="H650" s="5">
        <v>18</v>
      </c>
      <c r="I650">
        <v>18</v>
      </c>
      <c r="J650">
        <v>0</v>
      </c>
      <c r="K650">
        <v>0</v>
      </c>
      <c r="L650" s="3">
        <v>3101265</v>
      </c>
      <c r="M650" s="6">
        <f t="shared" si="20"/>
        <v>74958</v>
      </c>
      <c r="N650" s="1">
        <v>74958</v>
      </c>
      <c r="O650" s="1" t="str">
        <f t="shared" si="21"/>
        <v>Desconocido</v>
      </c>
      <c r="Q650" t="s">
        <v>905</v>
      </c>
    </row>
    <row r="651" spans="1:17" x14ac:dyDescent="0.25">
      <c r="A651">
        <v>372</v>
      </c>
      <c r="B651">
        <v>0</v>
      </c>
      <c r="C651">
        <v>3</v>
      </c>
      <c r="D651" t="s">
        <v>1506</v>
      </c>
      <c r="E651" t="s">
        <v>902</v>
      </c>
      <c r="F651">
        <f>ROUNDUP(Titanic_DATASET[[#This Row],[Age Correción 2]],0)</f>
        <v>18</v>
      </c>
      <c r="G651" s="4">
        <f>VALUE(SUBSTITUTE(Titanic_DATASET[[#This Row],[Age Correción.]],".",","))</f>
        <v>18</v>
      </c>
      <c r="H651" s="5">
        <v>18</v>
      </c>
      <c r="I651">
        <v>18</v>
      </c>
      <c r="J651">
        <v>1</v>
      </c>
      <c r="K651">
        <v>0</v>
      </c>
      <c r="L651" s="3">
        <v>3101267</v>
      </c>
      <c r="M651" s="6">
        <f t="shared" si="20"/>
        <v>64958</v>
      </c>
      <c r="N651" s="1">
        <v>64958</v>
      </c>
      <c r="O651" s="1" t="str">
        <f t="shared" si="21"/>
        <v>Desconocido</v>
      </c>
      <c r="Q651" t="s">
        <v>905</v>
      </c>
    </row>
    <row r="652" spans="1:17" x14ac:dyDescent="0.25">
      <c r="A652">
        <v>105</v>
      </c>
      <c r="B652">
        <v>0</v>
      </c>
      <c r="C652">
        <v>3</v>
      </c>
      <c r="D652" t="s">
        <v>1080</v>
      </c>
      <c r="E652" t="s">
        <v>902</v>
      </c>
      <c r="F652">
        <f>ROUNDUP(Titanic_DATASET[[#This Row],[Age Correción 2]],0)</f>
        <v>37</v>
      </c>
      <c r="G652" s="4">
        <f>VALUE(SUBSTITUTE(Titanic_DATASET[[#This Row],[Age Correción.]],".",","))</f>
        <v>37</v>
      </c>
      <c r="H652" s="5">
        <v>37</v>
      </c>
      <c r="I652">
        <v>37</v>
      </c>
      <c r="J652">
        <v>2</v>
      </c>
      <c r="K652">
        <v>0</v>
      </c>
      <c r="L652" s="3">
        <v>3101276</v>
      </c>
      <c r="M652" s="6">
        <f t="shared" si="20"/>
        <v>7925</v>
      </c>
      <c r="N652" s="1">
        <v>7925</v>
      </c>
      <c r="O652" s="1" t="str">
        <f t="shared" si="21"/>
        <v>Desconocido</v>
      </c>
      <c r="Q652" t="s">
        <v>905</v>
      </c>
    </row>
    <row r="653" spans="1:17" x14ac:dyDescent="0.25">
      <c r="A653">
        <v>393</v>
      </c>
      <c r="B653">
        <v>0</v>
      </c>
      <c r="C653">
        <v>3</v>
      </c>
      <c r="D653" t="s">
        <v>1534</v>
      </c>
      <c r="E653" t="s">
        <v>902</v>
      </c>
      <c r="F653">
        <f>ROUNDUP(Titanic_DATASET[[#This Row],[Age Correción 2]],0)</f>
        <v>28</v>
      </c>
      <c r="G653" s="4">
        <f>VALUE(SUBSTITUTE(Titanic_DATASET[[#This Row],[Age Correción.]],".",","))</f>
        <v>28</v>
      </c>
      <c r="H653" s="5">
        <v>28</v>
      </c>
      <c r="I653">
        <v>28</v>
      </c>
      <c r="J653">
        <v>2</v>
      </c>
      <c r="K653">
        <v>0</v>
      </c>
      <c r="L653" s="3">
        <v>3101277</v>
      </c>
      <c r="M653" s="6">
        <f t="shared" si="20"/>
        <v>7925</v>
      </c>
      <c r="N653" s="1">
        <v>7925</v>
      </c>
      <c r="O653" s="1" t="str">
        <f t="shared" si="21"/>
        <v>Desconocido</v>
      </c>
      <c r="Q653" t="s">
        <v>905</v>
      </c>
    </row>
    <row r="654" spans="1:17" x14ac:dyDescent="0.25">
      <c r="A654">
        <v>86</v>
      </c>
      <c r="B654">
        <v>1</v>
      </c>
      <c r="C654">
        <v>3</v>
      </c>
      <c r="D654" t="s">
        <v>1050</v>
      </c>
      <c r="E654" t="s">
        <v>907</v>
      </c>
      <c r="F654">
        <f>ROUNDUP(Titanic_DATASET[[#This Row],[Age Correción 2]],0)</f>
        <v>33</v>
      </c>
      <c r="G654" s="4">
        <f>VALUE(SUBSTITUTE(Titanic_DATASET[[#This Row],[Age Correción.]],".",","))</f>
        <v>33</v>
      </c>
      <c r="H654" s="5">
        <v>33</v>
      </c>
      <c r="I654">
        <v>33</v>
      </c>
      <c r="J654">
        <v>3</v>
      </c>
      <c r="K654">
        <v>0</v>
      </c>
      <c r="L654" s="3">
        <v>3101278</v>
      </c>
      <c r="M654" s="6">
        <f t="shared" si="20"/>
        <v>15.85</v>
      </c>
      <c r="N654" t="s">
        <v>1051</v>
      </c>
      <c r="O654" t="str">
        <f t="shared" si="21"/>
        <v>Desconocido</v>
      </c>
      <c r="Q654" t="s">
        <v>905</v>
      </c>
    </row>
    <row r="655" spans="1:17" x14ac:dyDescent="0.25">
      <c r="A655">
        <v>207</v>
      </c>
      <c r="B655">
        <v>0</v>
      </c>
      <c r="C655">
        <v>3</v>
      </c>
      <c r="D655" t="s">
        <v>1243</v>
      </c>
      <c r="E655" t="s">
        <v>902</v>
      </c>
      <c r="F655">
        <f>ROUNDUP(Titanic_DATASET[[#This Row],[Age Correción 2]],0)</f>
        <v>32</v>
      </c>
      <c r="G655" s="4">
        <f>VALUE(SUBSTITUTE(Titanic_DATASET[[#This Row],[Age Correción.]],".",","))</f>
        <v>32</v>
      </c>
      <c r="H655" s="5">
        <v>32</v>
      </c>
      <c r="I655">
        <v>32</v>
      </c>
      <c r="J655">
        <v>1</v>
      </c>
      <c r="K655">
        <v>0</v>
      </c>
      <c r="L655" s="3">
        <v>3101278</v>
      </c>
      <c r="M655" s="6">
        <f t="shared" si="20"/>
        <v>15.85</v>
      </c>
      <c r="N655" t="s">
        <v>1051</v>
      </c>
      <c r="O655" t="str">
        <f t="shared" si="21"/>
        <v>Desconocido</v>
      </c>
      <c r="Q655" t="s">
        <v>905</v>
      </c>
    </row>
    <row r="656" spans="1:17" x14ac:dyDescent="0.25">
      <c r="A656">
        <v>69</v>
      </c>
      <c r="B656">
        <v>1</v>
      </c>
      <c r="C656">
        <v>3</v>
      </c>
      <c r="D656" t="s">
        <v>1024</v>
      </c>
      <c r="E656" t="s">
        <v>907</v>
      </c>
      <c r="F656">
        <f>ROUNDUP(Titanic_DATASET[[#This Row],[Age Correción 2]],0)</f>
        <v>17</v>
      </c>
      <c r="G656" s="4">
        <f>VALUE(SUBSTITUTE(Titanic_DATASET[[#This Row],[Age Correción.]],".",","))</f>
        <v>17</v>
      </c>
      <c r="H656" s="5">
        <v>17</v>
      </c>
      <c r="I656">
        <v>17</v>
      </c>
      <c r="J656">
        <v>4</v>
      </c>
      <c r="K656">
        <v>2</v>
      </c>
      <c r="L656" s="3">
        <v>3101281</v>
      </c>
      <c r="M656" s="6">
        <f t="shared" si="20"/>
        <v>7925</v>
      </c>
      <c r="N656" s="1">
        <v>7925</v>
      </c>
      <c r="O656" s="1" t="str">
        <f t="shared" si="21"/>
        <v>Desconocido</v>
      </c>
      <c r="Q656" t="s">
        <v>905</v>
      </c>
    </row>
    <row r="657" spans="1:17" x14ac:dyDescent="0.25">
      <c r="A657">
        <v>51</v>
      </c>
      <c r="B657">
        <v>0</v>
      </c>
      <c r="C657">
        <v>3</v>
      </c>
      <c r="D657" t="s">
        <v>987</v>
      </c>
      <c r="E657" t="s">
        <v>902</v>
      </c>
      <c r="F657">
        <f>ROUNDUP(Titanic_DATASET[[#This Row],[Age Correción 2]],0)</f>
        <v>7</v>
      </c>
      <c r="G657" s="4">
        <f>VALUE(SUBSTITUTE(Titanic_DATASET[[#This Row],[Age Correción.]],".",","))</f>
        <v>7</v>
      </c>
      <c r="H657" s="5">
        <v>7</v>
      </c>
      <c r="I657">
        <v>7</v>
      </c>
      <c r="J657">
        <v>4</v>
      </c>
      <c r="K657">
        <v>1</v>
      </c>
      <c r="L657" s="3">
        <v>3101295</v>
      </c>
      <c r="M657" s="6">
        <f t="shared" si="20"/>
        <v>396875</v>
      </c>
      <c r="N657" s="1">
        <v>396875</v>
      </c>
      <c r="O657" s="1" t="str">
        <f t="shared" si="21"/>
        <v>Desconocido</v>
      </c>
      <c r="Q657" t="s">
        <v>905</v>
      </c>
    </row>
    <row r="658" spans="1:17" x14ac:dyDescent="0.25">
      <c r="A658">
        <v>165</v>
      </c>
      <c r="B658">
        <v>0</v>
      </c>
      <c r="C658">
        <v>3</v>
      </c>
      <c r="D658" t="s">
        <v>1183</v>
      </c>
      <c r="E658" t="s">
        <v>902</v>
      </c>
      <c r="F658">
        <f>ROUNDUP(Titanic_DATASET[[#This Row],[Age Correción 2]],0)</f>
        <v>1</v>
      </c>
      <c r="G658" s="4">
        <f>VALUE(SUBSTITUTE(Titanic_DATASET[[#This Row],[Age Correción.]],".",","))</f>
        <v>1</v>
      </c>
      <c r="H658" s="5">
        <v>1</v>
      </c>
      <c r="I658">
        <v>1</v>
      </c>
      <c r="J658">
        <v>4</v>
      </c>
      <c r="K658">
        <v>1</v>
      </c>
      <c r="L658" s="3">
        <v>3101295</v>
      </c>
      <c r="M658" s="6">
        <f t="shared" si="20"/>
        <v>396875</v>
      </c>
      <c r="N658" s="1">
        <v>396875</v>
      </c>
      <c r="O658" s="1" t="str">
        <f t="shared" si="21"/>
        <v>Desconocido</v>
      </c>
      <c r="Q658" t="s">
        <v>905</v>
      </c>
    </row>
    <row r="659" spans="1:17" x14ac:dyDescent="0.25">
      <c r="A659">
        <v>267</v>
      </c>
      <c r="B659">
        <v>0</v>
      </c>
      <c r="C659">
        <v>3</v>
      </c>
      <c r="D659" t="s">
        <v>1339</v>
      </c>
      <c r="E659" t="s">
        <v>902</v>
      </c>
      <c r="F659">
        <f>ROUNDUP(Titanic_DATASET[[#This Row],[Age Correción 2]],0)</f>
        <v>16</v>
      </c>
      <c r="G659" s="4">
        <f>VALUE(SUBSTITUTE(Titanic_DATASET[[#This Row],[Age Correción.]],".",","))</f>
        <v>16</v>
      </c>
      <c r="H659" s="5">
        <v>16</v>
      </c>
      <c r="I659">
        <v>16</v>
      </c>
      <c r="J659">
        <v>4</v>
      </c>
      <c r="K659">
        <v>1</v>
      </c>
      <c r="L659" s="3">
        <v>3101295</v>
      </c>
      <c r="M659" s="6">
        <f t="shared" si="20"/>
        <v>396875</v>
      </c>
      <c r="N659" s="1">
        <v>396875</v>
      </c>
      <c r="O659" s="1" t="str">
        <f t="shared" si="21"/>
        <v>Desconocido</v>
      </c>
      <c r="Q659" t="s">
        <v>905</v>
      </c>
    </row>
    <row r="660" spans="1:17" x14ac:dyDescent="0.25">
      <c r="A660">
        <v>639</v>
      </c>
      <c r="B660">
        <v>0</v>
      </c>
      <c r="C660">
        <v>3</v>
      </c>
      <c r="D660" t="s">
        <v>1872</v>
      </c>
      <c r="E660" t="s">
        <v>907</v>
      </c>
      <c r="F660">
        <f>ROUNDUP(Titanic_DATASET[[#This Row],[Age Correción 2]],0)</f>
        <v>41</v>
      </c>
      <c r="G660" s="4">
        <f>VALUE(SUBSTITUTE(Titanic_DATASET[[#This Row],[Age Correción.]],".",","))</f>
        <v>41</v>
      </c>
      <c r="H660" s="5">
        <v>41</v>
      </c>
      <c r="I660">
        <v>41</v>
      </c>
      <c r="J660">
        <v>0</v>
      </c>
      <c r="K660">
        <v>5</v>
      </c>
      <c r="L660" s="3">
        <v>3101295</v>
      </c>
      <c r="M660" s="6">
        <f t="shared" si="20"/>
        <v>396875</v>
      </c>
      <c r="N660" s="1">
        <v>396875</v>
      </c>
      <c r="O660" s="1" t="str">
        <f t="shared" si="21"/>
        <v>Desconocido</v>
      </c>
      <c r="Q660" t="s">
        <v>905</v>
      </c>
    </row>
    <row r="661" spans="1:17" x14ac:dyDescent="0.25">
      <c r="A661">
        <v>687</v>
      </c>
      <c r="B661">
        <v>0</v>
      </c>
      <c r="C661">
        <v>3</v>
      </c>
      <c r="D661" t="s">
        <v>1934</v>
      </c>
      <c r="E661" t="s">
        <v>902</v>
      </c>
      <c r="F661">
        <f>ROUNDUP(Titanic_DATASET[[#This Row],[Age Correción 2]],0)</f>
        <v>14</v>
      </c>
      <c r="G661" s="4">
        <f>VALUE(SUBSTITUTE(Titanic_DATASET[[#This Row],[Age Correción.]],".",","))</f>
        <v>14</v>
      </c>
      <c r="H661" s="5">
        <v>14</v>
      </c>
      <c r="I661">
        <v>14</v>
      </c>
      <c r="J661">
        <v>4</v>
      </c>
      <c r="K661">
        <v>1</v>
      </c>
      <c r="L661" s="3">
        <v>3101295</v>
      </c>
      <c r="M661" s="6">
        <f t="shared" si="20"/>
        <v>396875</v>
      </c>
      <c r="N661" s="1">
        <v>396875</v>
      </c>
      <c r="O661" s="1" t="str">
        <f t="shared" si="21"/>
        <v>Desconocido</v>
      </c>
      <c r="Q661" t="s">
        <v>905</v>
      </c>
    </row>
    <row r="662" spans="1:17" x14ac:dyDescent="0.25">
      <c r="A662">
        <v>825</v>
      </c>
      <c r="B662">
        <v>0</v>
      </c>
      <c r="C662">
        <v>3</v>
      </c>
      <c r="D662" t="s">
        <v>2112</v>
      </c>
      <c r="E662" t="s">
        <v>902</v>
      </c>
      <c r="F662">
        <f>ROUNDUP(Titanic_DATASET[[#This Row],[Age Correción 2]],0)</f>
        <v>2</v>
      </c>
      <c r="G662" s="4">
        <f>VALUE(SUBSTITUTE(Titanic_DATASET[[#This Row],[Age Correción.]],".",","))</f>
        <v>2</v>
      </c>
      <c r="H662" s="5">
        <v>2</v>
      </c>
      <c r="I662">
        <v>2</v>
      </c>
      <c r="J662">
        <v>4</v>
      </c>
      <c r="K662">
        <v>1</v>
      </c>
      <c r="L662" s="3">
        <v>3101295</v>
      </c>
      <c r="M662" s="6">
        <f t="shared" si="20"/>
        <v>396875</v>
      </c>
      <c r="N662" s="1">
        <v>396875</v>
      </c>
      <c r="O662" s="1" t="str">
        <f t="shared" si="21"/>
        <v>Desconocido</v>
      </c>
      <c r="Q662" t="s">
        <v>905</v>
      </c>
    </row>
    <row r="663" spans="1:17" x14ac:dyDescent="0.25">
      <c r="A663">
        <v>529</v>
      </c>
      <c r="B663">
        <v>0</v>
      </c>
      <c r="C663">
        <v>3</v>
      </c>
      <c r="D663" t="s">
        <v>1724</v>
      </c>
      <c r="E663" t="s">
        <v>902</v>
      </c>
      <c r="F663">
        <f>ROUNDUP(Titanic_DATASET[[#This Row],[Age Correción 2]],0)</f>
        <v>39</v>
      </c>
      <c r="G663" s="4">
        <f>VALUE(SUBSTITUTE(Titanic_DATASET[[#This Row],[Age Correción.]],".",","))</f>
        <v>39</v>
      </c>
      <c r="H663" s="5">
        <v>39</v>
      </c>
      <c r="I663">
        <v>39</v>
      </c>
      <c r="J663">
        <v>0</v>
      </c>
      <c r="K663">
        <v>0</v>
      </c>
      <c r="L663" s="3">
        <v>3101296</v>
      </c>
      <c r="M663" s="6">
        <f t="shared" si="20"/>
        <v>7925</v>
      </c>
      <c r="N663" s="1">
        <v>7925</v>
      </c>
      <c r="O663" s="1" t="str">
        <f t="shared" si="21"/>
        <v>Desconocido</v>
      </c>
      <c r="Q663" t="s">
        <v>905</v>
      </c>
    </row>
    <row r="664" spans="1:17" x14ac:dyDescent="0.25">
      <c r="A664">
        <v>480</v>
      </c>
      <c r="B664">
        <v>1</v>
      </c>
      <c r="C664">
        <v>3</v>
      </c>
      <c r="D664" t="s">
        <v>1651</v>
      </c>
      <c r="E664" t="s">
        <v>907</v>
      </c>
      <c r="F664">
        <f>ROUNDUP(Titanic_DATASET[[#This Row],[Age Correción 2]],0)</f>
        <v>2</v>
      </c>
      <c r="G664" s="4">
        <f>VALUE(SUBSTITUTE(Titanic_DATASET[[#This Row],[Age Correción.]],".",","))</f>
        <v>2</v>
      </c>
      <c r="H664" s="5">
        <v>2</v>
      </c>
      <c r="I664">
        <v>2</v>
      </c>
      <c r="J664">
        <v>0</v>
      </c>
      <c r="K664">
        <v>1</v>
      </c>
      <c r="L664" s="3">
        <v>3101298</v>
      </c>
      <c r="M664" s="6">
        <f t="shared" si="20"/>
        <v>122875</v>
      </c>
      <c r="N664" s="1">
        <v>122875</v>
      </c>
      <c r="O664" s="1" t="str">
        <f t="shared" si="21"/>
        <v>Desconocido</v>
      </c>
      <c r="Q664" t="s">
        <v>905</v>
      </c>
    </row>
    <row r="665" spans="1:17" x14ac:dyDescent="0.25">
      <c r="A665">
        <v>38</v>
      </c>
      <c r="B665">
        <v>0</v>
      </c>
      <c r="C665">
        <v>3</v>
      </c>
      <c r="D665" t="s">
        <v>969</v>
      </c>
      <c r="E665" t="s">
        <v>902</v>
      </c>
      <c r="F665">
        <f>ROUNDUP(Titanic_DATASET[[#This Row],[Age Correción 2]],0)</f>
        <v>21</v>
      </c>
      <c r="G665" s="4">
        <f>VALUE(SUBSTITUTE(Titanic_DATASET[[#This Row],[Age Correción.]],".",","))</f>
        <v>21</v>
      </c>
      <c r="H665" s="5">
        <v>21</v>
      </c>
      <c r="I665">
        <v>21</v>
      </c>
      <c r="J665">
        <v>0</v>
      </c>
      <c r="K665">
        <v>0</v>
      </c>
      <c r="L665" s="3" t="s">
        <v>970</v>
      </c>
      <c r="M665" s="6">
        <f t="shared" si="20"/>
        <v>8.0500000000000007</v>
      </c>
      <c r="N665" t="s">
        <v>917</v>
      </c>
      <c r="O665" t="str">
        <f t="shared" si="21"/>
        <v>Desconocido</v>
      </c>
      <c r="Q665" t="s">
        <v>905</v>
      </c>
    </row>
    <row r="666" spans="1:17" x14ac:dyDescent="0.25">
      <c r="A666">
        <v>590</v>
      </c>
      <c r="B666">
        <v>0</v>
      </c>
      <c r="C666">
        <v>3</v>
      </c>
      <c r="D666" t="s">
        <v>1809</v>
      </c>
      <c r="E666" t="s">
        <v>902</v>
      </c>
      <c r="F666">
        <f>ROUNDUP(Titanic_DATASET[[#This Row],[Age Correción 2]],0)</f>
        <v>56</v>
      </c>
      <c r="G666" s="4">
        <f>VALUE(SUBSTITUTE(Titanic_DATASET[[#This Row],[Age Correción.]],".",","))</f>
        <v>56</v>
      </c>
      <c r="H666" s="5">
        <v>56</v>
      </c>
      <c r="J666">
        <v>0</v>
      </c>
      <c r="K666">
        <v>0</v>
      </c>
      <c r="L666" s="3" t="s">
        <v>1810</v>
      </c>
      <c r="M666" s="6">
        <f t="shared" si="20"/>
        <v>8.0500000000000007</v>
      </c>
      <c r="N666" t="s">
        <v>917</v>
      </c>
      <c r="O666" t="str">
        <f t="shared" si="21"/>
        <v>Desconocido</v>
      </c>
      <c r="Q666" t="s">
        <v>905</v>
      </c>
    </row>
    <row r="667" spans="1:17" x14ac:dyDescent="0.25">
      <c r="A667">
        <v>153</v>
      </c>
      <c r="B667">
        <v>0</v>
      </c>
      <c r="C667">
        <v>3</v>
      </c>
      <c r="D667" t="s">
        <v>1159</v>
      </c>
      <c r="E667" t="s">
        <v>902</v>
      </c>
      <c r="F667">
        <f>ROUNDUP(Titanic_DATASET[[#This Row],[Age Correción 2]],0)</f>
        <v>56</v>
      </c>
      <c r="G667" s="4">
        <f>VALUE(SUBSTITUTE(Titanic_DATASET[[#This Row],[Age Correción.]],".",","))</f>
        <v>55.5</v>
      </c>
      <c r="H667" s="5" t="s">
        <v>1160</v>
      </c>
      <c r="I667" t="s">
        <v>1160</v>
      </c>
      <c r="J667">
        <v>0</v>
      </c>
      <c r="K667">
        <v>0</v>
      </c>
      <c r="L667" s="3" t="s">
        <v>1161</v>
      </c>
      <c r="M667" s="6">
        <f t="shared" si="20"/>
        <v>8.0500000000000007</v>
      </c>
      <c r="N667" t="s">
        <v>917</v>
      </c>
      <c r="O667" t="str">
        <f t="shared" si="21"/>
        <v>Desconocido</v>
      </c>
      <c r="Q667" t="s">
        <v>905</v>
      </c>
    </row>
    <row r="668" spans="1:17" x14ac:dyDescent="0.25">
      <c r="A668">
        <v>489</v>
      </c>
      <c r="B668">
        <v>0</v>
      </c>
      <c r="C668">
        <v>3</v>
      </c>
      <c r="D668" t="s">
        <v>1662</v>
      </c>
      <c r="E668" t="s">
        <v>902</v>
      </c>
      <c r="F668">
        <f>ROUNDUP(Titanic_DATASET[[#This Row],[Age Correción 2]],0)</f>
        <v>30</v>
      </c>
      <c r="G668" s="4">
        <f>VALUE(SUBSTITUTE(Titanic_DATASET[[#This Row],[Age Correción.]],".",","))</f>
        <v>30</v>
      </c>
      <c r="H668" s="5">
        <v>30</v>
      </c>
      <c r="I668">
        <v>30</v>
      </c>
      <c r="J668">
        <v>0</v>
      </c>
      <c r="K668">
        <v>0</v>
      </c>
      <c r="L668" s="3" t="s">
        <v>1663</v>
      </c>
      <c r="M668" s="6">
        <f t="shared" si="20"/>
        <v>8.0500000000000007</v>
      </c>
      <c r="N668" t="s">
        <v>917</v>
      </c>
      <c r="O668" t="str">
        <f t="shared" si="21"/>
        <v>Desconocido</v>
      </c>
      <c r="Q668" t="s">
        <v>905</v>
      </c>
    </row>
    <row r="669" spans="1:17" x14ac:dyDescent="0.25">
      <c r="A669">
        <v>495</v>
      </c>
      <c r="B669">
        <v>0</v>
      </c>
      <c r="C669">
        <v>3</v>
      </c>
      <c r="D669" t="s">
        <v>1672</v>
      </c>
      <c r="E669" t="s">
        <v>902</v>
      </c>
      <c r="F669">
        <f>ROUNDUP(Titanic_DATASET[[#This Row],[Age Correción 2]],0)</f>
        <v>21</v>
      </c>
      <c r="G669" s="4">
        <f>VALUE(SUBSTITUTE(Titanic_DATASET[[#This Row],[Age Correción.]],".",","))</f>
        <v>21</v>
      </c>
      <c r="H669" s="5">
        <v>21</v>
      </c>
      <c r="I669">
        <v>21</v>
      </c>
      <c r="J669">
        <v>0</v>
      </c>
      <c r="K669">
        <v>0</v>
      </c>
      <c r="L669" s="3" t="s">
        <v>1673</v>
      </c>
      <c r="M669" s="6">
        <f t="shared" si="20"/>
        <v>8.0500000000000007</v>
      </c>
      <c r="N669" t="s">
        <v>917</v>
      </c>
      <c r="O669" t="str">
        <f t="shared" si="21"/>
        <v>Desconocido</v>
      </c>
      <c r="Q669" t="s">
        <v>905</v>
      </c>
    </row>
    <row r="670" spans="1:17" x14ac:dyDescent="0.25">
      <c r="A670">
        <v>566</v>
      </c>
      <c r="B670">
        <v>0</v>
      </c>
      <c r="C670">
        <v>3</v>
      </c>
      <c r="D670" t="s">
        <v>1775</v>
      </c>
      <c r="E670" t="s">
        <v>902</v>
      </c>
      <c r="F670">
        <f>ROUNDUP(Titanic_DATASET[[#This Row],[Age Correción 2]],0)</f>
        <v>24</v>
      </c>
      <c r="G670" s="4">
        <f>VALUE(SUBSTITUTE(Titanic_DATASET[[#This Row],[Age Correción.]],".",","))</f>
        <v>24</v>
      </c>
      <c r="H670" s="5">
        <v>24</v>
      </c>
      <c r="I670">
        <v>24</v>
      </c>
      <c r="J670">
        <v>2</v>
      </c>
      <c r="K670">
        <v>0</v>
      </c>
      <c r="L670" s="3" t="s">
        <v>1776</v>
      </c>
      <c r="M670" s="6">
        <f t="shared" si="20"/>
        <v>24.15</v>
      </c>
      <c r="N670" t="s">
        <v>1086</v>
      </c>
      <c r="O670" t="str">
        <f t="shared" si="21"/>
        <v>Desconocido</v>
      </c>
      <c r="Q670" t="s">
        <v>905</v>
      </c>
    </row>
    <row r="671" spans="1:17" x14ac:dyDescent="0.25">
      <c r="A671">
        <v>812</v>
      </c>
      <c r="B671">
        <v>0</v>
      </c>
      <c r="C671">
        <v>3</v>
      </c>
      <c r="D671" t="s">
        <v>2093</v>
      </c>
      <c r="E671" t="s">
        <v>902</v>
      </c>
      <c r="F671">
        <f>ROUNDUP(Titanic_DATASET[[#This Row],[Age Correción 2]],0)</f>
        <v>39</v>
      </c>
      <c r="G671" s="4">
        <f>VALUE(SUBSTITUTE(Titanic_DATASET[[#This Row],[Age Correción.]],".",","))</f>
        <v>39</v>
      </c>
      <c r="H671" s="5">
        <v>39</v>
      </c>
      <c r="I671">
        <v>39</v>
      </c>
      <c r="J671">
        <v>0</v>
      </c>
      <c r="K671">
        <v>0</v>
      </c>
      <c r="L671" s="3" t="s">
        <v>1776</v>
      </c>
      <c r="M671" s="6">
        <f t="shared" si="20"/>
        <v>24.15</v>
      </c>
      <c r="N671" t="s">
        <v>1086</v>
      </c>
      <c r="O671" t="str">
        <f t="shared" si="21"/>
        <v>Desconocido</v>
      </c>
      <c r="Q671" t="s">
        <v>905</v>
      </c>
    </row>
    <row r="672" spans="1:17" x14ac:dyDescent="0.25">
      <c r="A672">
        <v>575</v>
      </c>
      <c r="B672">
        <v>0</v>
      </c>
      <c r="C672">
        <v>3</v>
      </c>
      <c r="D672" t="s">
        <v>1788</v>
      </c>
      <c r="E672" t="s">
        <v>902</v>
      </c>
      <c r="F672">
        <f>ROUNDUP(Titanic_DATASET[[#This Row],[Age Correción 2]],0)</f>
        <v>16</v>
      </c>
      <c r="G672" s="4">
        <f>VALUE(SUBSTITUTE(Titanic_DATASET[[#This Row],[Age Correción.]],".",","))</f>
        <v>16</v>
      </c>
      <c r="H672" s="5">
        <v>16</v>
      </c>
      <c r="I672">
        <v>16</v>
      </c>
      <c r="J672">
        <v>0</v>
      </c>
      <c r="K672">
        <v>0</v>
      </c>
      <c r="L672" s="3" t="s">
        <v>1789</v>
      </c>
      <c r="M672" s="6">
        <f t="shared" si="20"/>
        <v>8.0500000000000007</v>
      </c>
      <c r="N672" t="s">
        <v>917</v>
      </c>
      <c r="O672" t="str">
        <f t="shared" si="21"/>
        <v>Desconocido</v>
      </c>
      <c r="Q672" t="s">
        <v>905</v>
      </c>
    </row>
    <row r="673" spans="1:17" x14ac:dyDescent="0.25">
      <c r="A673">
        <v>426</v>
      </c>
      <c r="B673">
        <v>0</v>
      </c>
      <c r="C673">
        <v>3</v>
      </c>
      <c r="D673" t="s">
        <v>1573</v>
      </c>
      <c r="E673" t="s">
        <v>902</v>
      </c>
      <c r="F673">
        <f>ROUNDUP(Titanic_DATASET[[#This Row],[Age Correción 2]],0)</f>
        <v>20</v>
      </c>
      <c r="G673" s="4">
        <f>VALUE(SUBSTITUTE(Titanic_DATASET[[#This Row],[Age Correción.]],".",","))</f>
        <v>20</v>
      </c>
      <c r="H673" s="5">
        <v>20</v>
      </c>
      <c r="J673">
        <v>0</v>
      </c>
      <c r="K673">
        <v>0</v>
      </c>
      <c r="L673" s="3" t="s">
        <v>1574</v>
      </c>
      <c r="M673" s="6">
        <f t="shared" si="20"/>
        <v>7.25</v>
      </c>
      <c r="N673" t="s">
        <v>904</v>
      </c>
      <c r="O673" t="str">
        <f t="shared" si="21"/>
        <v>Desconocido</v>
      </c>
      <c r="Q673" t="s">
        <v>905</v>
      </c>
    </row>
    <row r="674" spans="1:17" x14ac:dyDescent="0.25">
      <c r="A674">
        <v>52</v>
      </c>
      <c r="B674">
        <v>0</v>
      </c>
      <c r="C674">
        <v>3</v>
      </c>
      <c r="D674" t="s">
        <v>988</v>
      </c>
      <c r="E674" t="s">
        <v>902</v>
      </c>
      <c r="F674">
        <f>ROUNDUP(Titanic_DATASET[[#This Row],[Age Correción 2]],0)</f>
        <v>21</v>
      </c>
      <c r="G674" s="4">
        <f>VALUE(SUBSTITUTE(Titanic_DATASET[[#This Row],[Age Correción.]],".",","))</f>
        <v>21</v>
      </c>
      <c r="H674" s="5">
        <v>21</v>
      </c>
      <c r="I674">
        <v>21</v>
      </c>
      <c r="J674">
        <v>0</v>
      </c>
      <c r="K674">
        <v>0</v>
      </c>
      <c r="L674" s="3" t="s">
        <v>989</v>
      </c>
      <c r="M674" s="6">
        <f t="shared" si="20"/>
        <v>7.8</v>
      </c>
      <c r="N674" t="s">
        <v>990</v>
      </c>
      <c r="O674" t="str">
        <f t="shared" si="21"/>
        <v>Desconocido</v>
      </c>
      <c r="Q674" t="s">
        <v>905</v>
      </c>
    </row>
    <row r="675" spans="1:17" x14ac:dyDescent="0.25">
      <c r="A675">
        <v>1</v>
      </c>
      <c r="B675">
        <v>0</v>
      </c>
      <c r="C675">
        <v>3</v>
      </c>
      <c r="D675" t="s">
        <v>901</v>
      </c>
      <c r="E675" t="s">
        <v>902</v>
      </c>
      <c r="F675">
        <f>ROUNDUP(Titanic_DATASET[[#This Row],[Age Correción 2]],0)</f>
        <v>22</v>
      </c>
      <c r="G675" s="4">
        <f>VALUE(SUBSTITUTE(Titanic_DATASET[[#This Row],[Age Correción.]],".",","))</f>
        <v>22</v>
      </c>
      <c r="H675" s="5">
        <v>22</v>
      </c>
      <c r="I675">
        <v>22</v>
      </c>
      <c r="J675">
        <v>1</v>
      </c>
      <c r="K675">
        <v>0</v>
      </c>
      <c r="L675" s="3" t="s">
        <v>903</v>
      </c>
      <c r="M675" s="6">
        <f t="shared" si="20"/>
        <v>7.25</v>
      </c>
      <c r="N675" t="s">
        <v>904</v>
      </c>
      <c r="O675" t="str">
        <f t="shared" si="21"/>
        <v>Desconocido</v>
      </c>
      <c r="Q675" t="s">
        <v>905</v>
      </c>
    </row>
    <row r="676" spans="1:17" x14ac:dyDescent="0.25">
      <c r="A676">
        <v>321</v>
      </c>
      <c r="B676">
        <v>0</v>
      </c>
      <c r="C676">
        <v>3</v>
      </c>
      <c r="D676" t="s">
        <v>1434</v>
      </c>
      <c r="E676" t="s">
        <v>902</v>
      </c>
      <c r="F676">
        <f>ROUNDUP(Titanic_DATASET[[#This Row],[Age Correción 2]],0)</f>
        <v>22</v>
      </c>
      <c r="G676" s="4">
        <f>VALUE(SUBSTITUTE(Titanic_DATASET[[#This Row],[Age Correción.]],".",","))</f>
        <v>22</v>
      </c>
      <c r="H676" s="5">
        <v>22</v>
      </c>
      <c r="I676">
        <v>22</v>
      </c>
      <c r="J676">
        <v>0</v>
      </c>
      <c r="K676">
        <v>0</v>
      </c>
      <c r="L676" s="3" t="s">
        <v>1435</v>
      </c>
      <c r="M676" s="6">
        <f t="shared" si="20"/>
        <v>7.25</v>
      </c>
      <c r="N676" t="s">
        <v>904</v>
      </c>
      <c r="O676" t="str">
        <f t="shared" si="21"/>
        <v>Desconocido</v>
      </c>
      <c r="Q676" t="s">
        <v>905</v>
      </c>
    </row>
    <row r="677" spans="1:17" x14ac:dyDescent="0.25">
      <c r="A677">
        <v>228</v>
      </c>
      <c r="B677">
        <v>0</v>
      </c>
      <c r="C677">
        <v>3</v>
      </c>
      <c r="D677" t="s">
        <v>1277</v>
      </c>
      <c r="E677" t="s">
        <v>902</v>
      </c>
      <c r="F677">
        <f>ROUNDUP(Titanic_DATASET[[#This Row],[Age Correción 2]],0)</f>
        <v>21</v>
      </c>
      <c r="G677" s="4">
        <f>VALUE(SUBSTITUTE(Titanic_DATASET[[#This Row],[Age Correción.]],".",","))</f>
        <v>20.5</v>
      </c>
      <c r="H677" s="5" t="s">
        <v>1278</v>
      </c>
      <c r="I677" t="s">
        <v>1278</v>
      </c>
      <c r="J677">
        <v>0</v>
      </c>
      <c r="K677">
        <v>0</v>
      </c>
      <c r="L677" s="3" t="s">
        <v>1279</v>
      </c>
      <c r="M677" s="6">
        <f t="shared" si="20"/>
        <v>7.25</v>
      </c>
      <c r="N677" t="s">
        <v>904</v>
      </c>
      <c r="O677" t="str">
        <f t="shared" si="21"/>
        <v>Desconocido</v>
      </c>
      <c r="Q677" t="s">
        <v>905</v>
      </c>
    </row>
    <row r="678" spans="1:17" x14ac:dyDescent="0.25">
      <c r="A678">
        <v>213</v>
      </c>
      <c r="B678">
        <v>0</v>
      </c>
      <c r="C678">
        <v>3</v>
      </c>
      <c r="D678" t="s">
        <v>1252</v>
      </c>
      <c r="E678" t="s">
        <v>902</v>
      </c>
      <c r="F678">
        <f>ROUNDUP(Titanic_DATASET[[#This Row],[Age Correción 2]],0)</f>
        <v>22</v>
      </c>
      <c r="G678" s="4">
        <f>VALUE(SUBSTITUTE(Titanic_DATASET[[#This Row],[Age Correción.]],".",","))</f>
        <v>22</v>
      </c>
      <c r="H678" s="5">
        <v>22</v>
      </c>
      <c r="I678">
        <v>22</v>
      </c>
      <c r="J678">
        <v>0</v>
      </c>
      <c r="K678">
        <v>0</v>
      </c>
      <c r="L678" s="3" t="s">
        <v>1253</v>
      </c>
      <c r="M678" s="6">
        <f t="shared" si="20"/>
        <v>7.25</v>
      </c>
      <c r="N678" t="s">
        <v>904</v>
      </c>
      <c r="O678" t="str">
        <f t="shared" si="21"/>
        <v>Desconocido</v>
      </c>
      <c r="Q678" t="s">
        <v>905</v>
      </c>
    </row>
    <row r="679" spans="1:17" x14ac:dyDescent="0.25">
      <c r="A679">
        <v>305</v>
      </c>
      <c r="B679">
        <v>0</v>
      </c>
      <c r="C679">
        <v>3</v>
      </c>
      <c r="D679" t="s">
        <v>1403</v>
      </c>
      <c r="E679" t="s">
        <v>902</v>
      </c>
      <c r="F679">
        <f>ROUNDUP(Titanic_DATASET[[#This Row],[Age Correción 2]],0)</f>
        <v>40</v>
      </c>
      <c r="G679" s="4">
        <f>VALUE(SUBSTITUTE(Titanic_DATASET[[#This Row],[Age Correción.]],".",","))</f>
        <v>40</v>
      </c>
      <c r="H679" s="5">
        <v>40</v>
      </c>
      <c r="J679">
        <v>0</v>
      </c>
      <c r="K679">
        <v>0</v>
      </c>
      <c r="L679" s="3" t="s">
        <v>1404</v>
      </c>
      <c r="M679" s="6">
        <f t="shared" si="20"/>
        <v>8.0500000000000007</v>
      </c>
      <c r="N679" t="s">
        <v>917</v>
      </c>
      <c r="O679" t="str">
        <f t="shared" si="21"/>
        <v>Desconocido</v>
      </c>
      <c r="Q679" t="s">
        <v>905</v>
      </c>
    </row>
    <row r="680" spans="1:17" x14ac:dyDescent="0.25">
      <c r="A680">
        <v>455</v>
      </c>
      <c r="B680">
        <v>0</v>
      </c>
      <c r="C680">
        <v>3</v>
      </c>
      <c r="D680" t="s">
        <v>1614</v>
      </c>
      <c r="E680" t="s">
        <v>902</v>
      </c>
      <c r="F680">
        <f>ROUNDUP(Titanic_DATASET[[#This Row],[Age Correción 2]],0)</f>
        <v>44</v>
      </c>
      <c r="G680" s="4">
        <f>VALUE(SUBSTITUTE(Titanic_DATASET[[#This Row],[Age Correción.]],".",","))</f>
        <v>44</v>
      </c>
      <c r="H680" s="5">
        <v>44</v>
      </c>
      <c r="J680">
        <v>0</v>
      </c>
      <c r="K680">
        <v>0</v>
      </c>
      <c r="L680" s="3" t="s">
        <v>1615</v>
      </c>
      <c r="M680" s="6">
        <f t="shared" si="20"/>
        <v>8.0500000000000007</v>
      </c>
      <c r="N680" t="s">
        <v>917</v>
      </c>
      <c r="O680" t="str">
        <f t="shared" si="21"/>
        <v>Desconocido</v>
      </c>
      <c r="Q680" t="s">
        <v>905</v>
      </c>
    </row>
    <row r="681" spans="1:17" x14ac:dyDescent="0.25">
      <c r="A681">
        <v>669</v>
      </c>
      <c r="B681">
        <v>0</v>
      </c>
      <c r="C681">
        <v>3</v>
      </c>
      <c r="D681" t="s">
        <v>1908</v>
      </c>
      <c r="E681" t="s">
        <v>902</v>
      </c>
      <c r="F681">
        <f>ROUNDUP(Titanic_DATASET[[#This Row],[Age Correción 2]],0)</f>
        <v>43</v>
      </c>
      <c r="G681" s="4">
        <f>VALUE(SUBSTITUTE(Titanic_DATASET[[#This Row],[Age Correción.]],".",","))</f>
        <v>43</v>
      </c>
      <c r="H681" s="5">
        <v>43</v>
      </c>
      <c r="I681">
        <v>43</v>
      </c>
      <c r="J681">
        <v>0</v>
      </c>
      <c r="K681">
        <v>0</v>
      </c>
      <c r="L681" s="3" t="s">
        <v>1909</v>
      </c>
      <c r="M681" s="6">
        <f t="shared" si="20"/>
        <v>8.0500000000000007</v>
      </c>
      <c r="N681" t="s">
        <v>917</v>
      </c>
      <c r="O681" t="str">
        <f t="shared" si="21"/>
        <v>Desconocido</v>
      </c>
      <c r="Q681" t="s">
        <v>905</v>
      </c>
    </row>
    <row r="682" spans="1:17" x14ac:dyDescent="0.25">
      <c r="A682">
        <v>205</v>
      </c>
      <c r="B682">
        <v>1</v>
      </c>
      <c r="C682">
        <v>3</v>
      </c>
      <c r="D682" t="s">
        <v>1240</v>
      </c>
      <c r="E682" t="s">
        <v>902</v>
      </c>
      <c r="F682">
        <f>ROUNDUP(Titanic_DATASET[[#This Row],[Age Correción 2]],0)</f>
        <v>18</v>
      </c>
      <c r="G682" s="4">
        <f>VALUE(SUBSTITUTE(Titanic_DATASET[[#This Row],[Age Correción.]],".",","))</f>
        <v>18</v>
      </c>
      <c r="H682" s="5">
        <v>18</v>
      </c>
      <c r="I682">
        <v>18</v>
      </c>
      <c r="J682">
        <v>0</v>
      </c>
      <c r="K682">
        <v>0</v>
      </c>
      <c r="L682" s="3" t="s">
        <v>1241</v>
      </c>
      <c r="M682" s="6">
        <f t="shared" si="20"/>
        <v>8.0500000000000007</v>
      </c>
      <c r="N682" t="s">
        <v>917</v>
      </c>
      <c r="O682" t="str">
        <f t="shared" si="21"/>
        <v>Desconocido</v>
      </c>
      <c r="Q682" t="s">
        <v>905</v>
      </c>
    </row>
    <row r="683" spans="1:17" x14ac:dyDescent="0.25">
      <c r="A683">
        <v>483</v>
      </c>
      <c r="B683">
        <v>0</v>
      </c>
      <c r="C683">
        <v>3</v>
      </c>
      <c r="D683" t="s">
        <v>1654</v>
      </c>
      <c r="E683" t="s">
        <v>902</v>
      </c>
      <c r="F683">
        <f>ROUNDUP(Titanic_DATASET[[#This Row],[Age Correción 2]],0)</f>
        <v>50</v>
      </c>
      <c r="G683" s="4">
        <f>VALUE(SUBSTITUTE(Titanic_DATASET[[#This Row],[Age Correción.]],".",","))</f>
        <v>50</v>
      </c>
      <c r="H683" s="5">
        <v>50</v>
      </c>
      <c r="I683">
        <v>50</v>
      </c>
      <c r="J683">
        <v>0</v>
      </c>
      <c r="K683">
        <v>0</v>
      </c>
      <c r="L683" s="3" t="s">
        <v>1655</v>
      </c>
      <c r="M683" s="6">
        <f t="shared" si="20"/>
        <v>8.0500000000000007</v>
      </c>
      <c r="N683" t="s">
        <v>917</v>
      </c>
      <c r="O683" t="str">
        <f t="shared" si="21"/>
        <v>Desconocido</v>
      </c>
      <c r="Q683" t="s">
        <v>905</v>
      </c>
    </row>
    <row r="684" spans="1:17" x14ac:dyDescent="0.25">
      <c r="A684">
        <v>593</v>
      </c>
      <c r="B684">
        <v>0</v>
      </c>
      <c r="C684">
        <v>3</v>
      </c>
      <c r="D684" t="s">
        <v>1814</v>
      </c>
      <c r="E684" t="s">
        <v>902</v>
      </c>
      <c r="F684">
        <f>ROUNDUP(Titanic_DATASET[[#This Row],[Age Correción 2]],0)</f>
        <v>47</v>
      </c>
      <c r="G684" s="4">
        <f>VALUE(SUBSTITUTE(Titanic_DATASET[[#This Row],[Age Correción.]],".",","))</f>
        <v>47</v>
      </c>
      <c r="H684" s="5">
        <v>47</v>
      </c>
      <c r="I684">
        <v>47</v>
      </c>
      <c r="J684">
        <v>0</v>
      </c>
      <c r="K684">
        <v>0</v>
      </c>
      <c r="L684" s="3" t="s">
        <v>1815</v>
      </c>
      <c r="M684" s="6">
        <f t="shared" si="20"/>
        <v>7.25</v>
      </c>
      <c r="N684" t="s">
        <v>904</v>
      </c>
      <c r="O684" t="str">
        <f t="shared" si="21"/>
        <v>Desconocido</v>
      </c>
      <c r="Q684" t="s">
        <v>905</v>
      </c>
    </row>
    <row r="685" spans="1:17" x14ac:dyDescent="0.25">
      <c r="A685">
        <v>284</v>
      </c>
      <c r="B685">
        <v>1</v>
      </c>
      <c r="C685">
        <v>3</v>
      </c>
      <c r="D685" t="s">
        <v>1367</v>
      </c>
      <c r="E685" t="s">
        <v>902</v>
      </c>
      <c r="F685">
        <f>ROUNDUP(Titanic_DATASET[[#This Row],[Age Correción 2]],0)</f>
        <v>19</v>
      </c>
      <c r="G685" s="4">
        <f>VALUE(SUBSTITUTE(Titanic_DATASET[[#This Row],[Age Correción.]],".",","))</f>
        <v>19</v>
      </c>
      <c r="H685" s="5">
        <v>19</v>
      </c>
      <c r="I685">
        <v>19</v>
      </c>
      <c r="J685">
        <v>0</v>
      </c>
      <c r="K685">
        <v>0</v>
      </c>
      <c r="L685" s="3" t="s">
        <v>1368</v>
      </c>
      <c r="M685" s="6">
        <f t="shared" si="20"/>
        <v>8.0500000000000007</v>
      </c>
      <c r="N685" t="s">
        <v>917</v>
      </c>
      <c r="O685" t="str">
        <f t="shared" si="21"/>
        <v>Desconocido</v>
      </c>
      <c r="Q685" t="s">
        <v>905</v>
      </c>
    </row>
    <row r="686" spans="1:17" x14ac:dyDescent="0.25">
      <c r="A686">
        <v>422</v>
      </c>
      <c r="B686">
        <v>0</v>
      </c>
      <c r="C686">
        <v>3</v>
      </c>
      <c r="D686" t="s">
        <v>1567</v>
      </c>
      <c r="E686" t="s">
        <v>902</v>
      </c>
      <c r="F686">
        <f>ROUNDUP(Titanic_DATASET[[#This Row],[Age Correción 2]],0)</f>
        <v>21</v>
      </c>
      <c r="G686" s="4">
        <f>VALUE(SUBSTITUTE(Titanic_DATASET[[#This Row],[Age Correción.]],".",","))</f>
        <v>21</v>
      </c>
      <c r="H686" s="5">
        <v>21</v>
      </c>
      <c r="I686">
        <v>21</v>
      </c>
      <c r="J686">
        <v>0</v>
      </c>
      <c r="K686">
        <v>0</v>
      </c>
      <c r="L686" s="3" t="s">
        <v>1568</v>
      </c>
      <c r="M686" s="6">
        <f t="shared" si="20"/>
        <v>77333</v>
      </c>
      <c r="N686" s="1">
        <v>77333</v>
      </c>
      <c r="O686" s="1" t="str">
        <f t="shared" si="21"/>
        <v>Desconocido</v>
      </c>
      <c r="Q686" t="s">
        <v>919</v>
      </c>
    </row>
    <row r="687" spans="1:17" x14ac:dyDescent="0.25">
      <c r="A687">
        <v>13</v>
      </c>
      <c r="B687">
        <v>0</v>
      </c>
      <c r="C687">
        <v>3</v>
      </c>
      <c r="D687" t="s">
        <v>932</v>
      </c>
      <c r="E687" t="s">
        <v>902</v>
      </c>
      <c r="F687">
        <f>ROUNDUP(Titanic_DATASET[[#This Row],[Age Correción 2]],0)</f>
        <v>20</v>
      </c>
      <c r="G687" s="4">
        <f>VALUE(SUBSTITUTE(Titanic_DATASET[[#This Row],[Age Correción.]],".",","))</f>
        <v>20</v>
      </c>
      <c r="H687" s="5">
        <v>20</v>
      </c>
      <c r="I687">
        <v>20</v>
      </c>
      <c r="J687">
        <v>0</v>
      </c>
      <c r="K687">
        <v>0</v>
      </c>
      <c r="L687" s="3" t="s">
        <v>933</v>
      </c>
      <c r="M687" s="6">
        <f t="shared" si="20"/>
        <v>8.0500000000000007</v>
      </c>
      <c r="N687" t="s">
        <v>917</v>
      </c>
      <c r="O687" t="str">
        <f t="shared" si="21"/>
        <v>Desconocido</v>
      </c>
      <c r="Q687" t="s">
        <v>905</v>
      </c>
    </row>
    <row r="688" spans="1:17" x14ac:dyDescent="0.25">
      <c r="A688">
        <v>254</v>
      </c>
      <c r="B688">
        <v>0</v>
      </c>
      <c r="C688">
        <v>3</v>
      </c>
      <c r="D688" t="s">
        <v>1317</v>
      </c>
      <c r="E688" t="s">
        <v>902</v>
      </c>
      <c r="F688">
        <f>ROUNDUP(Titanic_DATASET[[#This Row],[Age Correción 2]],0)</f>
        <v>30</v>
      </c>
      <c r="G688" s="4">
        <f>VALUE(SUBSTITUTE(Titanic_DATASET[[#This Row],[Age Correción.]],".",","))</f>
        <v>30</v>
      </c>
      <c r="H688" s="5">
        <v>30</v>
      </c>
      <c r="I688">
        <v>30</v>
      </c>
      <c r="J688">
        <v>1</v>
      </c>
      <c r="K688">
        <v>0</v>
      </c>
      <c r="L688" s="3" t="s">
        <v>1318</v>
      </c>
      <c r="M688" s="6">
        <f t="shared" si="20"/>
        <v>16.100000000000001</v>
      </c>
      <c r="N688" t="s">
        <v>1177</v>
      </c>
      <c r="O688" t="str">
        <f t="shared" si="21"/>
        <v>Desconocido</v>
      </c>
      <c r="Q688" t="s">
        <v>905</v>
      </c>
    </row>
    <row r="689" spans="1:17" x14ac:dyDescent="0.25">
      <c r="A689">
        <v>618</v>
      </c>
      <c r="B689">
        <v>0</v>
      </c>
      <c r="C689">
        <v>3</v>
      </c>
      <c r="D689" t="s">
        <v>1845</v>
      </c>
      <c r="E689" t="s">
        <v>907</v>
      </c>
      <c r="F689">
        <f>ROUNDUP(Titanic_DATASET[[#This Row],[Age Correción 2]],0)</f>
        <v>26</v>
      </c>
      <c r="G689" s="4">
        <f>VALUE(SUBSTITUTE(Titanic_DATASET[[#This Row],[Age Correción.]],".",","))</f>
        <v>26</v>
      </c>
      <c r="H689" s="5">
        <v>26</v>
      </c>
      <c r="I689">
        <v>26</v>
      </c>
      <c r="J689">
        <v>1</v>
      </c>
      <c r="K689">
        <v>0</v>
      </c>
      <c r="L689" s="3" t="s">
        <v>1318</v>
      </c>
      <c r="M689" s="6">
        <f t="shared" si="20"/>
        <v>16.100000000000001</v>
      </c>
      <c r="N689" t="s">
        <v>1177</v>
      </c>
      <c r="O689" t="str">
        <f t="shared" si="21"/>
        <v>Desconocido</v>
      </c>
      <c r="Q689" t="s">
        <v>905</v>
      </c>
    </row>
    <row r="690" spans="1:17" x14ac:dyDescent="0.25">
      <c r="A690">
        <v>133</v>
      </c>
      <c r="B690">
        <v>0</v>
      </c>
      <c r="C690">
        <v>3</v>
      </c>
      <c r="D690" t="s">
        <v>1122</v>
      </c>
      <c r="E690" t="s">
        <v>907</v>
      </c>
      <c r="F690">
        <f>ROUNDUP(Titanic_DATASET[[#This Row],[Age Correción 2]],0)</f>
        <v>47</v>
      </c>
      <c r="G690" s="4">
        <f>VALUE(SUBSTITUTE(Titanic_DATASET[[#This Row],[Age Correción.]],".",","))</f>
        <v>47</v>
      </c>
      <c r="H690" s="5">
        <v>47</v>
      </c>
      <c r="I690">
        <v>47</v>
      </c>
      <c r="J690">
        <v>1</v>
      </c>
      <c r="K690">
        <v>0</v>
      </c>
      <c r="L690" s="3" t="s">
        <v>1123</v>
      </c>
      <c r="M690" s="6">
        <f t="shared" si="20"/>
        <v>14.5</v>
      </c>
      <c r="N690" t="s">
        <v>1090</v>
      </c>
      <c r="O690" t="str">
        <f t="shared" si="21"/>
        <v>Desconocido</v>
      </c>
      <c r="Q690" t="s">
        <v>905</v>
      </c>
    </row>
    <row r="691" spans="1:17" x14ac:dyDescent="0.25">
      <c r="A691">
        <v>154</v>
      </c>
      <c r="B691">
        <v>0</v>
      </c>
      <c r="C691">
        <v>3</v>
      </c>
      <c r="D691" t="s">
        <v>1162</v>
      </c>
      <c r="E691" t="s">
        <v>902</v>
      </c>
      <c r="F691">
        <f>ROUNDUP(Titanic_DATASET[[#This Row],[Age Correción 2]],0)</f>
        <v>41</v>
      </c>
      <c r="G691" s="4">
        <f>VALUE(SUBSTITUTE(Titanic_DATASET[[#This Row],[Age Correción.]],".",","))</f>
        <v>40.5</v>
      </c>
      <c r="H691" s="5" t="s">
        <v>1163</v>
      </c>
      <c r="I691" t="s">
        <v>1163</v>
      </c>
      <c r="J691">
        <v>0</v>
      </c>
      <c r="K691">
        <v>2</v>
      </c>
      <c r="L691" s="3" t="s">
        <v>1164</v>
      </c>
      <c r="M691" s="6">
        <f t="shared" si="20"/>
        <v>14.5</v>
      </c>
      <c r="N691" t="s">
        <v>1090</v>
      </c>
      <c r="O691" t="str">
        <f t="shared" si="21"/>
        <v>Desconocido</v>
      </c>
      <c r="Q691" t="s">
        <v>905</v>
      </c>
    </row>
    <row r="692" spans="1:17" x14ac:dyDescent="0.25">
      <c r="A692">
        <v>465</v>
      </c>
      <c r="B692">
        <v>0</v>
      </c>
      <c r="C692">
        <v>3</v>
      </c>
      <c r="D692" t="s">
        <v>1631</v>
      </c>
      <c r="E692" t="s">
        <v>902</v>
      </c>
      <c r="F692">
        <f>ROUNDUP(Titanic_DATASET[[#This Row],[Age Correción 2]],0)</f>
        <v>47</v>
      </c>
      <c r="G692" s="4">
        <f>VALUE(SUBSTITUTE(Titanic_DATASET[[#This Row],[Age Correción.]],".",","))</f>
        <v>47</v>
      </c>
      <c r="H692" s="5">
        <v>47</v>
      </c>
      <c r="J692">
        <v>0</v>
      </c>
      <c r="K692">
        <v>0</v>
      </c>
      <c r="L692" s="3" t="s">
        <v>1632</v>
      </c>
      <c r="M692" s="6">
        <f t="shared" si="20"/>
        <v>8.0500000000000007</v>
      </c>
      <c r="N692" t="s">
        <v>917</v>
      </c>
      <c r="O692" t="str">
        <f t="shared" si="21"/>
        <v>Desconocido</v>
      </c>
      <c r="Q692" t="s">
        <v>905</v>
      </c>
    </row>
    <row r="693" spans="1:17" x14ac:dyDescent="0.25">
      <c r="A693">
        <v>122</v>
      </c>
      <c r="B693">
        <v>0</v>
      </c>
      <c r="C693">
        <v>3</v>
      </c>
      <c r="D693" t="s">
        <v>1104</v>
      </c>
      <c r="E693" t="s">
        <v>902</v>
      </c>
      <c r="F693">
        <f>ROUNDUP(Titanic_DATASET[[#This Row],[Age Correción 2]],0)</f>
        <v>7</v>
      </c>
      <c r="G693" s="4">
        <f>VALUE(SUBSTITUTE(Titanic_DATASET[[#This Row],[Age Correción.]],".",","))</f>
        <v>7</v>
      </c>
      <c r="H693" s="5">
        <v>7</v>
      </c>
      <c r="J693">
        <v>0</v>
      </c>
      <c r="K693">
        <v>0</v>
      </c>
      <c r="L693" s="3" t="s">
        <v>1105</v>
      </c>
      <c r="M693" s="6">
        <f t="shared" si="20"/>
        <v>8.0500000000000007</v>
      </c>
      <c r="N693" t="s">
        <v>917</v>
      </c>
      <c r="O693" t="str">
        <f t="shared" si="21"/>
        <v>Desconocido</v>
      </c>
      <c r="Q693" t="s">
        <v>905</v>
      </c>
    </row>
    <row r="694" spans="1:17" x14ac:dyDescent="0.25">
      <c r="A694">
        <v>128</v>
      </c>
      <c r="B694">
        <v>1</v>
      </c>
      <c r="C694">
        <v>3</v>
      </c>
      <c r="D694" t="s">
        <v>1113</v>
      </c>
      <c r="E694" t="s">
        <v>902</v>
      </c>
      <c r="F694">
        <f>ROUNDUP(Titanic_DATASET[[#This Row],[Age Correción 2]],0)</f>
        <v>24</v>
      </c>
      <c r="G694" s="4">
        <f>VALUE(SUBSTITUTE(Titanic_DATASET[[#This Row],[Age Correción.]],".",","))</f>
        <v>24</v>
      </c>
      <c r="H694" s="5">
        <v>24</v>
      </c>
      <c r="I694">
        <v>24</v>
      </c>
      <c r="J694">
        <v>0</v>
      </c>
      <c r="K694">
        <v>0</v>
      </c>
      <c r="L694" s="3" t="s">
        <v>1114</v>
      </c>
      <c r="M694" s="6">
        <f t="shared" si="20"/>
        <v>71417</v>
      </c>
      <c r="N694" s="1">
        <v>71417</v>
      </c>
      <c r="O694" s="1" t="str">
        <f t="shared" si="21"/>
        <v>Desconocido</v>
      </c>
      <c r="Q694" t="s">
        <v>905</v>
      </c>
    </row>
    <row r="695" spans="1:17" x14ac:dyDescent="0.25">
      <c r="A695">
        <v>509</v>
      </c>
      <c r="B695">
        <v>0</v>
      </c>
      <c r="C695">
        <v>3</v>
      </c>
      <c r="D695" t="s">
        <v>1691</v>
      </c>
      <c r="E695" t="s">
        <v>902</v>
      </c>
      <c r="F695">
        <f>ROUNDUP(Titanic_DATASET[[#This Row],[Age Correción 2]],0)</f>
        <v>28</v>
      </c>
      <c r="G695" s="4">
        <f>VALUE(SUBSTITUTE(Titanic_DATASET[[#This Row],[Age Correción.]],".",","))</f>
        <v>28</v>
      </c>
      <c r="H695" s="5">
        <v>28</v>
      </c>
      <c r="I695">
        <v>28</v>
      </c>
      <c r="J695">
        <v>0</v>
      </c>
      <c r="K695">
        <v>0</v>
      </c>
      <c r="L695" s="3" t="s">
        <v>1692</v>
      </c>
      <c r="M695" s="6">
        <f t="shared" si="20"/>
        <v>22525</v>
      </c>
      <c r="N695" s="1">
        <v>22525</v>
      </c>
      <c r="O695" s="1" t="str">
        <f t="shared" si="21"/>
        <v>Desconocido</v>
      </c>
      <c r="Q695" t="s">
        <v>905</v>
      </c>
    </row>
    <row r="696" spans="1:17" x14ac:dyDescent="0.25">
      <c r="A696">
        <v>819</v>
      </c>
      <c r="B696">
        <v>0</v>
      </c>
      <c r="C696">
        <v>3</v>
      </c>
      <c r="D696" t="s">
        <v>2103</v>
      </c>
      <c r="E696" t="s">
        <v>902</v>
      </c>
      <c r="F696">
        <f>ROUNDUP(Titanic_DATASET[[#This Row],[Age Correción 2]],0)</f>
        <v>43</v>
      </c>
      <c r="G696" s="4">
        <f>VALUE(SUBSTITUTE(Titanic_DATASET[[#This Row],[Age Correción.]],".",","))</f>
        <v>43</v>
      </c>
      <c r="H696" s="5">
        <v>43</v>
      </c>
      <c r="I696">
        <v>43</v>
      </c>
      <c r="J696">
        <v>0</v>
      </c>
      <c r="K696">
        <v>0</v>
      </c>
      <c r="L696" s="3" t="s">
        <v>2104</v>
      </c>
      <c r="M696" s="6">
        <f t="shared" si="20"/>
        <v>6.45</v>
      </c>
      <c r="N696" t="s">
        <v>2105</v>
      </c>
      <c r="O696" t="str">
        <f t="shared" si="21"/>
        <v>Desconocido</v>
      </c>
      <c r="Q696" t="s">
        <v>905</v>
      </c>
    </row>
    <row r="697" spans="1:17" x14ac:dyDescent="0.25">
      <c r="A697">
        <v>366</v>
      </c>
      <c r="B697">
        <v>0</v>
      </c>
      <c r="C697">
        <v>3</v>
      </c>
      <c r="D697" t="s">
        <v>1493</v>
      </c>
      <c r="E697" t="s">
        <v>902</v>
      </c>
      <c r="F697">
        <f>ROUNDUP(Titanic_DATASET[[#This Row],[Age Correción 2]],0)</f>
        <v>30</v>
      </c>
      <c r="G697" s="4">
        <f>VALUE(SUBSTITUTE(Titanic_DATASET[[#This Row],[Age Correción.]],".",","))</f>
        <v>30</v>
      </c>
      <c r="H697" s="5">
        <v>30</v>
      </c>
      <c r="I697">
        <v>30</v>
      </c>
      <c r="J697">
        <v>0</v>
      </c>
      <c r="K697">
        <v>0</v>
      </c>
      <c r="L697" s="3" t="s">
        <v>1494</v>
      </c>
      <c r="M697" s="6">
        <f t="shared" si="20"/>
        <v>7.25</v>
      </c>
      <c r="N697" t="s">
        <v>904</v>
      </c>
      <c r="O697" t="str">
        <f t="shared" si="21"/>
        <v>Desconocido</v>
      </c>
      <c r="Q697" t="s">
        <v>905</v>
      </c>
    </row>
    <row r="698" spans="1:17" x14ac:dyDescent="0.25">
      <c r="A698">
        <v>377</v>
      </c>
      <c r="B698">
        <v>1</v>
      </c>
      <c r="C698">
        <v>3</v>
      </c>
      <c r="D698" t="s">
        <v>1511</v>
      </c>
      <c r="E698" t="s">
        <v>907</v>
      </c>
      <c r="F698">
        <f>ROUNDUP(Titanic_DATASET[[#This Row],[Age Correción 2]],0)</f>
        <v>22</v>
      </c>
      <c r="G698" s="4">
        <f>VALUE(SUBSTITUTE(Titanic_DATASET[[#This Row],[Age Correción.]],".",","))</f>
        <v>22</v>
      </c>
      <c r="H698" s="5">
        <v>22</v>
      </c>
      <c r="I698">
        <v>22</v>
      </c>
      <c r="J698">
        <v>0</v>
      </c>
      <c r="K698">
        <v>0</v>
      </c>
      <c r="L698" s="3" t="s">
        <v>1512</v>
      </c>
      <c r="M698" s="6">
        <f t="shared" si="20"/>
        <v>7.25</v>
      </c>
      <c r="N698" t="s">
        <v>904</v>
      </c>
      <c r="O698" t="str">
        <f t="shared" si="21"/>
        <v>Desconocido</v>
      </c>
      <c r="Q698" t="s">
        <v>905</v>
      </c>
    </row>
    <row r="699" spans="1:17" x14ac:dyDescent="0.25">
      <c r="A699">
        <v>266</v>
      </c>
      <c r="B699">
        <v>0</v>
      </c>
      <c r="C699">
        <v>2</v>
      </c>
      <c r="D699" t="s">
        <v>1337</v>
      </c>
      <c r="E699" t="s">
        <v>902</v>
      </c>
      <c r="F699">
        <f>ROUNDUP(Titanic_DATASET[[#This Row],[Age Correción 2]],0)</f>
        <v>36</v>
      </c>
      <c r="G699" s="4">
        <f>VALUE(SUBSTITUTE(Titanic_DATASET[[#This Row],[Age Correción.]],".",","))</f>
        <v>36</v>
      </c>
      <c r="H699" s="5">
        <v>36</v>
      </c>
      <c r="I699">
        <v>36</v>
      </c>
      <c r="J699">
        <v>0</v>
      </c>
      <c r="K699">
        <v>0</v>
      </c>
      <c r="L699" s="3" t="s">
        <v>1338</v>
      </c>
      <c r="M699" s="6">
        <f t="shared" si="20"/>
        <v>10.5</v>
      </c>
      <c r="N699" t="s">
        <v>964</v>
      </c>
      <c r="O699" t="str">
        <f t="shared" si="21"/>
        <v>Desconocido</v>
      </c>
      <c r="Q699" t="s">
        <v>905</v>
      </c>
    </row>
    <row r="700" spans="1:17" x14ac:dyDescent="0.25">
      <c r="A700">
        <v>440</v>
      </c>
      <c r="B700">
        <v>0</v>
      </c>
      <c r="C700">
        <v>2</v>
      </c>
      <c r="D700" t="s">
        <v>1594</v>
      </c>
      <c r="E700" t="s">
        <v>902</v>
      </c>
      <c r="F700">
        <f>ROUNDUP(Titanic_DATASET[[#This Row],[Age Correción 2]],0)</f>
        <v>31</v>
      </c>
      <c r="G700" s="4">
        <f>VALUE(SUBSTITUTE(Titanic_DATASET[[#This Row],[Age Correción.]],".",","))</f>
        <v>31</v>
      </c>
      <c r="H700" s="5">
        <v>31</v>
      </c>
      <c r="I700">
        <v>31</v>
      </c>
      <c r="J700">
        <v>0</v>
      </c>
      <c r="K700">
        <v>0</v>
      </c>
      <c r="L700" s="3" t="s">
        <v>1595</v>
      </c>
      <c r="M700" s="6">
        <f t="shared" si="20"/>
        <v>10.5</v>
      </c>
      <c r="N700" t="s">
        <v>964</v>
      </c>
      <c r="O700" t="str">
        <f t="shared" si="21"/>
        <v>Desconocido</v>
      </c>
      <c r="Q700" t="s">
        <v>905</v>
      </c>
    </row>
    <row r="701" spans="1:17" x14ac:dyDescent="0.25">
      <c r="A701">
        <v>94</v>
      </c>
      <c r="B701">
        <v>0</v>
      </c>
      <c r="C701">
        <v>3</v>
      </c>
      <c r="D701" t="s">
        <v>1063</v>
      </c>
      <c r="E701" t="s">
        <v>902</v>
      </c>
      <c r="F701">
        <f>ROUNDUP(Titanic_DATASET[[#This Row],[Age Correción 2]],0)</f>
        <v>26</v>
      </c>
      <c r="G701" s="4">
        <f>VALUE(SUBSTITUTE(Titanic_DATASET[[#This Row],[Age Correción.]],".",","))</f>
        <v>26</v>
      </c>
      <c r="H701" s="5">
        <v>26</v>
      </c>
      <c r="I701">
        <v>26</v>
      </c>
      <c r="J701">
        <v>1</v>
      </c>
      <c r="K701">
        <v>2</v>
      </c>
      <c r="L701" s="3" t="s">
        <v>1064</v>
      </c>
      <c r="M701" s="6">
        <f t="shared" si="20"/>
        <v>20575</v>
      </c>
      <c r="N701" s="1">
        <v>20575</v>
      </c>
      <c r="O701" s="1" t="str">
        <f t="shared" si="21"/>
        <v>Desconocido</v>
      </c>
      <c r="Q701" t="s">
        <v>905</v>
      </c>
    </row>
    <row r="702" spans="1:17" x14ac:dyDescent="0.25">
      <c r="A702">
        <v>789</v>
      </c>
      <c r="B702">
        <v>1</v>
      </c>
      <c r="C702">
        <v>3</v>
      </c>
      <c r="D702" t="s">
        <v>2065</v>
      </c>
      <c r="E702" t="s">
        <v>902</v>
      </c>
      <c r="F702">
        <f>ROUNDUP(Titanic_DATASET[[#This Row],[Age Correción 2]],0)</f>
        <v>1</v>
      </c>
      <c r="G702" s="4">
        <f>VALUE(SUBSTITUTE(Titanic_DATASET[[#This Row],[Age Correción.]],".",","))</f>
        <v>1</v>
      </c>
      <c r="H702" s="5">
        <v>1</v>
      </c>
      <c r="I702">
        <v>1</v>
      </c>
      <c r="J702">
        <v>1</v>
      </c>
      <c r="K702">
        <v>2</v>
      </c>
      <c r="L702" s="3" t="s">
        <v>1064</v>
      </c>
      <c r="M702" s="6">
        <f t="shared" si="20"/>
        <v>20575</v>
      </c>
      <c r="N702" s="1">
        <v>20575</v>
      </c>
      <c r="O702" s="1" t="str">
        <f t="shared" si="21"/>
        <v>Desconocido</v>
      </c>
      <c r="Q702" t="s">
        <v>905</v>
      </c>
    </row>
    <row r="703" spans="1:17" x14ac:dyDescent="0.25">
      <c r="A703">
        <v>34</v>
      </c>
      <c r="B703">
        <v>0</v>
      </c>
      <c r="C703">
        <v>2</v>
      </c>
      <c r="D703" t="s">
        <v>962</v>
      </c>
      <c r="E703" t="s">
        <v>902</v>
      </c>
      <c r="F703">
        <f>ROUNDUP(Titanic_DATASET[[#This Row],[Age Correción 2]],0)</f>
        <v>66</v>
      </c>
      <c r="G703" s="4">
        <f>VALUE(SUBSTITUTE(Titanic_DATASET[[#This Row],[Age Correción.]],".",","))</f>
        <v>66</v>
      </c>
      <c r="H703" s="5">
        <v>66</v>
      </c>
      <c r="I703">
        <v>66</v>
      </c>
      <c r="J703">
        <v>0</v>
      </c>
      <c r="K703">
        <v>0</v>
      </c>
      <c r="L703" s="3" t="s">
        <v>963</v>
      </c>
      <c r="M703" s="6">
        <f t="shared" si="20"/>
        <v>10.5</v>
      </c>
      <c r="N703" t="s">
        <v>964</v>
      </c>
      <c r="O703" t="str">
        <f t="shared" si="21"/>
        <v>Desconocido</v>
      </c>
      <c r="Q703" t="s">
        <v>905</v>
      </c>
    </row>
    <row r="704" spans="1:17" x14ac:dyDescent="0.25">
      <c r="A704">
        <v>673</v>
      </c>
      <c r="B704">
        <v>0</v>
      </c>
      <c r="C704">
        <v>2</v>
      </c>
      <c r="D704" t="s">
        <v>1916</v>
      </c>
      <c r="E704" t="s">
        <v>902</v>
      </c>
      <c r="F704">
        <f>ROUNDUP(Titanic_DATASET[[#This Row],[Age Correción 2]],0)</f>
        <v>70</v>
      </c>
      <c r="G704" s="4">
        <f>VALUE(SUBSTITUTE(Titanic_DATASET[[#This Row],[Age Correción.]],".",","))</f>
        <v>70</v>
      </c>
      <c r="H704" s="5">
        <v>70</v>
      </c>
      <c r="I704">
        <v>70</v>
      </c>
      <c r="J704">
        <v>0</v>
      </c>
      <c r="K704">
        <v>0</v>
      </c>
      <c r="L704" s="3" t="s">
        <v>1917</v>
      </c>
      <c r="M704" s="6">
        <f t="shared" si="20"/>
        <v>10.5</v>
      </c>
      <c r="N704" t="s">
        <v>964</v>
      </c>
      <c r="O704" t="str">
        <f t="shared" si="21"/>
        <v>Desconocido</v>
      </c>
      <c r="Q704" t="s">
        <v>905</v>
      </c>
    </row>
    <row r="705" spans="1:17" x14ac:dyDescent="0.25">
      <c r="A705">
        <v>280</v>
      </c>
      <c r="B705">
        <v>1</v>
      </c>
      <c r="C705">
        <v>3</v>
      </c>
      <c r="D705" t="s">
        <v>1361</v>
      </c>
      <c r="E705" t="s">
        <v>907</v>
      </c>
      <c r="F705">
        <f>ROUNDUP(Titanic_DATASET[[#This Row],[Age Correción 2]],0)</f>
        <v>35</v>
      </c>
      <c r="G705" s="4">
        <f>VALUE(SUBSTITUTE(Titanic_DATASET[[#This Row],[Age Correción.]],".",","))</f>
        <v>35</v>
      </c>
      <c r="H705" s="5">
        <v>35</v>
      </c>
      <c r="I705">
        <v>35</v>
      </c>
      <c r="J705">
        <v>1</v>
      </c>
      <c r="K705">
        <v>1</v>
      </c>
      <c r="L705" s="3" t="s">
        <v>1362</v>
      </c>
      <c r="M705" s="6">
        <f t="shared" si="20"/>
        <v>20.25</v>
      </c>
      <c r="N705" t="s">
        <v>1363</v>
      </c>
      <c r="O705" t="str">
        <f t="shared" si="21"/>
        <v>Desconocido</v>
      </c>
      <c r="Q705" t="s">
        <v>905</v>
      </c>
    </row>
    <row r="706" spans="1:17" x14ac:dyDescent="0.25">
      <c r="A706">
        <v>747</v>
      </c>
      <c r="B706">
        <v>0</v>
      </c>
      <c r="C706">
        <v>3</v>
      </c>
      <c r="D706" t="s">
        <v>2010</v>
      </c>
      <c r="E706" t="s">
        <v>902</v>
      </c>
      <c r="F706">
        <f>ROUNDUP(Titanic_DATASET[[#This Row],[Age Correción 2]],0)</f>
        <v>16</v>
      </c>
      <c r="G706" s="4">
        <f>VALUE(SUBSTITUTE(Titanic_DATASET[[#This Row],[Age Correción.]],".",","))</f>
        <v>16</v>
      </c>
      <c r="H706" s="5">
        <v>16</v>
      </c>
      <c r="I706">
        <v>16</v>
      </c>
      <c r="J706">
        <v>1</v>
      </c>
      <c r="K706">
        <v>1</v>
      </c>
      <c r="L706" s="3" t="s">
        <v>1362</v>
      </c>
      <c r="M706" s="6">
        <f t="shared" si="20"/>
        <v>20.25</v>
      </c>
      <c r="N706" t="s">
        <v>1363</v>
      </c>
      <c r="O706" t="str">
        <f t="shared" si="21"/>
        <v>Desconocido</v>
      </c>
      <c r="Q706" t="s">
        <v>905</v>
      </c>
    </row>
    <row r="707" spans="1:17" x14ac:dyDescent="0.25">
      <c r="A707">
        <v>135</v>
      </c>
      <c r="B707">
        <v>0</v>
      </c>
      <c r="C707">
        <v>2</v>
      </c>
      <c r="D707" t="s">
        <v>1125</v>
      </c>
      <c r="E707" t="s">
        <v>902</v>
      </c>
      <c r="F707">
        <f>ROUNDUP(Titanic_DATASET[[#This Row],[Age Correción 2]],0)</f>
        <v>25</v>
      </c>
      <c r="G707" s="4">
        <f>VALUE(SUBSTITUTE(Titanic_DATASET[[#This Row],[Age Correción.]],".",","))</f>
        <v>25</v>
      </c>
      <c r="H707" s="5">
        <v>25</v>
      </c>
      <c r="I707">
        <v>25</v>
      </c>
      <c r="J707">
        <v>0</v>
      </c>
      <c r="K707">
        <v>0</v>
      </c>
      <c r="L707" s="3" t="s">
        <v>1126</v>
      </c>
      <c r="M707" s="6">
        <f t="shared" si="20"/>
        <v>13</v>
      </c>
      <c r="N707">
        <v>13</v>
      </c>
      <c r="O707" t="str">
        <f t="shared" si="21"/>
        <v>Desconocido</v>
      </c>
      <c r="Q707" t="s">
        <v>905</v>
      </c>
    </row>
    <row r="708" spans="1:17" x14ac:dyDescent="0.25">
      <c r="A708">
        <v>67</v>
      </c>
      <c r="B708">
        <v>1</v>
      </c>
      <c r="C708">
        <v>2</v>
      </c>
      <c r="D708" t="s">
        <v>1019</v>
      </c>
      <c r="E708" t="s">
        <v>907</v>
      </c>
      <c r="F708">
        <f>ROUNDUP(Titanic_DATASET[[#This Row],[Age Correción 2]],0)</f>
        <v>29</v>
      </c>
      <c r="G708" s="4">
        <f>VALUE(SUBSTITUTE(Titanic_DATASET[[#This Row],[Age Correción.]],".",","))</f>
        <v>29</v>
      </c>
      <c r="H708" s="5">
        <v>29</v>
      </c>
      <c r="I708">
        <v>29</v>
      </c>
      <c r="J708">
        <v>0</v>
      </c>
      <c r="K708">
        <v>0</v>
      </c>
      <c r="L708" s="3" t="s">
        <v>1020</v>
      </c>
      <c r="M708" s="6">
        <f t="shared" ref="M708:M771" si="22">VALUE(SUBSTITUTE(N708,".",","))</f>
        <v>10.5</v>
      </c>
      <c r="N708" t="s">
        <v>964</v>
      </c>
      <c r="O708" t="str">
        <f t="shared" ref="O708:O771" si="23">IF(ISBLANK(P708),"Desconocido",P708)</f>
        <v>F33</v>
      </c>
      <c r="P708" t="s">
        <v>1021</v>
      </c>
      <c r="Q708" t="s">
        <v>905</v>
      </c>
    </row>
    <row r="709" spans="1:17" x14ac:dyDescent="0.25">
      <c r="A709">
        <v>235</v>
      </c>
      <c r="B709">
        <v>0</v>
      </c>
      <c r="C709">
        <v>2</v>
      </c>
      <c r="D709" t="s">
        <v>1287</v>
      </c>
      <c r="E709" t="s">
        <v>902</v>
      </c>
      <c r="F709">
        <f>ROUNDUP(Titanic_DATASET[[#This Row],[Age Correción 2]],0)</f>
        <v>24</v>
      </c>
      <c r="G709" s="4">
        <f>VALUE(SUBSTITUTE(Titanic_DATASET[[#This Row],[Age Correción.]],".",","))</f>
        <v>24</v>
      </c>
      <c r="H709" s="5">
        <v>24</v>
      </c>
      <c r="I709">
        <v>24</v>
      </c>
      <c r="J709">
        <v>0</v>
      </c>
      <c r="K709">
        <v>0</v>
      </c>
      <c r="L709" s="3" t="s">
        <v>1288</v>
      </c>
      <c r="M709" s="6">
        <f t="shared" si="22"/>
        <v>10.5</v>
      </c>
      <c r="N709" t="s">
        <v>964</v>
      </c>
      <c r="O709" t="str">
        <f t="shared" si="23"/>
        <v>Desconocido</v>
      </c>
      <c r="Q709" t="s">
        <v>905</v>
      </c>
    </row>
    <row r="710" spans="1:17" x14ac:dyDescent="0.25">
      <c r="A710">
        <v>57</v>
      </c>
      <c r="B710">
        <v>1</v>
      </c>
      <c r="C710">
        <v>2</v>
      </c>
      <c r="D710" t="s">
        <v>999</v>
      </c>
      <c r="E710" t="s">
        <v>907</v>
      </c>
      <c r="F710">
        <f>ROUNDUP(Titanic_DATASET[[#This Row],[Age Correción 2]],0)</f>
        <v>21</v>
      </c>
      <c r="G710" s="4">
        <f>VALUE(SUBSTITUTE(Titanic_DATASET[[#This Row],[Age Correción.]],".",","))</f>
        <v>21</v>
      </c>
      <c r="H710" s="5">
        <v>21</v>
      </c>
      <c r="I710">
        <v>21</v>
      </c>
      <c r="J710">
        <v>0</v>
      </c>
      <c r="K710">
        <v>0</v>
      </c>
      <c r="L710" s="3" t="s">
        <v>1000</v>
      </c>
      <c r="M710" s="6">
        <f t="shared" si="22"/>
        <v>10.5</v>
      </c>
      <c r="N710" t="s">
        <v>964</v>
      </c>
      <c r="O710" t="str">
        <f t="shared" si="23"/>
        <v>Desconocido</v>
      </c>
      <c r="Q710" t="s">
        <v>905</v>
      </c>
    </row>
    <row r="711" spans="1:17" x14ac:dyDescent="0.25">
      <c r="A711">
        <v>238</v>
      </c>
      <c r="B711">
        <v>1</v>
      </c>
      <c r="C711">
        <v>2</v>
      </c>
      <c r="D711" t="s">
        <v>1293</v>
      </c>
      <c r="E711" t="s">
        <v>907</v>
      </c>
      <c r="F711">
        <f>ROUNDUP(Titanic_DATASET[[#This Row],[Age Correción 2]],0)</f>
        <v>8</v>
      </c>
      <c r="G711" s="4">
        <f>VALUE(SUBSTITUTE(Titanic_DATASET[[#This Row],[Age Correción.]],".",","))</f>
        <v>8</v>
      </c>
      <c r="H711" s="5">
        <v>8</v>
      </c>
      <c r="I711">
        <v>8</v>
      </c>
      <c r="J711">
        <v>0</v>
      </c>
      <c r="K711">
        <v>2</v>
      </c>
      <c r="L711" s="3" t="s">
        <v>1294</v>
      </c>
      <c r="M711" s="6">
        <f t="shared" si="22"/>
        <v>26.25</v>
      </c>
      <c r="N711" t="s">
        <v>1295</v>
      </c>
      <c r="O711" t="str">
        <f t="shared" si="23"/>
        <v>Desconocido</v>
      </c>
      <c r="Q711" t="s">
        <v>905</v>
      </c>
    </row>
    <row r="712" spans="1:17" x14ac:dyDescent="0.25">
      <c r="A712">
        <v>638</v>
      </c>
      <c r="B712">
        <v>0</v>
      </c>
      <c r="C712">
        <v>2</v>
      </c>
      <c r="D712" t="s">
        <v>1871</v>
      </c>
      <c r="E712" t="s">
        <v>902</v>
      </c>
      <c r="F712">
        <f>ROUNDUP(Titanic_DATASET[[#This Row],[Age Correción 2]],0)</f>
        <v>31</v>
      </c>
      <c r="G712" s="4">
        <f>VALUE(SUBSTITUTE(Titanic_DATASET[[#This Row],[Age Correción.]],".",","))</f>
        <v>31</v>
      </c>
      <c r="H712" s="5">
        <v>31</v>
      </c>
      <c r="I712">
        <v>31</v>
      </c>
      <c r="J712">
        <v>1</v>
      </c>
      <c r="K712">
        <v>1</v>
      </c>
      <c r="L712" s="3" t="s">
        <v>1294</v>
      </c>
      <c r="M712" s="6">
        <f t="shared" si="22"/>
        <v>26.25</v>
      </c>
      <c r="N712" t="s">
        <v>1295</v>
      </c>
      <c r="O712" t="str">
        <f t="shared" si="23"/>
        <v>Desconocido</v>
      </c>
      <c r="Q712" t="s">
        <v>905</v>
      </c>
    </row>
    <row r="713" spans="1:17" x14ac:dyDescent="0.25">
      <c r="A713">
        <v>802</v>
      </c>
      <c r="B713">
        <v>1</v>
      </c>
      <c r="C713">
        <v>2</v>
      </c>
      <c r="D713" t="s">
        <v>2081</v>
      </c>
      <c r="E713" t="s">
        <v>907</v>
      </c>
      <c r="F713">
        <f>ROUNDUP(Titanic_DATASET[[#This Row],[Age Correción 2]],0)</f>
        <v>31</v>
      </c>
      <c r="G713" s="4">
        <f>VALUE(SUBSTITUTE(Titanic_DATASET[[#This Row],[Age Correción.]],".",","))</f>
        <v>31</v>
      </c>
      <c r="H713" s="5">
        <v>31</v>
      </c>
      <c r="I713">
        <v>31</v>
      </c>
      <c r="J713">
        <v>1</v>
      </c>
      <c r="K713">
        <v>1</v>
      </c>
      <c r="L713" s="3" t="s">
        <v>1294</v>
      </c>
      <c r="M713" s="6">
        <f t="shared" si="22"/>
        <v>26.25</v>
      </c>
      <c r="N713" t="s">
        <v>1295</v>
      </c>
      <c r="O713" t="str">
        <f t="shared" si="23"/>
        <v>Desconocido</v>
      </c>
      <c r="Q713" t="s">
        <v>905</v>
      </c>
    </row>
    <row r="714" spans="1:17" x14ac:dyDescent="0.25">
      <c r="A714">
        <v>71</v>
      </c>
      <c r="B714">
        <v>0</v>
      </c>
      <c r="C714">
        <v>2</v>
      </c>
      <c r="D714" t="s">
        <v>1026</v>
      </c>
      <c r="E714" t="s">
        <v>902</v>
      </c>
      <c r="F714">
        <f>ROUNDUP(Titanic_DATASET[[#This Row],[Age Correción 2]],0)</f>
        <v>32</v>
      </c>
      <c r="G714" s="4">
        <f>VALUE(SUBSTITUTE(Titanic_DATASET[[#This Row],[Age Correción.]],".",","))</f>
        <v>32</v>
      </c>
      <c r="H714" s="5">
        <v>32</v>
      </c>
      <c r="I714">
        <v>32</v>
      </c>
      <c r="J714">
        <v>0</v>
      </c>
      <c r="K714">
        <v>0</v>
      </c>
      <c r="L714" s="3" t="s">
        <v>1027</v>
      </c>
      <c r="M714" s="6">
        <f t="shared" si="22"/>
        <v>10.5</v>
      </c>
      <c r="N714" t="s">
        <v>964</v>
      </c>
      <c r="O714" t="str">
        <f t="shared" si="23"/>
        <v>Desconocido</v>
      </c>
      <c r="Q714" t="s">
        <v>905</v>
      </c>
    </row>
    <row r="715" spans="1:17" x14ac:dyDescent="0.25">
      <c r="A715">
        <v>146</v>
      </c>
      <c r="B715">
        <v>0</v>
      </c>
      <c r="C715">
        <v>2</v>
      </c>
      <c r="D715" t="s">
        <v>1145</v>
      </c>
      <c r="E715" t="s">
        <v>902</v>
      </c>
      <c r="F715">
        <f>ROUNDUP(Titanic_DATASET[[#This Row],[Age Correción 2]],0)</f>
        <v>19</v>
      </c>
      <c r="G715" s="4">
        <f>VALUE(SUBSTITUTE(Titanic_DATASET[[#This Row],[Age Correción.]],".",","))</f>
        <v>19</v>
      </c>
      <c r="H715" s="5">
        <v>19</v>
      </c>
      <c r="I715">
        <v>19</v>
      </c>
      <c r="J715">
        <v>1</v>
      </c>
      <c r="K715">
        <v>1</v>
      </c>
      <c r="L715" s="3" t="s">
        <v>1146</v>
      </c>
      <c r="M715" s="6">
        <f t="shared" si="22"/>
        <v>36.75</v>
      </c>
      <c r="N715" t="s">
        <v>1147</v>
      </c>
      <c r="O715" t="str">
        <f t="shared" si="23"/>
        <v>Desconocido</v>
      </c>
      <c r="Q715" t="s">
        <v>905</v>
      </c>
    </row>
    <row r="716" spans="1:17" x14ac:dyDescent="0.25">
      <c r="A716">
        <v>550</v>
      </c>
      <c r="B716">
        <v>1</v>
      </c>
      <c r="C716">
        <v>2</v>
      </c>
      <c r="D716" t="s">
        <v>1753</v>
      </c>
      <c r="E716" t="s">
        <v>902</v>
      </c>
      <c r="F716">
        <f>ROUNDUP(Titanic_DATASET[[#This Row],[Age Correción 2]],0)</f>
        <v>8</v>
      </c>
      <c r="G716" s="4">
        <f>VALUE(SUBSTITUTE(Titanic_DATASET[[#This Row],[Age Correción.]],".",","))</f>
        <v>8</v>
      </c>
      <c r="H716" s="5">
        <v>8</v>
      </c>
      <c r="I716">
        <v>8</v>
      </c>
      <c r="J716">
        <v>1</v>
      </c>
      <c r="K716">
        <v>1</v>
      </c>
      <c r="L716" s="3" t="s">
        <v>1146</v>
      </c>
      <c r="M716" s="6">
        <f t="shared" si="22"/>
        <v>36.75</v>
      </c>
      <c r="N716" t="s">
        <v>1147</v>
      </c>
      <c r="O716" t="str">
        <f t="shared" si="23"/>
        <v>Desconocido</v>
      </c>
      <c r="Q716" t="s">
        <v>905</v>
      </c>
    </row>
    <row r="717" spans="1:17" x14ac:dyDescent="0.25">
      <c r="A717">
        <v>162</v>
      </c>
      <c r="B717">
        <v>1</v>
      </c>
      <c r="C717">
        <v>2</v>
      </c>
      <c r="D717" t="s">
        <v>1178</v>
      </c>
      <c r="E717" t="s">
        <v>907</v>
      </c>
      <c r="F717">
        <f>ROUNDUP(Titanic_DATASET[[#This Row],[Age Correción 2]],0)</f>
        <v>40</v>
      </c>
      <c r="G717" s="4">
        <f>VALUE(SUBSTITUTE(Titanic_DATASET[[#This Row],[Age Correción.]],".",","))</f>
        <v>40</v>
      </c>
      <c r="H717" s="5">
        <v>40</v>
      </c>
      <c r="I717">
        <v>40</v>
      </c>
      <c r="J717">
        <v>0</v>
      </c>
      <c r="K717">
        <v>0</v>
      </c>
      <c r="L717" s="3" t="s">
        <v>1179</v>
      </c>
      <c r="M717" s="6">
        <f t="shared" si="22"/>
        <v>15.75</v>
      </c>
      <c r="N717" t="s">
        <v>1180</v>
      </c>
      <c r="O717" t="str">
        <f t="shared" si="23"/>
        <v>Desconocido</v>
      </c>
      <c r="Q717" t="s">
        <v>905</v>
      </c>
    </row>
    <row r="718" spans="1:17" x14ac:dyDescent="0.25">
      <c r="A718">
        <v>517</v>
      </c>
      <c r="B718">
        <v>1</v>
      </c>
      <c r="C718">
        <v>2</v>
      </c>
      <c r="D718" t="s">
        <v>1706</v>
      </c>
      <c r="E718" t="s">
        <v>907</v>
      </c>
      <c r="F718">
        <f>ROUNDUP(Titanic_DATASET[[#This Row],[Age Correción 2]],0)</f>
        <v>34</v>
      </c>
      <c r="G718" s="4">
        <f>VALUE(SUBSTITUTE(Titanic_DATASET[[#This Row],[Age Correción.]],".",","))</f>
        <v>34</v>
      </c>
      <c r="H718" s="5">
        <v>34</v>
      </c>
      <c r="I718">
        <v>34</v>
      </c>
      <c r="J718">
        <v>0</v>
      </c>
      <c r="K718">
        <v>0</v>
      </c>
      <c r="L718" s="3" t="s">
        <v>1707</v>
      </c>
      <c r="M718" s="6">
        <f t="shared" si="22"/>
        <v>10.5</v>
      </c>
      <c r="N718" t="s">
        <v>964</v>
      </c>
      <c r="O718" t="str">
        <f t="shared" si="23"/>
        <v>F33</v>
      </c>
      <c r="P718" t="s">
        <v>1021</v>
      </c>
      <c r="Q718" t="s">
        <v>905</v>
      </c>
    </row>
    <row r="719" spans="1:17" x14ac:dyDescent="0.25">
      <c r="A719">
        <v>59</v>
      </c>
      <c r="B719">
        <v>1</v>
      </c>
      <c r="C719">
        <v>2</v>
      </c>
      <c r="D719" t="s">
        <v>1003</v>
      </c>
      <c r="E719" t="s">
        <v>907</v>
      </c>
      <c r="F719">
        <f>ROUNDUP(Titanic_DATASET[[#This Row],[Age Correción 2]],0)</f>
        <v>5</v>
      </c>
      <c r="G719" s="4">
        <f>VALUE(SUBSTITUTE(Titanic_DATASET[[#This Row],[Age Correción.]],".",","))</f>
        <v>5</v>
      </c>
      <c r="H719" s="5">
        <v>5</v>
      </c>
      <c r="I719">
        <v>5</v>
      </c>
      <c r="J719">
        <v>1</v>
      </c>
      <c r="K719">
        <v>2</v>
      </c>
      <c r="L719" s="3" t="s">
        <v>1004</v>
      </c>
      <c r="M719" s="6">
        <f t="shared" si="22"/>
        <v>27.75</v>
      </c>
      <c r="N719" t="s">
        <v>1005</v>
      </c>
      <c r="O719" t="str">
        <f t="shared" si="23"/>
        <v>Desconocido</v>
      </c>
      <c r="Q719" t="s">
        <v>905</v>
      </c>
    </row>
    <row r="720" spans="1:17" x14ac:dyDescent="0.25">
      <c r="A720">
        <v>451</v>
      </c>
      <c r="B720">
        <v>0</v>
      </c>
      <c r="C720">
        <v>2</v>
      </c>
      <c r="D720" t="s">
        <v>1608</v>
      </c>
      <c r="E720" t="s">
        <v>902</v>
      </c>
      <c r="F720">
        <f>ROUNDUP(Titanic_DATASET[[#This Row],[Age Correción 2]],0)</f>
        <v>36</v>
      </c>
      <c r="G720" s="4">
        <f>VALUE(SUBSTITUTE(Titanic_DATASET[[#This Row],[Age Correción.]],".",","))</f>
        <v>36</v>
      </c>
      <c r="H720" s="5">
        <v>36</v>
      </c>
      <c r="I720">
        <v>36</v>
      </c>
      <c r="J720">
        <v>1</v>
      </c>
      <c r="K720">
        <v>2</v>
      </c>
      <c r="L720" s="3" t="s">
        <v>1004</v>
      </c>
      <c r="M720" s="6">
        <f t="shared" si="22"/>
        <v>27.75</v>
      </c>
      <c r="N720" t="s">
        <v>1005</v>
      </c>
      <c r="O720" t="str">
        <f t="shared" si="23"/>
        <v>Desconocido</v>
      </c>
      <c r="Q720" t="s">
        <v>905</v>
      </c>
    </row>
    <row r="721" spans="1:17" x14ac:dyDescent="0.25">
      <c r="A721">
        <v>473</v>
      </c>
      <c r="B721">
        <v>1</v>
      </c>
      <c r="C721">
        <v>2</v>
      </c>
      <c r="D721" t="s">
        <v>1642</v>
      </c>
      <c r="E721" t="s">
        <v>907</v>
      </c>
      <c r="F721">
        <f>ROUNDUP(Titanic_DATASET[[#This Row],[Age Correción 2]],0)</f>
        <v>33</v>
      </c>
      <c r="G721" s="4">
        <f>VALUE(SUBSTITUTE(Titanic_DATASET[[#This Row],[Age Correción.]],".",","))</f>
        <v>33</v>
      </c>
      <c r="H721" s="5">
        <v>33</v>
      </c>
      <c r="I721">
        <v>33</v>
      </c>
      <c r="J721">
        <v>1</v>
      </c>
      <c r="K721">
        <v>2</v>
      </c>
      <c r="L721" s="3" t="s">
        <v>1004</v>
      </c>
      <c r="M721" s="6">
        <f t="shared" si="22"/>
        <v>27.75</v>
      </c>
      <c r="N721" t="s">
        <v>1005</v>
      </c>
      <c r="O721" t="str">
        <f t="shared" si="23"/>
        <v>Desconocido</v>
      </c>
      <c r="Q721" t="s">
        <v>905</v>
      </c>
    </row>
    <row r="722" spans="1:17" x14ac:dyDescent="0.25">
      <c r="A722">
        <v>349</v>
      </c>
      <c r="B722">
        <v>1</v>
      </c>
      <c r="C722">
        <v>3</v>
      </c>
      <c r="D722" t="s">
        <v>1471</v>
      </c>
      <c r="E722" t="s">
        <v>902</v>
      </c>
      <c r="F722">
        <f>ROUNDUP(Titanic_DATASET[[#This Row],[Age Correción 2]],0)</f>
        <v>3</v>
      </c>
      <c r="G722" s="4">
        <f>VALUE(SUBSTITUTE(Titanic_DATASET[[#This Row],[Age Correción.]],".",","))</f>
        <v>3</v>
      </c>
      <c r="H722" s="5">
        <v>3</v>
      </c>
      <c r="I722">
        <v>3</v>
      </c>
      <c r="J722">
        <v>1</v>
      </c>
      <c r="K722">
        <v>1</v>
      </c>
      <c r="L722" s="3" t="s">
        <v>1472</v>
      </c>
      <c r="M722" s="6">
        <f t="shared" si="22"/>
        <v>15.9</v>
      </c>
      <c r="N722" t="s">
        <v>1473</v>
      </c>
      <c r="O722" t="str">
        <f t="shared" si="23"/>
        <v>Desconocido</v>
      </c>
      <c r="Q722" t="s">
        <v>905</v>
      </c>
    </row>
    <row r="723" spans="1:17" x14ac:dyDescent="0.25">
      <c r="A723">
        <v>490</v>
      </c>
      <c r="B723">
        <v>1</v>
      </c>
      <c r="C723">
        <v>3</v>
      </c>
      <c r="D723" t="s">
        <v>1664</v>
      </c>
      <c r="E723" t="s">
        <v>902</v>
      </c>
      <c r="F723">
        <f>ROUNDUP(Titanic_DATASET[[#This Row],[Age Correción 2]],0)</f>
        <v>9</v>
      </c>
      <c r="G723" s="4">
        <f>VALUE(SUBSTITUTE(Titanic_DATASET[[#This Row],[Age Correción.]],".",","))</f>
        <v>9</v>
      </c>
      <c r="H723" s="5">
        <v>9</v>
      </c>
      <c r="I723">
        <v>9</v>
      </c>
      <c r="J723">
        <v>1</v>
      </c>
      <c r="K723">
        <v>1</v>
      </c>
      <c r="L723" s="3" t="s">
        <v>1472</v>
      </c>
      <c r="M723" s="6">
        <f t="shared" si="22"/>
        <v>15.9</v>
      </c>
      <c r="N723" t="s">
        <v>1473</v>
      </c>
      <c r="O723" t="str">
        <f t="shared" si="23"/>
        <v>Desconocido</v>
      </c>
      <c r="Q723" t="s">
        <v>905</v>
      </c>
    </row>
    <row r="724" spans="1:17" x14ac:dyDescent="0.25">
      <c r="A724">
        <v>846</v>
      </c>
      <c r="B724">
        <v>0</v>
      </c>
      <c r="C724">
        <v>3</v>
      </c>
      <c r="D724" t="s">
        <v>2140</v>
      </c>
      <c r="E724" t="s">
        <v>902</v>
      </c>
      <c r="F724">
        <f>ROUNDUP(Titanic_DATASET[[#This Row],[Age Correción 2]],0)</f>
        <v>42</v>
      </c>
      <c r="G724" s="4">
        <f>VALUE(SUBSTITUTE(Titanic_DATASET[[#This Row],[Age Correción.]],".",","))</f>
        <v>42</v>
      </c>
      <c r="H724" s="5">
        <v>42</v>
      </c>
      <c r="I724">
        <v>42</v>
      </c>
      <c r="J724">
        <v>0</v>
      </c>
      <c r="K724">
        <v>0</v>
      </c>
      <c r="L724" s="3" t="s">
        <v>2141</v>
      </c>
      <c r="M724" s="6">
        <f t="shared" si="22"/>
        <v>7.55</v>
      </c>
      <c r="N724" t="s">
        <v>1291</v>
      </c>
      <c r="O724" t="str">
        <f t="shared" si="23"/>
        <v>Desconocido</v>
      </c>
      <c r="Q724" t="s">
        <v>905</v>
      </c>
    </row>
    <row r="725" spans="1:17" x14ac:dyDescent="0.25">
      <c r="A725">
        <v>498</v>
      </c>
      <c r="B725">
        <v>0</v>
      </c>
      <c r="C725">
        <v>3</v>
      </c>
      <c r="D725" t="s">
        <v>1677</v>
      </c>
      <c r="E725" t="s">
        <v>902</v>
      </c>
      <c r="F725">
        <f>ROUNDUP(Titanic_DATASET[[#This Row],[Age Correción 2]],0)</f>
        <v>4</v>
      </c>
      <c r="G725" s="4">
        <f>VALUE(SUBSTITUTE(Titanic_DATASET[[#This Row],[Age Correción.]],".",","))</f>
        <v>4</v>
      </c>
      <c r="H725" s="5">
        <v>4</v>
      </c>
      <c r="J725">
        <v>0</v>
      </c>
      <c r="K725">
        <v>0</v>
      </c>
      <c r="L725" s="3" t="s">
        <v>1678</v>
      </c>
      <c r="M725" s="6">
        <f t="shared" si="22"/>
        <v>15.1</v>
      </c>
      <c r="N725" t="s">
        <v>1679</v>
      </c>
      <c r="O725" t="str">
        <f t="shared" si="23"/>
        <v>Desconocido</v>
      </c>
      <c r="Q725" t="s">
        <v>905</v>
      </c>
    </row>
    <row r="726" spans="1:17" x14ac:dyDescent="0.25">
      <c r="A726">
        <v>884</v>
      </c>
      <c r="B726">
        <v>0</v>
      </c>
      <c r="C726">
        <v>2</v>
      </c>
      <c r="D726" t="s">
        <v>2187</v>
      </c>
      <c r="E726" t="s">
        <v>902</v>
      </c>
      <c r="F726">
        <f>ROUNDUP(Titanic_DATASET[[#This Row],[Age Correción 2]],0)</f>
        <v>28</v>
      </c>
      <c r="G726" s="4">
        <f>VALUE(SUBSTITUTE(Titanic_DATASET[[#This Row],[Age Correción.]],".",","))</f>
        <v>28</v>
      </c>
      <c r="H726" s="5">
        <v>28</v>
      </c>
      <c r="I726">
        <v>28</v>
      </c>
      <c r="J726">
        <v>0</v>
      </c>
      <c r="K726">
        <v>0</v>
      </c>
      <c r="L726" s="3" t="s">
        <v>2188</v>
      </c>
      <c r="M726" s="6">
        <f t="shared" si="22"/>
        <v>10.5</v>
      </c>
      <c r="N726" t="s">
        <v>964</v>
      </c>
      <c r="O726" t="str">
        <f t="shared" si="23"/>
        <v>Desconocido</v>
      </c>
      <c r="Q726" t="s">
        <v>905</v>
      </c>
    </row>
    <row r="727" spans="1:17" x14ac:dyDescent="0.25">
      <c r="A727">
        <v>60</v>
      </c>
      <c r="B727">
        <v>0</v>
      </c>
      <c r="C727">
        <v>3</v>
      </c>
      <c r="D727" t="s">
        <v>1006</v>
      </c>
      <c r="E727" t="s">
        <v>902</v>
      </c>
      <c r="F727">
        <f>ROUNDUP(Titanic_DATASET[[#This Row],[Age Correción 2]],0)</f>
        <v>11</v>
      </c>
      <c r="G727" s="4">
        <f>VALUE(SUBSTITUTE(Titanic_DATASET[[#This Row],[Age Correción.]],".",","))</f>
        <v>11</v>
      </c>
      <c r="H727" s="5">
        <v>11</v>
      </c>
      <c r="I727">
        <v>11</v>
      </c>
      <c r="J727">
        <v>5</v>
      </c>
      <c r="K727">
        <v>2</v>
      </c>
      <c r="L727" s="3" t="s">
        <v>1007</v>
      </c>
      <c r="M727" s="6">
        <f t="shared" si="22"/>
        <v>46.9</v>
      </c>
      <c r="N727" t="s">
        <v>1008</v>
      </c>
      <c r="O727" t="str">
        <f t="shared" si="23"/>
        <v>Desconocido</v>
      </c>
      <c r="Q727" t="s">
        <v>905</v>
      </c>
    </row>
    <row r="728" spans="1:17" x14ac:dyDescent="0.25">
      <c r="A728">
        <v>72</v>
      </c>
      <c r="B728">
        <v>0</v>
      </c>
      <c r="C728">
        <v>3</v>
      </c>
      <c r="D728" t="s">
        <v>1028</v>
      </c>
      <c r="E728" t="s">
        <v>907</v>
      </c>
      <c r="F728">
        <f>ROUNDUP(Titanic_DATASET[[#This Row],[Age Correción 2]],0)</f>
        <v>16</v>
      </c>
      <c r="G728" s="4">
        <f>VALUE(SUBSTITUTE(Titanic_DATASET[[#This Row],[Age Correción.]],".",","))</f>
        <v>16</v>
      </c>
      <c r="H728" s="5">
        <v>16</v>
      </c>
      <c r="I728">
        <v>16</v>
      </c>
      <c r="J728">
        <v>5</v>
      </c>
      <c r="K728">
        <v>2</v>
      </c>
      <c r="L728" s="3" t="s">
        <v>1007</v>
      </c>
      <c r="M728" s="6">
        <f t="shared" si="22"/>
        <v>46.9</v>
      </c>
      <c r="N728" t="s">
        <v>1008</v>
      </c>
      <c r="O728" t="str">
        <f t="shared" si="23"/>
        <v>Desconocido</v>
      </c>
      <c r="Q728" t="s">
        <v>905</v>
      </c>
    </row>
    <row r="729" spans="1:17" x14ac:dyDescent="0.25">
      <c r="A729">
        <v>387</v>
      </c>
      <c r="B729">
        <v>0</v>
      </c>
      <c r="C729">
        <v>3</v>
      </c>
      <c r="D729" t="s">
        <v>1526</v>
      </c>
      <c r="E729" t="s">
        <v>902</v>
      </c>
      <c r="F729">
        <f>ROUNDUP(Titanic_DATASET[[#This Row],[Age Correción 2]],0)</f>
        <v>1</v>
      </c>
      <c r="G729" s="4">
        <f>VALUE(SUBSTITUTE(Titanic_DATASET[[#This Row],[Age Correción.]],".",","))</f>
        <v>1</v>
      </c>
      <c r="H729" s="5">
        <v>1</v>
      </c>
      <c r="I729">
        <v>1</v>
      </c>
      <c r="J729">
        <v>5</v>
      </c>
      <c r="K729">
        <v>2</v>
      </c>
      <c r="L729" s="3" t="s">
        <v>1007</v>
      </c>
      <c r="M729" s="6">
        <f t="shared" si="22"/>
        <v>46.9</v>
      </c>
      <c r="N729" t="s">
        <v>1008</v>
      </c>
      <c r="O729" t="str">
        <f t="shared" si="23"/>
        <v>Desconocido</v>
      </c>
      <c r="Q729" t="s">
        <v>905</v>
      </c>
    </row>
    <row r="730" spans="1:17" x14ac:dyDescent="0.25">
      <c r="A730">
        <v>481</v>
      </c>
      <c r="B730">
        <v>0</v>
      </c>
      <c r="C730">
        <v>3</v>
      </c>
      <c r="D730" t="s">
        <v>1652</v>
      </c>
      <c r="E730" t="s">
        <v>902</v>
      </c>
      <c r="F730">
        <f>ROUNDUP(Titanic_DATASET[[#This Row],[Age Correción 2]],0)</f>
        <v>9</v>
      </c>
      <c r="G730" s="4">
        <f>VALUE(SUBSTITUTE(Titanic_DATASET[[#This Row],[Age Correción.]],".",","))</f>
        <v>9</v>
      </c>
      <c r="H730" s="5">
        <v>9</v>
      </c>
      <c r="I730">
        <v>9</v>
      </c>
      <c r="J730">
        <v>5</v>
      </c>
      <c r="K730">
        <v>2</v>
      </c>
      <c r="L730" s="3" t="s">
        <v>1007</v>
      </c>
      <c r="M730" s="6">
        <f t="shared" si="22"/>
        <v>46.9</v>
      </c>
      <c r="N730" t="s">
        <v>1008</v>
      </c>
      <c r="O730" t="str">
        <f t="shared" si="23"/>
        <v>Desconocido</v>
      </c>
      <c r="Q730" t="s">
        <v>905</v>
      </c>
    </row>
    <row r="731" spans="1:17" x14ac:dyDescent="0.25">
      <c r="A731">
        <v>679</v>
      </c>
      <c r="B731">
        <v>0</v>
      </c>
      <c r="C731">
        <v>3</v>
      </c>
      <c r="D731" t="s">
        <v>1924</v>
      </c>
      <c r="E731" t="s">
        <v>907</v>
      </c>
      <c r="F731">
        <f>ROUNDUP(Titanic_DATASET[[#This Row],[Age Correción 2]],0)</f>
        <v>43</v>
      </c>
      <c r="G731" s="4">
        <f>VALUE(SUBSTITUTE(Titanic_DATASET[[#This Row],[Age Correción.]],".",","))</f>
        <v>43</v>
      </c>
      <c r="H731" s="5">
        <v>43</v>
      </c>
      <c r="I731">
        <v>43</v>
      </c>
      <c r="J731">
        <v>1</v>
      </c>
      <c r="K731">
        <v>6</v>
      </c>
      <c r="L731" s="3" t="s">
        <v>1007</v>
      </c>
      <c r="M731" s="6">
        <f t="shared" si="22"/>
        <v>46.9</v>
      </c>
      <c r="N731" t="s">
        <v>1008</v>
      </c>
      <c r="O731" t="str">
        <f t="shared" si="23"/>
        <v>Desconocido</v>
      </c>
      <c r="Q731" t="s">
        <v>905</v>
      </c>
    </row>
    <row r="732" spans="1:17" x14ac:dyDescent="0.25">
      <c r="A732">
        <v>684</v>
      </c>
      <c r="B732">
        <v>0</v>
      </c>
      <c r="C732">
        <v>3</v>
      </c>
      <c r="D732" t="s">
        <v>1931</v>
      </c>
      <c r="E732" t="s">
        <v>902</v>
      </c>
      <c r="F732">
        <f>ROUNDUP(Titanic_DATASET[[#This Row],[Age Correción 2]],0)</f>
        <v>14</v>
      </c>
      <c r="G732" s="4">
        <f>VALUE(SUBSTITUTE(Titanic_DATASET[[#This Row],[Age Correción.]],".",","))</f>
        <v>14</v>
      </c>
      <c r="H732" s="5">
        <v>14</v>
      </c>
      <c r="I732">
        <v>14</v>
      </c>
      <c r="J732">
        <v>5</v>
      </c>
      <c r="K732">
        <v>2</v>
      </c>
      <c r="L732" s="3" t="s">
        <v>1007</v>
      </c>
      <c r="M732" s="6">
        <f t="shared" si="22"/>
        <v>46.9</v>
      </c>
      <c r="N732" t="s">
        <v>1008</v>
      </c>
      <c r="O732" t="str">
        <f t="shared" si="23"/>
        <v>Desconocido</v>
      </c>
      <c r="Q732" t="s">
        <v>905</v>
      </c>
    </row>
    <row r="733" spans="1:17" x14ac:dyDescent="0.25">
      <c r="A733">
        <v>650</v>
      </c>
      <c r="B733">
        <v>1</v>
      </c>
      <c r="C733">
        <v>3</v>
      </c>
      <c r="D733" t="s">
        <v>1885</v>
      </c>
      <c r="E733" t="s">
        <v>907</v>
      </c>
      <c r="F733">
        <f>ROUNDUP(Titanic_DATASET[[#This Row],[Age Correción 2]],0)</f>
        <v>23</v>
      </c>
      <c r="G733" s="4">
        <f>VALUE(SUBSTITUTE(Titanic_DATASET[[#This Row],[Age Correción.]],".",","))</f>
        <v>23</v>
      </c>
      <c r="H733" s="5">
        <v>23</v>
      </c>
      <c r="I733">
        <v>23</v>
      </c>
      <c r="J733">
        <v>0</v>
      </c>
      <c r="K733">
        <v>0</v>
      </c>
      <c r="L733" s="3" t="s">
        <v>1886</v>
      </c>
      <c r="M733" s="6">
        <f t="shared" si="22"/>
        <v>7.55</v>
      </c>
      <c r="N733" t="s">
        <v>1291</v>
      </c>
      <c r="O733" t="str">
        <f t="shared" si="23"/>
        <v>Desconocido</v>
      </c>
      <c r="Q733" t="s">
        <v>905</v>
      </c>
    </row>
    <row r="734" spans="1:17" x14ac:dyDescent="0.25">
      <c r="A734">
        <v>160</v>
      </c>
      <c r="B734">
        <v>0</v>
      </c>
      <c r="C734">
        <v>3</v>
      </c>
      <c r="D734" t="s">
        <v>1173</v>
      </c>
      <c r="E734" t="s">
        <v>902</v>
      </c>
      <c r="F734">
        <f>ROUNDUP(Titanic_DATASET[[#This Row],[Age Correción 2]],0)</f>
        <v>35</v>
      </c>
      <c r="G734" s="4">
        <f>VALUE(SUBSTITUTE(Titanic_DATASET[[#This Row],[Age Correción.]],".",","))</f>
        <v>35</v>
      </c>
      <c r="H734" s="5">
        <v>35</v>
      </c>
      <c r="J734">
        <v>8</v>
      </c>
      <c r="K734">
        <v>2</v>
      </c>
      <c r="L734" s="3" t="s">
        <v>1174</v>
      </c>
      <c r="M734" s="6">
        <f t="shared" si="22"/>
        <v>69.55</v>
      </c>
      <c r="N734" t="s">
        <v>1175</v>
      </c>
      <c r="O734" t="str">
        <f t="shared" si="23"/>
        <v>Desconocido</v>
      </c>
      <c r="Q734" t="s">
        <v>905</v>
      </c>
    </row>
    <row r="735" spans="1:17" x14ac:dyDescent="0.25">
      <c r="A735">
        <v>181</v>
      </c>
      <c r="B735">
        <v>0</v>
      </c>
      <c r="C735">
        <v>3</v>
      </c>
      <c r="D735" t="s">
        <v>1208</v>
      </c>
      <c r="E735" t="s">
        <v>907</v>
      </c>
      <c r="F735">
        <f>ROUNDUP(Titanic_DATASET[[#This Row],[Age Correción 2]],0)</f>
        <v>20</v>
      </c>
      <c r="G735" s="4">
        <f>VALUE(SUBSTITUTE(Titanic_DATASET[[#This Row],[Age Correción.]],".",","))</f>
        <v>20</v>
      </c>
      <c r="H735" s="5">
        <v>20</v>
      </c>
      <c r="J735">
        <v>8</v>
      </c>
      <c r="K735">
        <v>2</v>
      </c>
      <c r="L735" s="3" t="s">
        <v>1174</v>
      </c>
      <c r="M735" s="6">
        <f t="shared" si="22"/>
        <v>69.55</v>
      </c>
      <c r="N735" t="s">
        <v>1175</v>
      </c>
      <c r="O735" t="str">
        <f t="shared" si="23"/>
        <v>Desconocido</v>
      </c>
      <c r="Q735" t="s">
        <v>905</v>
      </c>
    </row>
    <row r="736" spans="1:17" x14ac:dyDescent="0.25">
      <c r="A736">
        <v>202</v>
      </c>
      <c r="B736">
        <v>0</v>
      </c>
      <c r="C736">
        <v>3</v>
      </c>
      <c r="D736" t="s">
        <v>1236</v>
      </c>
      <c r="E736" t="s">
        <v>902</v>
      </c>
      <c r="F736">
        <f>ROUNDUP(Titanic_DATASET[[#This Row],[Age Correción 2]],0)</f>
        <v>50</v>
      </c>
      <c r="G736" s="4">
        <f>VALUE(SUBSTITUTE(Titanic_DATASET[[#This Row],[Age Correción.]],".",","))</f>
        <v>50</v>
      </c>
      <c r="H736" s="5">
        <v>50</v>
      </c>
      <c r="J736">
        <v>8</v>
      </c>
      <c r="K736">
        <v>2</v>
      </c>
      <c r="L736" s="3" t="s">
        <v>1174</v>
      </c>
      <c r="M736" s="6">
        <f t="shared" si="22"/>
        <v>69.55</v>
      </c>
      <c r="N736" t="s">
        <v>1175</v>
      </c>
      <c r="O736" t="str">
        <f t="shared" si="23"/>
        <v>Desconocido</v>
      </c>
      <c r="Q736" t="s">
        <v>905</v>
      </c>
    </row>
    <row r="737" spans="1:17" x14ac:dyDescent="0.25">
      <c r="A737">
        <v>325</v>
      </c>
      <c r="B737">
        <v>0</v>
      </c>
      <c r="C737">
        <v>3</v>
      </c>
      <c r="D737" t="s">
        <v>1439</v>
      </c>
      <c r="E737" t="s">
        <v>902</v>
      </c>
      <c r="F737">
        <f>ROUNDUP(Titanic_DATASET[[#This Row],[Age Correción 2]],0)</f>
        <v>51</v>
      </c>
      <c r="G737" s="4">
        <f>VALUE(SUBSTITUTE(Titanic_DATASET[[#This Row],[Age Correción.]],".",","))</f>
        <v>51</v>
      </c>
      <c r="H737" s="5">
        <v>51</v>
      </c>
      <c r="J737">
        <v>8</v>
      </c>
      <c r="K737">
        <v>2</v>
      </c>
      <c r="L737" s="3" t="s">
        <v>1174</v>
      </c>
      <c r="M737" s="6">
        <f t="shared" si="22"/>
        <v>69.55</v>
      </c>
      <c r="N737" t="s">
        <v>1175</v>
      </c>
      <c r="O737" t="str">
        <f t="shared" si="23"/>
        <v>Desconocido</v>
      </c>
      <c r="Q737" t="s">
        <v>905</v>
      </c>
    </row>
    <row r="738" spans="1:17" x14ac:dyDescent="0.25">
      <c r="A738">
        <v>793</v>
      </c>
      <c r="B738">
        <v>0</v>
      </c>
      <c r="C738">
        <v>3</v>
      </c>
      <c r="D738" t="s">
        <v>2070</v>
      </c>
      <c r="E738" t="s">
        <v>907</v>
      </c>
      <c r="F738">
        <f>ROUNDUP(Titanic_DATASET[[#This Row],[Age Correción 2]],0)</f>
        <v>12</v>
      </c>
      <c r="G738" s="4">
        <f>VALUE(SUBSTITUTE(Titanic_DATASET[[#This Row],[Age Correción.]],".",","))</f>
        <v>12</v>
      </c>
      <c r="H738" s="5">
        <v>12</v>
      </c>
      <c r="J738">
        <v>8</v>
      </c>
      <c r="K738">
        <v>2</v>
      </c>
      <c r="L738" s="3" t="s">
        <v>1174</v>
      </c>
      <c r="M738" s="6">
        <f t="shared" si="22"/>
        <v>69.55</v>
      </c>
      <c r="N738" t="s">
        <v>1175</v>
      </c>
      <c r="O738" t="str">
        <f t="shared" si="23"/>
        <v>Desconocido</v>
      </c>
      <c r="Q738" t="s">
        <v>905</v>
      </c>
    </row>
    <row r="739" spans="1:17" x14ac:dyDescent="0.25">
      <c r="A739">
        <v>847</v>
      </c>
      <c r="B739">
        <v>0</v>
      </c>
      <c r="C739">
        <v>3</v>
      </c>
      <c r="D739" t="s">
        <v>2142</v>
      </c>
      <c r="E739" t="s">
        <v>902</v>
      </c>
      <c r="F739">
        <f>ROUNDUP(Titanic_DATASET[[#This Row],[Age Correción 2]],0)</f>
        <v>64</v>
      </c>
      <c r="G739" s="4">
        <f>VALUE(SUBSTITUTE(Titanic_DATASET[[#This Row],[Age Correción.]],".",","))</f>
        <v>64</v>
      </c>
      <c r="H739" s="5">
        <v>64</v>
      </c>
      <c r="J739">
        <v>8</v>
      </c>
      <c r="K739">
        <v>2</v>
      </c>
      <c r="L739" s="3" t="s">
        <v>1174</v>
      </c>
      <c r="M739" s="6">
        <f t="shared" si="22"/>
        <v>69.55</v>
      </c>
      <c r="N739" t="s">
        <v>1175</v>
      </c>
      <c r="O739" t="str">
        <f t="shared" si="23"/>
        <v>Desconocido</v>
      </c>
      <c r="Q739" t="s">
        <v>905</v>
      </c>
    </row>
    <row r="740" spans="1:17" x14ac:dyDescent="0.25">
      <c r="A740">
        <v>864</v>
      </c>
      <c r="B740">
        <v>0</v>
      </c>
      <c r="C740">
        <v>3</v>
      </c>
      <c r="D740" t="s">
        <v>2163</v>
      </c>
      <c r="E740" t="s">
        <v>907</v>
      </c>
      <c r="F740">
        <f>ROUNDUP(Titanic_DATASET[[#This Row],[Age Correción 2]],0)</f>
        <v>57</v>
      </c>
      <c r="G740" s="4">
        <f>VALUE(SUBSTITUTE(Titanic_DATASET[[#This Row],[Age Correción.]],".",","))</f>
        <v>57</v>
      </c>
      <c r="H740" s="5">
        <v>57</v>
      </c>
      <c r="J740">
        <v>8</v>
      </c>
      <c r="K740">
        <v>2</v>
      </c>
      <c r="L740" s="3" t="s">
        <v>1174</v>
      </c>
      <c r="M740" s="6">
        <f t="shared" si="22"/>
        <v>69.55</v>
      </c>
      <c r="N740" t="s">
        <v>1175</v>
      </c>
      <c r="O740" t="str">
        <f t="shared" si="23"/>
        <v>Desconocido</v>
      </c>
      <c r="Q740" t="s">
        <v>905</v>
      </c>
    </row>
    <row r="741" spans="1:17" x14ac:dyDescent="0.25">
      <c r="A741">
        <v>672</v>
      </c>
      <c r="B741">
        <v>0</v>
      </c>
      <c r="C741">
        <v>1</v>
      </c>
      <c r="D741" t="s">
        <v>1913</v>
      </c>
      <c r="E741" t="s">
        <v>902</v>
      </c>
      <c r="F741">
        <f>ROUNDUP(Titanic_DATASET[[#This Row],[Age Correción 2]],0)</f>
        <v>31</v>
      </c>
      <c r="G741" s="4">
        <f>VALUE(SUBSTITUTE(Titanic_DATASET[[#This Row],[Age Correción.]],".",","))</f>
        <v>31</v>
      </c>
      <c r="H741" s="5">
        <v>31</v>
      </c>
      <c r="I741">
        <v>31</v>
      </c>
      <c r="J741">
        <v>1</v>
      </c>
      <c r="K741">
        <v>0</v>
      </c>
      <c r="L741" s="3" t="s">
        <v>1914</v>
      </c>
      <c r="M741" s="6">
        <f t="shared" si="22"/>
        <v>52</v>
      </c>
      <c r="N741">
        <v>52</v>
      </c>
      <c r="O741" t="str">
        <f t="shared" si="23"/>
        <v>B71</v>
      </c>
      <c r="P741" t="s">
        <v>1915</v>
      </c>
      <c r="Q741" t="s">
        <v>905</v>
      </c>
    </row>
    <row r="742" spans="1:17" x14ac:dyDescent="0.25">
      <c r="A742">
        <v>212</v>
      </c>
      <c r="B742">
        <v>1</v>
      </c>
      <c r="C742">
        <v>2</v>
      </c>
      <c r="D742" t="s">
        <v>1250</v>
      </c>
      <c r="E742" t="s">
        <v>907</v>
      </c>
      <c r="F742">
        <f>ROUNDUP(Titanic_DATASET[[#This Row],[Age Correción 2]],0)</f>
        <v>35</v>
      </c>
      <c r="G742" s="4">
        <f>VALUE(SUBSTITUTE(Titanic_DATASET[[#This Row],[Age Correción.]],".",","))</f>
        <v>35</v>
      </c>
      <c r="H742" s="5">
        <v>35</v>
      </c>
      <c r="I742">
        <v>35</v>
      </c>
      <c r="J742">
        <v>0</v>
      </c>
      <c r="K742">
        <v>0</v>
      </c>
      <c r="L742" s="3" t="s">
        <v>1251</v>
      </c>
      <c r="M742" s="6">
        <f t="shared" si="22"/>
        <v>21</v>
      </c>
      <c r="N742">
        <v>21</v>
      </c>
      <c r="O742" t="str">
        <f t="shared" si="23"/>
        <v>Desconocido</v>
      </c>
      <c r="Q742" t="s">
        <v>905</v>
      </c>
    </row>
    <row r="743" spans="1:17" x14ac:dyDescent="0.25">
      <c r="A743">
        <v>315</v>
      </c>
      <c r="B743">
        <v>0</v>
      </c>
      <c r="C743">
        <v>2</v>
      </c>
      <c r="D743" t="s">
        <v>1424</v>
      </c>
      <c r="E743" t="s">
        <v>902</v>
      </c>
      <c r="F743">
        <f>ROUNDUP(Titanic_DATASET[[#This Row],[Age Correción 2]],0)</f>
        <v>43</v>
      </c>
      <c r="G743" s="4">
        <f>VALUE(SUBSTITUTE(Titanic_DATASET[[#This Row],[Age Correción.]],".",","))</f>
        <v>43</v>
      </c>
      <c r="H743" s="5">
        <v>43</v>
      </c>
      <c r="I743">
        <v>43</v>
      </c>
      <c r="J743">
        <v>1</v>
      </c>
      <c r="K743">
        <v>1</v>
      </c>
      <c r="L743" s="3" t="s">
        <v>1425</v>
      </c>
      <c r="M743" s="6">
        <f t="shared" si="22"/>
        <v>26.25</v>
      </c>
      <c r="N743" t="s">
        <v>1295</v>
      </c>
      <c r="O743" t="str">
        <f t="shared" si="23"/>
        <v>Desconocido</v>
      </c>
      <c r="Q743" t="s">
        <v>905</v>
      </c>
    </row>
    <row r="744" spans="1:17" x14ac:dyDescent="0.25">
      <c r="A744">
        <v>441</v>
      </c>
      <c r="B744">
        <v>1</v>
      </c>
      <c r="C744">
        <v>2</v>
      </c>
      <c r="D744" t="s">
        <v>1596</v>
      </c>
      <c r="E744" t="s">
        <v>907</v>
      </c>
      <c r="F744">
        <f>ROUNDUP(Titanic_DATASET[[#This Row],[Age Correción 2]],0)</f>
        <v>45</v>
      </c>
      <c r="G744" s="4">
        <f>VALUE(SUBSTITUTE(Titanic_DATASET[[#This Row],[Age Correción.]],".",","))</f>
        <v>45</v>
      </c>
      <c r="H744" s="5">
        <v>45</v>
      </c>
      <c r="I744">
        <v>45</v>
      </c>
      <c r="J744">
        <v>1</v>
      </c>
      <c r="K744">
        <v>1</v>
      </c>
      <c r="L744" s="3" t="s">
        <v>1425</v>
      </c>
      <c r="M744" s="6">
        <f t="shared" si="22"/>
        <v>26.25</v>
      </c>
      <c r="N744" t="s">
        <v>1295</v>
      </c>
      <c r="O744" t="str">
        <f t="shared" si="23"/>
        <v>Desconocido</v>
      </c>
      <c r="Q744" t="s">
        <v>905</v>
      </c>
    </row>
    <row r="745" spans="1:17" x14ac:dyDescent="0.25">
      <c r="A745">
        <v>536</v>
      </c>
      <c r="B745">
        <v>1</v>
      </c>
      <c r="C745">
        <v>2</v>
      </c>
      <c r="D745" t="s">
        <v>1731</v>
      </c>
      <c r="E745" t="s">
        <v>907</v>
      </c>
      <c r="F745">
        <f>ROUNDUP(Titanic_DATASET[[#This Row],[Age Correción 2]],0)</f>
        <v>7</v>
      </c>
      <c r="G745" s="4">
        <f>VALUE(SUBSTITUTE(Titanic_DATASET[[#This Row],[Age Correción.]],".",","))</f>
        <v>7</v>
      </c>
      <c r="H745" s="5">
        <v>7</v>
      </c>
      <c r="I745">
        <v>7</v>
      </c>
      <c r="J745">
        <v>0</v>
      </c>
      <c r="K745">
        <v>2</v>
      </c>
      <c r="L745" s="3" t="s">
        <v>1425</v>
      </c>
      <c r="M745" s="6">
        <f t="shared" si="22"/>
        <v>26.25</v>
      </c>
      <c r="N745" t="s">
        <v>1295</v>
      </c>
      <c r="O745" t="str">
        <f t="shared" si="23"/>
        <v>Desconocido</v>
      </c>
      <c r="Q745" t="s">
        <v>905</v>
      </c>
    </row>
    <row r="746" spans="1:17" x14ac:dyDescent="0.25">
      <c r="A746">
        <v>459</v>
      </c>
      <c r="B746">
        <v>1</v>
      </c>
      <c r="C746">
        <v>2</v>
      </c>
      <c r="D746" t="s">
        <v>1621</v>
      </c>
      <c r="E746" t="s">
        <v>907</v>
      </c>
      <c r="F746">
        <f>ROUNDUP(Titanic_DATASET[[#This Row],[Age Correción 2]],0)</f>
        <v>50</v>
      </c>
      <c r="G746" s="4">
        <f>VALUE(SUBSTITUTE(Titanic_DATASET[[#This Row],[Age Correción.]],".",","))</f>
        <v>50</v>
      </c>
      <c r="H746" s="5">
        <v>50</v>
      </c>
      <c r="I746">
        <v>50</v>
      </c>
      <c r="J746">
        <v>0</v>
      </c>
      <c r="K746">
        <v>0</v>
      </c>
      <c r="L746" s="3" t="s">
        <v>1622</v>
      </c>
      <c r="M746" s="6">
        <f t="shared" si="22"/>
        <v>10.5</v>
      </c>
      <c r="N746" t="s">
        <v>964</v>
      </c>
      <c r="O746" t="str">
        <f t="shared" si="23"/>
        <v>Desconocido</v>
      </c>
      <c r="Q746" t="s">
        <v>905</v>
      </c>
    </row>
    <row r="747" spans="1:17" x14ac:dyDescent="0.25">
      <c r="A747">
        <v>155</v>
      </c>
      <c r="B747">
        <v>0</v>
      </c>
      <c r="C747">
        <v>3</v>
      </c>
      <c r="D747" t="s">
        <v>1165</v>
      </c>
      <c r="E747" t="s">
        <v>902</v>
      </c>
      <c r="F747">
        <f>ROUNDUP(Titanic_DATASET[[#This Row],[Age Correción 2]],0)</f>
        <v>74</v>
      </c>
      <c r="G747" s="4">
        <f>VALUE(SUBSTITUTE(Titanic_DATASET[[#This Row],[Age Correción.]],".",","))</f>
        <v>74</v>
      </c>
      <c r="H747" s="5">
        <v>74</v>
      </c>
      <c r="J747">
        <v>0</v>
      </c>
      <c r="K747">
        <v>0</v>
      </c>
      <c r="L747" s="3" t="s">
        <v>1166</v>
      </c>
      <c r="M747" s="6">
        <f t="shared" si="22"/>
        <v>73125</v>
      </c>
      <c r="N747" s="1">
        <v>73125</v>
      </c>
      <c r="O747" s="1" t="str">
        <f t="shared" si="23"/>
        <v>Desconocido</v>
      </c>
      <c r="Q747" t="s">
        <v>905</v>
      </c>
    </row>
    <row r="748" spans="1:17" x14ac:dyDescent="0.25">
      <c r="A748">
        <v>180</v>
      </c>
      <c r="B748">
        <v>0</v>
      </c>
      <c r="C748">
        <v>3</v>
      </c>
      <c r="D748" t="s">
        <v>1206</v>
      </c>
      <c r="E748" t="s">
        <v>902</v>
      </c>
      <c r="F748">
        <f>ROUNDUP(Titanic_DATASET[[#This Row],[Age Correción 2]],0)</f>
        <v>36</v>
      </c>
      <c r="G748" s="4">
        <f>VALUE(SUBSTITUTE(Titanic_DATASET[[#This Row],[Age Correción.]],".",","))</f>
        <v>36</v>
      </c>
      <c r="H748" s="5">
        <v>36</v>
      </c>
      <c r="I748">
        <v>36</v>
      </c>
      <c r="J748">
        <v>0</v>
      </c>
      <c r="K748">
        <v>0</v>
      </c>
      <c r="L748" s="3" t="s">
        <v>1207</v>
      </c>
      <c r="M748" s="6">
        <f t="shared" si="22"/>
        <v>0</v>
      </c>
      <c r="N748">
        <v>0</v>
      </c>
      <c r="O748" t="str">
        <f t="shared" si="23"/>
        <v>Desconocido</v>
      </c>
      <c r="Q748" t="s">
        <v>905</v>
      </c>
    </row>
    <row r="749" spans="1:17" x14ac:dyDescent="0.25">
      <c r="A749">
        <v>272</v>
      </c>
      <c r="B749">
        <v>1</v>
      </c>
      <c r="C749">
        <v>3</v>
      </c>
      <c r="D749" t="s">
        <v>1348</v>
      </c>
      <c r="E749" t="s">
        <v>902</v>
      </c>
      <c r="F749">
        <f>ROUNDUP(Titanic_DATASET[[#This Row],[Age Correción 2]],0)</f>
        <v>25</v>
      </c>
      <c r="G749" s="4">
        <f>VALUE(SUBSTITUTE(Titanic_DATASET[[#This Row],[Age Correción.]],".",","))</f>
        <v>25</v>
      </c>
      <c r="H749" s="5">
        <v>25</v>
      </c>
      <c r="I749">
        <v>25</v>
      </c>
      <c r="J749">
        <v>0</v>
      </c>
      <c r="K749">
        <v>0</v>
      </c>
      <c r="L749" s="3" t="s">
        <v>1207</v>
      </c>
      <c r="M749" s="6">
        <f t="shared" si="22"/>
        <v>0</v>
      </c>
      <c r="N749">
        <v>0</v>
      </c>
      <c r="O749" t="str">
        <f t="shared" si="23"/>
        <v>Desconocido</v>
      </c>
      <c r="Q749" t="s">
        <v>905</v>
      </c>
    </row>
    <row r="750" spans="1:17" x14ac:dyDescent="0.25">
      <c r="A750">
        <v>303</v>
      </c>
      <c r="B750">
        <v>0</v>
      </c>
      <c r="C750">
        <v>3</v>
      </c>
      <c r="D750" t="s">
        <v>1400</v>
      </c>
      <c r="E750" t="s">
        <v>902</v>
      </c>
      <c r="F750">
        <f>ROUNDUP(Titanic_DATASET[[#This Row],[Age Correción 2]],0)</f>
        <v>19</v>
      </c>
      <c r="G750" s="4">
        <f>VALUE(SUBSTITUTE(Titanic_DATASET[[#This Row],[Age Correción.]],".",","))</f>
        <v>19</v>
      </c>
      <c r="H750" s="5">
        <v>19</v>
      </c>
      <c r="I750">
        <v>19</v>
      </c>
      <c r="J750">
        <v>0</v>
      </c>
      <c r="K750">
        <v>0</v>
      </c>
      <c r="L750" s="3" t="s">
        <v>1207</v>
      </c>
      <c r="M750" s="6">
        <f t="shared" si="22"/>
        <v>0</v>
      </c>
      <c r="N750">
        <v>0</v>
      </c>
      <c r="O750" t="str">
        <f t="shared" si="23"/>
        <v>Desconocido</v>
      </c>
      <c r="Q750" t="s">
        <v>905</v>
      </c>
    </row>
    <row r="751" spans="1:17" x14ac:dyDescent="0.25">
      <c r="A751">
        <v>598</v>
      </c>
      <c r="B751">
        <v>0</v>
      </c>
      <c r="C751">
        <v>3</v>
      </c>
      <c r="D751" t="s">
        <v>1821</v>
      </c>
      <c r="E751" t="s">
        <v>902</v>
      </c>
      <c r="F751">
        <f>ROUNDUP(Titanic_DATASET[[#This Row],[Age Correción 2]],0)</f>
        <v>49</v>
      </c>
      <c r="G751" s="4">
        <f>VALUE(SUBSTITUTE(Titanic_DATASET[[#This Row],[Age Correción.]],".",","))</f>
        <v>49</v>
      </c>
      <c r="H751" s="5">
        <v>49</v>
      </c>
      <c r="I751">
        <v>49</v>
      </c>
      <c r="J751">
        <v>0</v>
      </c>
      <c r="K751">
        <v>0</v>
      </c>
      <c r="L751" s="3" t="s">
        <v>1207</v>
      </c>
      <c r="M751" s="6">
        <f t="shared" si="22"/>
        <v>0</v>
      </c>
      <c r="N751">
        <v>0</v>
      </c>
      <c r="O751" t="str">
        <f t="shared" si="23"/>
        <v>Desconocido</v>
      </c>
      <c r="Q751" t="s">
        <v>905</v>
      </c>
    </row>
    <row r="752" spans="1:17" x14ac:dyDescent="0.25">
      <c r="A752">
        <v>309</v>
      </c>
      <c r="B752">
        <v>0</v>
      </c>
      <c r="C752">
        <v>2</v>
      </c>
      <c r="D752" t="s">
        <v>1412</v>
      </c>
      <c r="E752" t="s">
        <v>902</v>
      </c>
      <c r="F752">
        <f>ROUNDUP(Titanic_DATASET[[#This Row],[Age Correción 2]],0)</f>
        <v>30</v>
      </c>
      <c r="G752" s="4">
        <f>VALUE(SUBSTITUTE(Titanic_DATASET[[#This Row],[Age Correción.]],".",","))</f>
        <v>30</v>
      </c>
      <c r="H752" s="5">
        <v>30</v>
      </c>
      <c r="I752">
        <v>30</v>
      </c>
      <c r="J752">
        <v>1</v>
      </c>
      <c r="K752">
        <v>0</v>
      </c>
      <c r="L752" s="3" t="s">
        <v>1413</v>
      </c>
      <c r="M752" s="6">
        <f t="shared" si="22"/>
        <v>24</v>
      </c>
      <c r="N752">
        <v>24</v>
      </c>
      <c r="O752" t="str">
        <f t="shared" si="23"/>
        <v>Desconocido</v>
      </c>
      <c r="Q752" t="s">
        <v>910</v>
      </c>
    </row>
    <row r="753" spans="1:17" x14ac:dyDescent="0.25">
      <c r="A753">
        <v>875</v>
      </c>
      <c r="B753">
        <v>1</v>
      </c>
      <c r="C753">
        <v>2</v>
      </c>
      <c r="D753" t="s">
        <v>2177</v>
      </c>
      <c r="E753" t="s">
        <v>907</v>
      </c>
      <c r="F753">
        <f>ROUNDUP(Titanic_DATASET[[#This Row],[Age Correción 2]],0)</f>
        <v>28</v>
      </c>
      <c r="G753" s="4">
        <f>VALUE(SUBSTITUTE(Titanic_DATASET[[#This Row],[Age Correción.]],".",","))</f>
        <v>28</v>
      </c>
      <c r="H753" s="5">
        <v>28</v>
      </c>
      <c r="I753">
        <v>28</v>
      </c>
      <c r="J753">
        <v>1</v>
      </c>
      <c r="K753">
        <v>0</v>
      </c>
      <c r="L753" s="3" t="s">
        <v>1413</v>
      </c>
      <c r="M753" s="6">
        <f t="shared" si="22"/>
        <v>24</v>
      </c>
      <c r="N753">
        <v>24</v>
      </c>
      <c r="O753" t="str">
        <f t="shared" si="23"/>
        <v>Desconocido</v>
      </c>
      <c r="Q753" t="s">
        <v>910</v>
      </c>
    </row>
    <row r="754" spans="1:17" x14ac:dyDescent="0.25">
      <c r="A754">
        <v>169</v>
      </c>
      <c r="B754">
        <v>0</v>
      </c>
      <c r="C754">
        <v>1</v>
      </c>
      <c r="D754" t="s">
        <v>1188</v>
      </c>
      <c r="E754" t="s">
        <v>902</v>
      </c>
      <c r="F754">
        <f>ROUNDUP(Titanic_DATASET[[#This Row],[Age Correción 2]],0)</f>
        <v>69</v>
      </c>
      <c r="G754" s="4">
        <f>VALUE(SUBSTITUTE(Titanic_DATASET[[#This Row],[Age Correción.]],".",","))</f>
        <v>69</v>
      </c>
      <c r="H754" s="5">
        <v>69</v>
      </c>
      <c r="J754">
        <v>0</v>
      </c>
      <c r="K754">
        <v>0</v>
      </c>
      <c r="L754" s="3" t="s">
        <v>1189</v>
      </c>
      <c r="M754" s="6">
        <f t="shared" si="22"/>
        <v>25925</v>
      </c>
      <c r="N754" s="1">
        <v>25925</v>
      </c>
      <c r="O754" s="1" t="str">
        <f t="shared" si="23"/>
        <v>Desconocido</v>
      </c>
      <c r="Q754" t="s">
        <v>905</v>
      </c>
    </row>
    <row r="755" spans="1:17" x14ac:dyDescent="0.25">
      <c r="A755">
        <v>513</v>
      </c>
      <c r="B755">
        <v>1</v>
      </c>
      <c r="C755">
        <v>1</v>
      </c>
      <c r="D755" t="s">
        <v>1697</v>
      </c>
      <c r="E755" t="s">
        <v>902</v>
      </c>
      <c r="F755">
        <f>ROUNDUP(Titanic_DATASET[[#This Row],[Age Correción 2]],0)</f>
        <v>36</v>
      </c>
      <c r="G755" s="4">
        <f>VALUE(SUBSTITUTE(Titanic_DATASET[[#This Row],[Age Correción.]],".",","))</f>
        <v>36</v>
      </c>
      <c r="H755" s="5">
        <v>36</v>
      </c>
      <c r="I755">
        <v>36</v>
      </c>
      <c r="J755">
        <v>0</v>
      </c>
      <c r="K755">
        <v>0</v>
      </c>
      <c r="L755" s="3" t="s">
        <v>1698</v>
      </c>
      <c r="M755" s="6">
        <f t="shared" si="22"/>
        <v>262875</v>
      </c>
      <c r="N755" s="1">
        <v>262875</v>
      </c>
      <c r="O755" s="1" t="str">
        <f t="shared" si="23"/>
        <v>E25</v>
      </c>
      <c r="P755" t="s">
        <v>1699</v>
      </c>
      <c r="Q755" t="s">
        <v>905</v>
      </c>
    </row>
    <row r="756" spans="1:17" x14ac:dyDescent="0.25">
      <c r="A756">
        <v>573</v>
      </c>
      <c r="B756">
        <v>1</v>
      </c>
      <c r="C756">
        <v>1</v>
      </c>
      <c r="D756" t="s">
        <v>1785</v>
      </c>
      <c r="E756" t="s">
        <v>902</v>
      </c>
      <c r="F756">
        <f>ROUNDUP(Titanic_DATASET[[#This Row],[Age Correción 2]],0)</f>
        <v>36</v>
      </c>
      <c r="G756" s="4">
        <f>VALUE(SUBSTITUTE(Titanic_DATASET[[#This Row],[Age Correción.]],".",","))</f>
        <v>36</v>
      </c>
      <c r="H756" s="5">
        <v>36</v>
      </c>
      <c r="I756">
        <v>36</v>
      </c>
      <c r="J756">
        <v>0</v>
      </c>
      <c r="K756">
        <v>0</v>
      </c>
      <c r="L756" s="3" t="s">
        <v>1786</v>
      </c>
      <c r="M756" s="6">
        <f t="shared" si="22"/>
        <v>263875</v>
      </c>
      <c r="N756" s="1">
        <v>263875</v>
      </c>
      <c r="O756" s="1" t="str">
        <f t="shared" si="23"/>
        <v>E25</v>
      </c>
      <c r="P756" t="s">
        <v>1699</v>
      </c>
      <c r="Q756" t="s">
        <v>905</v>
      </c>
    </row>
    <row r="757" spans="1:17" x14ac:dyDescent="0.25">
      <c r="A757">
        <v>702</v>
      </c>
      <c r="B757">
        <v>1</v>
      </c>
      <c r="C757">
        <v>1</v>
      </c>
      <c r="D757" t="s">
        <v>1953</v>
      </c>
      <c r="E757" t="s">
        <v>902</v>
      </c>
      <c r="F757">
        <f>ROUNDUP(Titanic_DATASET[[#This Row],[Age Correción 2]],0)</f>
        <v>35</v>
      </c>
      <c r="G757" s="4">
        <f>VALUE(SUBSTITUTE(Titanic_DATASET[[#This Row],[Age Correción.]],".",","))</f>
        <v>35</v>
      </c>
      <c r="H757" s="5">
        <v>35</v>
      </c>
      <c r="I757">
        <v>35</v>
      </c>
      <c r="J757">
        <v>0</v>
      </c>
      <c r="K757">
        <v>0</v>
      </c>
      <c r="L757" s="3" t="s">
        <v>1954</v>
      </c>
      <c r="M757" s="6">
        <f t="shared" si="22"/>
        <v>262875</v>
      </c>
      <c r="N757" s="1">
        <v>262875</v>
      </c>
      <c r="O757" s="1" t="str">
        <f t="shared" si="23"/>
        <v>E24</v>
      </c>
      <c r="P757" t="s">
        <v>1955</v>
      </c>
      <c r="Q757" t="s">
        <v>905</v>
      </c>
    </row>
    <row r="758" spans="1:17" x14ac:dyDescent="0.25">
      <c r="A758">
        <v>708</v>
      </c>
      <c r="B758">
        <v>1</v>
      </c>
      <c r="C758">
        <v>1</v>
      </c>
      <c r="D758" t="s">
        <v>1961</v>
      </c>
      <c r="E758" t="s">
        <v>902</v>
      </c>
      <c r="F758">
        <f>ROUNDUP(Titanic_DATASET[[#This Row],[Age Correción 2]],0)</f>
        <v>42</v>
      </c>
      <c r="G758" s="4">
        <f>VALUE(SUBSTITUTE(Titanic_DATASET[[#This Row],[Age Correción.]],".",","))</f>
        <v>42</v>
      </c>
      <c r="H758" s="5">
        <v>42</v>
      </c>
      <c r="I758">
        <v>42</v>
      </c>
      <c r="J758">
        <v>0</v>
      </c>
      <c r="K758">
        <v>0</v>
      </c>
      <c r="L758" s="3" t="s">
        <v>1962</v>
      </c>
      <c r="M758" s="6">
        <f t="shared" si="22"/>
        <v>262875</v>
      </c>
      <c r="N758" s="1">
        <v>262875</v>
      </c>
      <c r="O758" s="1" t="str">
        <f t="shared" si="23"/>
        <v>E24</v>
      </c>
      <c r="P758" t="s">
        <v>1955</v>
      </c>
      <c r="Q758" t="s">
        <v>905</v>
      </c>
    </row>
    <row r="759" spans="1:17" x14ac:dyDescent="0.25">
      <c r="A759">
        <v>370</v>
      </c>
      <c r="B759">
        <v>1</v>
      </c>
      <c r="C759">
        <v>1</v>
      </c>
      <c r="D759" t="s">
        <v>1500</v>
      </c>
      <c r="E759" t="s">
        <v>907</v>
      </c>
      <c r="F759">
        <f>ROUNDUP(Titanic_DATASET[[#This Row],[Age Correción 2]],0)</f>
        <v>24</v>
      </c>
      <c r="G759" s="4">
        <f>VALUE(SUBSTITUTE(Titanic_DATASET[[#This Row],[Age Correción.]],".",","))</f>
        <v>24</v>
      </c>
      <c r="H759" s="5">
        <v>24</v>
      </c>
      <c r="I759">
        <v>24</v>
      </c>
      <c r="J759">
        <v>0</v>
      </c>
      <c r="K759">
        <v>0</v>
      </c>
      <c r="L759" s="3" t="s">
        <v>1501</v>
      </c>
      <c r="M759" s="6">
        <f t="shared" si="22"/>
        <v>69.3</v>
      </c>
      <c r="N759" t="s">
        <v>1502</v>
      </c>
      <c r="O759" t="str">
        <f t="shared" si="23"/>
        <v>B35</v>
      </c>
      <c r="P759" t="s">
        <v>1503</v>
      </c>
      <c r="Q759" t="s">
        <v>910</v>
      </c>
    </row>
    <row r="760" spans="1:17" x14ac:dyDescent="0.25">
      <c r="A760">
        <v>642</v>
      </c>
      <c r="B760">
        <v>1</v>
      </c>
      <c r="C760">
        <v>1</v>
      </c>
      <c r="D760" t="s">
        <v>1875</v>
      </c>
      <c r="E760" t="s">
        <v>907</v>
      </c>
      <c r="F760">
        <f>ROUNDUP(Titanic_DATASET[[#This Row],[Age Correción 2]],0)</f>
        <v>24</v>
      </c>
      <c r="G760" s="4">
        <f>VALUE(SUBSTITUTE(Titanic_DATASET[[#This Row],[Age Correción.]],".",","))</f>
        <v>24</v>
      </c>
      <c r="H760" s="5">
        <v>24</v>
      </c>
      <c r="I760">
        <v>24</v>
      </c>
      <c r="J760">
        <v>0</v>
      </c>
      <c r="K760">
        <v>0</v>
      </c>
      <c r="L760" s="3" t="s">
        <v>1501</v>
      </c>
      <c r="M760" s="6">
        <f t="shared" si="22"/>
        <v>69.3</v>
      </c>
      <c r="N760" t="s">
        <v>1502</v>
      </c>
      <c r="O760" t="str">
        <f t="shared" si="23"/>
        <v>B35</v>
      </c>
      <c r="P760" t="s">
        <v>1503</v>
      </c>
      <c r="Q760" t="s">
        <v>910</v>
      </c>
    </row>
    <row r="761" spans="1:17" x14ac:dyDescent="0.25">
      <c r="A761">
        <v>711</v>
      </c>
      <c r="B761">
        <v>1</v>
      </c>
      <c r="C761">
        <v>1</v>
      </c>
      <c r="D761" t="s">
        <v>1965</v>
      </c>
      <c r="E761" t="s">
        <v>907</v>
      </c>
      <c r="F761">
        <f>ROUNDUP(Titanic_DATASET[[#This Row],[Age Correción 2]],0)</f>
        <v>24</v>
      </c>
      <c r="G761" s="4">
        <f>VALUE(SUBSTITUTE(Titanic_DATASET[[#This Row],[Age Correción.]],".",","))</f>
        <v>24</v>
      </c>
      <c r="H761" s="5">
        <v>24</v>
      </c>
      <c r="I761">
        <v>24</v>
      </c>
      <c r="J761">
        <v>0</v>
      </c>
      <c r="K761">
        <v>0</v>
      </c>
      <c r="L761" s="3" t="s">
        <v>1966</v>
      </c>
      <c r="M761" s="6">
        <f t="shared" si="22"/>
        <v>495042</v>
      </c>
      <c r="N761" s="1">
        <v>495042</v>
      </c>
      <c r="O761" s="1" t="str">
        <f t="shared" si="23"/>
        <v>C90</v>
      </c>
      <c r="P761" t="s">
        <v>1967</v>
      </c>
      <c r="Q761" t="s">
        <v>910</v>
      </c>
    </row>
    <row r="762" spans="1:17" x14ac:dyDescent="0.25">
      <c r="A762">
        <v>528</v>
      </c>
      <c r="B762">
        <v>0</v>
      </c>
      <c r="C762">
        <v>1</v>
      </c>
      <c r="D762" t="s">
        <v>1721</v>
      </c>
      <c r="E762" t="s">
        <v>902</v>
      </c>
      <c r="F762">
        <f>ROUNDUP(Titanic_DATASET[[#This Row],[Age Correción 2]],0)</f>
        <v>21</v>
      </c>
      <c r="G762" s="4">
        <f>VALUE(SUBSTITUTE(Titanic_DATASET[[#This Row],[Age Correción.]],".",","))</f>
        <v>21</v>
      </c>
      <c r="H762" s="5">
        <v>21</v>
      </c>
      <c r="J762">
        <v>0</v>
      </c>
      <c r="K762">
        <v>0</v>
      </c>
      <c r="L762" s="3" t="s">
        <v>1722</v>
      </c>
      <c r="M762" s="6">
        <f t="shared" si="22"/>
        <v>2217792</v>
      </c>
      <c r="N762" s="1">
        <v>2217792</v>
      </c>
      <c r="O762" s="1" t="str">
        <f t="shared" si="23"/>
        <v>C95</v>
      </c>
      <c r="P762" t="s">
        <v>1723</v>
      </c>
      <c r="Q762" t="s">
        <v>905</v>
      </c>
    </row>
    <row r="763" spans="1:17" x14ac:dyDescent="0.25">
      <c r="A763">
        <v>310</v>
      </c>
      <c r="B763">
        <v>1</v>
      </c>
      <c r="C763">
        <v>1</v>
      </c>
      <c r="D763" t="s">
        <v>1414</v>
      </c>
      <c r="E763" t="s">
        <v>907</v>
      </c>
      <c r="F763">
        <f>ROUNDUP(Titanic_DATASET[[#This Row],[Age Correción 2]],0)</f>
        <v>30</v>
      </c>
      <c r="G763" s="4">
        <f>VALUE(SUBSTITUTE(Titanic_DATASET[[#This Row],[Age Correción.]],".",","))</f>
        <v>30</v>
      </c>
      <c r="H763" s="5">
        <v>30</v>
      </c>
      <c r="I763">
        <v>30</v>
      </c>
      <c r="J763">
        <v>0</v>
      </c>
      <c r="K763">
        <v>0</v>
      </c>
      <c r="L763" s="3" t="s">
        <v>1415</v>
      </c>
      <c r="M763" s="6">
        <f t="shared" si="22"/>
        <v>569292</v>
      </c>
      <c r="N763" s="1">
        <v>569292</v>
      </c>
      <c r="O763" s="1" t="str">
        <f t="shared" si="23"/>
        <v>E36</v>
      </c>
      <c r="P763" t="s">
        <v>1416</v>
      </c>
      <c r="Q763" t="s">
        <v>910</v>
      </c>
    </row>
    <row r="764" spans="1:17" x14ac:dyDescent="0.25">
      <c r="A764">
        <v>600</v>
      </c>
      <c r="B764">
        <v>1</v>
      </c>
      <c r="C764">
        <v>1</v>
      </c>
      <c r="D764" t="s">
        <v>1823</v>
      </c>
      <c r="E764" t="s">
        <v>902</v>
      </c>
      <c r="F764">
        <f>ROUNDUP(Titanic_DATASET[[#This Row],[Age Correción 2]],0)</f>
        <v>49</v>
      </c>
      <c r="G764" s="4">
        <f>VALUE(SUBSTITUTE(Titanic_DATASET[[#This Row],[Age Correción.]],".",","))</f>
        <v>49</v>
      </c>
      <c r="H764" s="5">
        <v>49</v>
      </c>
      <c r="I764">
        <v>49</v>
      </c>
      <c r="J764">
        <v>1</v>
      </c>
      <c r="K764">
        <v>0</v>
      </c>
      <c r="L764" s="3" t="s">
        <v>1415</v>
      </c>
      <c r="M764" s="6">
        <f t="shared" si="22"/>
        <v>569292</v>
      </c>
      <c r="N764" s="1">
        <v>569292</v>
      </c>
      <c r="O764" s="1" t="str">
        <f t="shared" si="23"/>
        <v>A20</v>
      </c>
      <c r="P764" t="s">
        <v>1824</v>
      </c>
      <c r="Q764" t="s">
        <v>910</v>
      </c>
    </row>
    <row r="765" spans="1:17" x14ac:dyDescent="0.25">
      <c r="A765">
        <v>119</v>
      </c>
      <c r="B765">
        <v>0</v>
      </c>
      <c r="C765">
        <v>1</v>
      </c>
      <c r="D765" t="s">
        <v>1099</v>
      </c>
      <c r="E765" t="s">
        <v>902</v>
      </c>
      <c r="F765">
        <f>ROUNDUP(Titanic_DATASET[[#This Row],[Age Correción 2]],0)</f>
        <v>24</v>
      </c>
      <c r="G765" s="4">
        <f>VALUE(SUBSTITUTE(Titanic_DATASET[[#This Row],[Age Correción.]],".",","))</f>
        <v>24</v>
      </c>
      <c r="H765" s="5">
        <v>24</v>
      </c>
      <c r="I765">
        <v>24</v>
      </c>
      <c r="J765">
        <v>0</v>
      </c>
      <c r="K765">
        <v>1</v>
      </c>
      <c r="L765" s="3" t="s">
        <v>1100</v>
      </c>
      <c r="M765" s="6">
        <f t="shared" si="22"/>
        <v>2475208</v>
      </c>
      <c r="N765" s="1">
        <v>2475208</v>
      </c>
      <c r="O765" s="1" t="str">
        <f t="shared" si="23"/>
        <v>B58 B60</v>
      </c>
      <c r="P765" t="s">
        <v>1101</v>
      </c>
      <c r="Q765" t="s">
        <v>910</v>
      </c>
    </row>
    <row r="766" spans="1:17" x14ac:dyDescent="0.25">
      <c r="A766">
        <v>300</v>
      </c>
      <c r="B766">
        <v>1</v>
      </c>
      <c r="C766">
        <v>1</v>
      </c>
      <c r="D766" t="s">
        <v>1396</v>
      </c>
      <c r="E766" t="s">
        <v>907</v>
      </c>
      <c r="F766">
        <f>ROUNDUP(Titanic_DATASET[[#This Row],[Age Correción 2]],0)</f>
        <v>50</v>
      </c>
      <c r="G766" s="4">
        <f>VALUE(SUBSTITUTE(Titanic_DATASET[[#This Row],[Age Correción.]],".",","))</f>
        <v>50</v>
      </c>
      <c r="H766" s="5">
        <v>50</v>
      </c>
      <c r="I766">
        <v>50</v>
      </c>
      <c r="J766">
        <v>0</v>
      </c>
      <c r="K766">
        <v>1</v>
      </c>
      <c r="L766" s="3" t="s">
        <v>1100</v>
      </c>
      <c r="M766" s="6">
        <f t="shared" si="22"/>
        <v>2475208</v>
      </c>
      <c r="N766" s="1">
        <v>2475208</v>
      </c>
      <c r="O766" s="1" t="str">
        <f t="shared" si="23"/>
        <v>B58 B60</v>
      </c>
      <c r="P766" t="s">
        <v>1101</v>
      </c>
      <c r="Q766" t="s">
        <v>910</v>
      </c>
    </row>
    <row r="767" spans="1:17" x14ac:dyDescent="0.25">
      <c r="A767">
        <v>32</v>
      </c>
      <c r="B767">
        <v>1</v>
      </c>
      <c r="C767">
        <v>1</v>
      </c>
      <c r="D767" t="s">
        <v>957</v>
      </c>
      <c r="E767" t="s">
        <v>907</v>
      </c>
      <c r="F767">
        <f>ROUNDUP(Titanic_DATASET[[#This Row],[Age Correción 2]],0)</f>
        <v>27</v>
      </c>
      <c r="G767" s="4">
        <f>VALUE(SUBSTITUTE(Titanic_DATASET[[#This Row],[Age Correción.]],".",","))</f>
        <v>27</v>
      </c>
      <c r="H767" s="5">
        <v>27</v>
      </c>
      <c r="J767">
        <v>1</v>
      </c>
      <c r="K767">
        <v>0</v>
      </c>
      <c r="L767" s="3" t="s">
        <v>958</v>
      </c>
      <c r="M767" s="6">
        <f t="shared" si="22"/>
        <v>1465208</v>
      </c>
      <c r="N767" s="1">
        <v>1465208</v>
      </c>
      <c r="O767" s="1" t="str">
        <f t="shared" si="23"/>
        <v>B78</v>
      </c>
      <c r="P767" t="s">
        <v>959</v>
      </c>
      <c r="Q767" t="s">
        <v>910</v>
      </c>
    </row>
    <row r="768" spans="1:17" x14ac:dyDescent="0.25">
      <c r="A768">
        <v>196</v>
      </c>
      <c r="B768">
        <v>1</v>
      </c>
      <c r="C768">
        <v>1</v>
      </c>
      <c r="D768" t="s">
        <v>1229</v>
      </c>
      <c r="E768" t="s">
        <v>907</v>
      </c>
      <c r="F768">
        <f>ROUNDUP(Titanic_DATASET[[#This Row],[Age Correción 2]],0)</f>
        <v>58</v>
      </c>
      <c r="G768" s="4">
        <f>VALUE(SUBSTITUTE(Titanic_DATASET[[#This Row],[Age Correción.]],".",","))</f>
        <v>58</v>
      </c>
      <c r="H768" s="5">
        <v>58</v>
      </c>
      <c r="I768">
        <v>58</v>
      </c>
      <c r="J768">
        <v>0</v>
      </c>
      <c r="K768">
        <v>0</v>
      </c>
      <c r="L768" s="3" t="s">
        <v>958</v>
      </c>
      <c r="M768" s="6">
        <f t="shared" si="22"/>
        <v>1465208</v>
      </c>
      <c r="N768" s="1">
        <v>1465208</v>
      </c>
      <c r="O768" s="1" t="str">
        <f t="shared" si="23"/>
        <v>B80</v>
      </c>
      <c r="P768" t="s">
        <v>1230</v>
      </c>
      <c r="Q768" t="s">
        <v>910</v>
      </c>
    </row>
    <row r="769" spans="1:17" x14ac:dyDescent="0.25">
      <c r="A769">
        <v>53</v>
      </c>
      <c r="B769">
        <v>1</v>
      </c>
      <c r="C769">
        <v>1</v>
      </c>
      <c r="D769" t="s">
        <v>991</v>
      </c>
      <c r="E769" t="s">
        <v>907</v>
      </c>
      <c r="F769">
        <f>ROUNDUP(Titanic_DATASET[[#This Row],[Age Correción 2]],0)</f>
        <v>49</v>
      </c>
      <c r="G769" s="4">
        <f>VALUE(SUBSTITUTE(Titanic_DATASET[[#This Row],[Age Correción.]],".",","))</f>
        <v>49</v>
      </c>
      <c r="H769" s="5">
        <v>49</v>
      </c>
      <c r="I769">
        <v>49</v>
      </c>
      <c r="J769">
        <v>1</v>
      </c>
      <c r="K769">
        <v>0</v>
      </c>
      <c r="L769" s="3" t="s">
        <v>992</v>
      </c>
      <c r="M769" s="6">
        <f t="shared" si="22"/>
        <v>767292</v>
      </c>
      <c r="N769" s="1">
        <v>767292</v>
      </c>
      <c r="O769" s="1" t="str">
        <f t="shared" si="23"/>
        <v>D33</v>
      </c>
      <c r="P769" t="s">
        <v>993</v>
      </c>
      <c r="Q769" t="s">
        <v>910</v>
      </c>
    </row>
    <row r="770" spans="1:17" x14ac:dyDescent="0.25">
      <c r="A770">
        <v>646</v>
      </c>
      <c r="B770">
        <v>1</v>
      </c>
      <c r="C770">
        <v>1</v>
      </c>
      <c r="D770" t="s">
        <v>1879</v>
      </c>
      <c r="E770" t="s">
        <v>902</v>
      </c>
      <c r="F770">
        <f>ROUNDUP(Titanic_DATASET[[#This Row],[Age Correción 2]],0)</f>
        <v>48</v>
      </c>
      <c r="G770" s="4">
        <f>VALUE(SUBSTITUTE(Titanic_DATASET[[#This Row],[Age Correción.]],".",","))</f>
        <v>48</v>
      </c>
      <c r="H770" s="5">
        <v>48</v>
      </c>
      <c r="I770">
        <v>48</v>
      </c>
      <c r="J770">
        <v>1</v>
      </c>
      <c r="K770">
        <v>0</v>
      </c>
      <c r="L770" s="3" t="s">
        <v>992</v>
      </c>
      <c r="M770" s="6">
        <f t="shared" si="22"/>
        <v>767292</v>
      </c>
      <c r="N770" s="1">
        <v>767292</v>
      </c>
      <c r="O770" s="1" t="str">
        <f t="shared" si="23"/>
        <v>D33</v>
      </c>
      <c r="P770" t="s">
        <v>993</v>
      </c>
      <c r="Q770" t="s">
        <v>910</v>
      </c>
    </row>
    <row r="771" spans="1:17" x14ac:dyDescent="0.25">
      <c r="A771">
        <v>682</v>
      </c>
      <c r="B771">
        <v>1</v>
      </c>
      <c r="C771">
        <v>1</v>
      </c>
      <c r="D771" t="s">
        <v>1928</v>
      </c>
      <c r="E771" t="s">
        <v>902</v>
      </c>
      <c r="F771">
        <f>ROUNDUP(Titanic_DATASET[[#This Row],[Age Correción 2]],0)</f>
        <v>27</v>
      </c>
      <c r="G771" s="4">
        <f>VALUE(SUBSTITUTE(Titanic_DATASET[[#This Row],[Age Correción.]],".",","))</f>
        <v>27</v>
      </c>
      <c r="H771" s="5">
        <v>27</v>
      </c>
      <c r="I771">
        <v>27</v>
      </c>
      <c r="J771">
        <v>0</v>
      </c>
      <c r="K771">
        <v>0</v>
      </c>
      <c r="L771" s="3" t="s">
        <v>992</v>
      </c>
      <c r="M771" s="6">
        <f t="shared" si="22"/>
        <v>767292</v>
      </c>
      <c r="N771" s="1">
        <v>767292</v>
      </c>
      <c r="O771" s="1" t="str">
        <f t="shared" si="23"/>
        <v>D49</v>
      </c>
      <c r="P771" t="s">
        <v>1929</v>
      </c>
      <c r="Q771" t="s">
        <v>910</v>
      </c>
    </row>
    <row r="772" spans="1:17" x14ac:dyDescent="0.25">
      <c r="A772">
        <v>269</v>
      </c>
      <c r="B772">
        <v>1</v>
      </c>
      <c r="C772">
        <v>1</v>
      </c>
      <c r="D772" t="s">
        <v>1341</v>
      </c>
      <c r="E772" t="s">
        <v>907</v>
      </c>
      <c r="F772">
        <f>ROUNDUP(Titanic_DATASET[[#This Row],[Age Correción 2]],0)</f>
        <v>58</v>
      </c>
      <c r="G772" s="4">
        <f>VALUE(SUBSTITUTE(Titanic_DATASET[[#This Row],[Age Correción.]],".",","))</f>
        <v>58</v>
      </c>
      <c r="H772" s="5">
        <v>58</v>
      </c>
      <c r="I772">
        <v>58</v>
      </c>
      <c r="J772">
        <v>0</v>
      </c>
      <c r="K772">
        <v>1</v>
      </c>
      <c r="L772" s="3" t="s">
        <v>1342</v>
      </c>
      <c r="M772" s="6">
        <f t="shared" ref="M772:M835" si="24">VALUE(SUBSTITUTE(N772,".",","))</f>
        <v>1534625</v>
      </c>
      <c r="N772" s="1">
        <v>1534625</v>
      </c>
      <c r="O772" s="1" t="str">
        <f t="shared" ref="O772:O835" si="25">IF(ISBLANK(P772),"Desconocido",P772)</f>
        <v>C125</v>
      </c>
      <c r="P772" t="s">
        <v>1343</v>
      </c>
      <c r="Q772" t="s">
        <v>905</v>
      </c>
    </row>
    <row r="773" spans="1:17" x14ac:dyDescent="0.25">
      <c r="A773">
        <v>333</v>
      </c>
      <c r="B773">
        <v>0</v>
      </c>
      <c r="C773">
        <v>1</v>
      </c>
      <c r="D773" t="s">
        <v>1450</v>
      </c>
      <c r="E773" t="s">
        <v>902</v>
      </c>
      <c r="F773">
        <f>ROUNDUP(Titanic_DATASET[[#This Row],[Age Correción 2]],0)</f>
        <v>38</v>
      </c>
      <c r="G773" s="4">
        <f>VALUE(SUBSTITUTE(Titanic_DATASET[[#This Row],[Age Correción.]],".",","))</f>
        <v>38</v>
      </c>
      <c r="H773" s="5">
        <v>38</v>
      </c>
      <c r="I773">
        <v>38</v>
      </c>
      <c r="J773">
        <v>0</v>
      </c>
      <c r="K773">
        <v>1</v>
      </c>
      <c r="L773" s="3" t="s">
        <v>1342</v>
      </c>
      <c r="M773" s="6">
        <f t="shared" si="24"/>
        <v>1534625</v>
      </c>
      <c r="N773" s="1">
        <v>1534625</v>
      </c>
      <c r="O773" s="1" t="str">
        <f t="shared" si="25"/>
        <v>C91</v>
      </c>
      <c r="P773" t="s">
        <v>1451</v>
      </c>
      <c r="Q773" t="s">
        <v>905</v>
      </c>
    </row>
    <row r="774" spans="1:17" x14ac:dyDescent="0.25">
      <c r="A774">
        <v>610</v>
      </c>
      <c r="B774">
        <v>1</v>
      </c>
      <c r="C774">
        <v>1</v>
      </c>
      <c r="D774" t="s">
        <v>1836</v>
      </c>
      <c r="E774" t="s">
        <v>907</v>
      </c>
      <c r="F774">
        <f>ROUNDUP(Titanic_DATASET[[#This Row],[Age Correción 2]],0)</f>
        <v>40</v>
      </c>
      <c r="G774" s="4">
        <f>VALUE(SUBSTITUTE(Titanic_DATASET[[#This Row],[Age Correción.]],".",","))</f>
        <v>40</v>
      </c>
      <c r="H774" s="5">
        <v>40</v>
      </c>
      <c r="I774">
        <v>40</v>
      </c>
      <c r="J774">
        <v>0</v>
      </c>
      <c r="K774">
        <v>0</v>
      </c>
      <c r="L774" s="3" t="s">
        <v>1342</v>
      </c>
      <c r="M774" s="6">
        <f t="shared" si="24"/>
        <v>1534625</v>
      </c>
      <c r="N774" s="1">
        <v>1534625</v>
      </c>
      <c r="O774" s="1" t="str">
        <f t="shared" si="25"/>
        <v>C125</v>
      </c>
      <c r="P774" t="s">
        <v>1343</v>
      </c>
      <c r="Q774" t="s">
        <v>905</v>
      </c>
    </row>
    <row r="775" spans="1:17" x14ac:dyDescent="0.25">
      <c r="A775">
        <v>257</v>
      </c>
      <c r="B775">
        <v>1</v>
      </c>
      <c r="C775">
        <v>1</v>
      </c>
      <c r="D775" t="s">
        <v>1321</v>
      </c>
      <c r="E775" t="s">
        <v>907</v>
      </c>
      <c r="F775">
        <f>ROUNDUP(Titanic_DATASET[[#This Row],[Age Correción 2]],0)</f>
        <v>61</v>
      </c>
      <c r="G775" s="4">
        <f>VALUE(SUBSTITUTE(Titanic_DATASET[[#This Row],[Age Correción.]],".",","))</f>
        <v>61</v>
      </c>
      <c r="H775" s="5">
        <v>61</v>
      </c>
      <c r="J775">
        <v>0</v>
      </c>
      <c r="K775">
        <v>0</v>
      </c>
      <c r="L775" s="3" t="s">
        <v>1322</v>
      </c>
      <c r="M775" s="6">
        <f t="shared" si="24"/>
        <v>79.2</v>
      </c>
      <c r="N775" t="s">
        <v>1135</v>
      </c>
      <c r="O775" t="str">
        <f t="shared" si="25"/>
        <v>Desconocido</v>
      </c>
      <c r="Q775" t="s">
        <v>910</v>
      </c>
    </row>
    <row r="776" spans="1:17" x14ac:dyDescent="0.25">
      <c r="A776">
        <v>868</v>
      </c>
      <c r="B776">
        <v>0</v>
      </c>
      <c r="C776">
        <v>1</v>
      </c>
      <c r="D776" t="s">
        <v>2168</v>
      </c>
      <c r="E776" t="s">
        <v>902</v>
      </c>
      <c r="F776">
        <f>ROUNDUP(Titanic_DATASET[[#This Row],[Age Correción 2]],0)</f>
        <v>31</v>
      </c>
      <c r="G776" s="4">
        <f>VALUE(SUBSTITUTE(Titanic_DATASET[[#This Row],[Age Correción.]],".",","))</f>
        <v>31</v>
      </c>
      <c r="H776" s="5">
        <v>31</v>
      </c>
      <c r="I776">
        <v>31</v>
      </c>
      <c r="J776">
        <v>0</v>
      </c>
      <c r="K776">
        <v>0</v>
      </c>
      <c r="L776" s="3" t="s">
        <v>2169</v>
      </c>
      <c r="M776" s="6">
        <f t="shared" si="24"/>
        <v>504958</v>
      </c>
      <c r="N776" s="1">
        <v>504958</v>
      </c>
      <c r="O776" s="1" t="str">
        <f t="shared" si="25"/>
        <v>A24</v>
      </c>
      <c r="P776" t="s">
        <v>2170</v>
      </c>
      <c r="Q776" t="s">
        <v>905</v>
      </c>
    </row>
    <row r="777" spans="1:17" x14ac:dyDescent="0.25">
      <c r="A777">
        <v>854</v>
      </c>
      <c r="B777">
        <v>1</v>
      </c>
      <c r="C777">
        <v>1</v>
      </c>
      <c r="D777" t="s">
        <v>2149</v>
      </c>
      <c r="E777" t="s">
        <v>907</v>
      </c>
      <c r="F777">
        <f>ROUNDUP(Titanic_DATASET[[#This Row],[Age Correción 2]],0)</f>
        <v>16</v>
      </c>
      <c r="G777" s="4">
        <f>VALUE(SUBSTITUTE(Titanic_DATASET[[#This Row],[Age Correción.]],".",","))</f>
        <v>16</v>
      </c>
      <c r="H777" s="5">
        <v>16</v>
      </c>
      <c r="I777">
        <v>16</v>
      </c>
      <c r="J777">
        <v>0</v>
      </c>
      <c r="K777">
        <v>1</v>
      </c>
      <c r="L777" s="3" t="s">
        <v>2150</v>
      </c>
      <c r="M777" s="6">
        <f t="shared" si="24"/>
        <v>39.4</v>
      </c>
      <c r="N777" t="s">
        <v>2151</v>
      </c>
      <c r="O777" t="str">
        <f t="shared" si="25"/>
        <v>D28</v>
      </c>
      <c r="P777" t="s">
        <v>2152</v>
      </c>
      <c r="Q777" t="s">
        <v>905</v>
      </c>
    </row>
    <row r="778" spans="1:17" x14ac:dyDescent="0.25">
      <c r="A778">
        <v>140</v>
      </c>
      <c r="B778">
        <v>0</v>
      </c>
      <c r="C778">
        <v>1</v>
      </c>
      <c r="D778" t="s">
        <v>1133</v>
      </c>
      <c r="E778" t="s">
        <v>902</v>
      </c>
      <c r="F778">
        <f>ROUNDUP(Titanic_DATASET[[#This Row],[Age Correción 2]],0)</f>
        <v>24</v>
      </c>
      <c r="G778" s="4">
        <f>VALUE(SUBSTITUTE(Titanic_DATASET[[#This Row],[Age Correción.]],".",","))</f>
        <v>24</v>
      </c>
      <c r="H778" s="5">
        <v>24</v>
      </c>
      <c r="I778">
        <v>24</v>
      </c>
      <c r="J778">
        <v>0</v>
      </c>
      <c r="K778">
        <v>0</v>
      </c>
      <c r="L778" s="3" t="s">
        <v>1134</v>
      </c>
      <c r="M778" s="6">
        <f t="shared" si="24"/>
        <v>79.2</v>
      </c>
      <c r="N778" t="s">
        <v>1135</v>
      </c>
      <c r="O778" t="str">
        <f t="shared" si="25"/>
        <v>B86</v>
      </c>
      <c r="P778" t="s">
        <v>1136</v>
      </c>
      <c r="Q778" t="s">
        <v>910</v>
      </c>
    </row>
    <row r="779" spans="1:17" x14ac:dyDescent="0.25">
      <c r="A779">
        <v>790</v>
      </c>
      <c r="B779">
        <v>0</v>
      </c>
      <c r="C779">
        <v>1</v>
      </c>
      <c r="D779" t="s">
        <v>2066</v>
      </c>
      <c r="E779" t="s">
        <v>902</v>
      </c>
      <c r="F779">
        <f>ROUNDUP(Titanic_DATASET[[#This Row],[Age Correción 2]],0)</f>
        <v>46</v>
      </c>
      <c r="G779" s="4">
        <f>VALUE(SUBSTITUTE(Titanic_DATASET[[#This Row],[Age Correción.]],".",","))</f>
        <v>46</v>
      </c>
      <c r="H779" s="5">
        <v>46</v>
      </c>
      <c r="I779">
        <v>46</v>
      </c>
      <c r="J779">
        <v>0</v>
      </c>
      <c r="K779">
        <v>0</v>
      </c>
      <c r="L779" s="3" t="s">
        <v>1134</v>
      </c>
      <c r="M779" s="6">
        <f t="shared" si="24"/>
        <v>79.2</v>
      </c>
      <c r="N779" t="s">
        <v>1135</v>
      </c>
      <c r="O779" t="str">
        <f t="shared" si="25"/>
        <v>B82 B84</v>
      </c>
      <c r="P779" t="s">
        <v>2067</v>
      </c>
      <c r="Q779" t="s">
        <v>910</v>
      </c>
    </row>
    <row r="780" spans="1:17" x14ac:dyDescent="0.25">
      <c r="A780">
        <v>178</v>
      </c>
      <c r="B780">
        <v>0</v>
      </c>
      <c r="C780">
        <v>1</v>
      </c>
      <c r="D780" t="s">
        <v>1202</v>
      </c>
      <c r="E780" t="s">
        <v>907</v>
      </c>
      <c r="F780">
        <f>ROUNDUP(Titanic_DATASET[[#This Row],[Age Correción 2]],0)</f>
        <v>50</v>
      </c>
      <c r="G780" s="4">
        <f>VALUE(SUBSTITUTE(Titanic_DATASET[[#This Row],[Age Correción.]],".",","))</f>
        <v>50</v>
      </c>
      <c r="H780" s="5">
        <v>50</v>
      </c>
      <c r="I780">
        <v>50</v>
      </c>
      <c r="J780">
        <v>0</v>
      </c>
      <c r="K780">
        <v>0</v>
      </c>
      <c r="L780" s="3" t="s">
        <v>1203</v>
      </c>
      <c r="M780" s="6">
        <f t="shared" si="24"/>
        <v>287125</v>
      </c>
      <c r="N780" s="1">
        <v>287125</v>
      </c>
      <c r="O780" s="1" t="str">
        <f t="shared" si="25"/>
        <v>C49</v>
      </c>
      <c r="P780" t="s">
        <v>1204</v>
      </c>
      <c r="Q780" t="s">
        <v>910</v>
      </c>
    </row>
    <row r="781" spans="1:17" x14ac:dyDescent="0.25">
      <c r="A781">
        <v>274</v>
      </c>
      <c r="B781">
        <v>0</v>
      </c>
      <c r="C781">
        <v>1</v>
      </c>
      <c r="D781" t="s">
        <v>1351</v>
      </c>
      <c r="E781" t="s">
        <v>902</v>
      </c>
      <c r="F781">
        <f>ROUNDUP(Titanic_DATASET[[#This Row],[Age Correción 2]],0)</f>
        <v>37</v>
      </c>
      <c r="G781" s="4">
        <f>VALUE(SUBSTITUTE(Titanic_DATASET[[#This Row],[Age Correción.]],".",","))</f>
        <v>37</v>
      </c>
      <c r="H781" s="5">
        <v>37</v>
      </c>
      <c r="I781">
        <v>37</v>
      </c>
      <c r="J781">
        <v>0</v>
      </c>
      <c r="K781">
        <v>1</v>
      </c>
      <c r="L781" s="3" t="s">
        <v>1352</v>
      </c>
      <c r="M781" s="6">
        <f t="shared" si="24"/>
        <v>29.7</v>
      </c>
      <c r="N781" t="s">
        <v>1353</v>
      </c>
      <c r="O781" t="str">
        <f t="shared" si="25"/>
        <v>C118</v>
      </c>
      <c r="P781" t="s">
        <v>1354</v>
      </c>
      <c r="Q781" t="s">
        <v>910</v>
      </c>
    </row>
    <row r="782" spans="1:17" x14ac:dyDescent="0.25">
      <c r="A782">
        <v>156</v>
      </c>
      <c r="B782">
        <v>0</v>
      </c>
      <c r="C782">
        <v>1</v>
      </c>
      <c r="D782" t="s">
        <v>1167</v>
      </c>
      <c r="E782" t="s">
        <v>902</v>
      </c>
      <c r="F782">
        <f>ROUNDUP(Titanic_DATASET[[#This Row],[Age Correción 2]],0)</f>
        <v>51</v>
      </c>
      <c r="G782" s="4">
        <f>VALUE(SUBSTITUTE(Titanic_DATASET[[#This Row],[Age Correción.]],".",","))</f>
        <v>51</v>
      </c>
      <c r="H782" s="5">
        <v>51</v>
      </c>
      <c r="I782">
        <v>51</v>
      </c>
      <c r="J782">
        <v>0</v>
      </c>
      <c r="K782">
        <v>1</v>
      </c>
      <c r="L782" s="3" t="s">
        <v>1168</v>
      </c>
      <c r="M782" s="6">
        <f t="shared" si="24"/>
        <v>613792</v>
      </c>
      <c r="N782" s="1">
        <v>613792</v>
      </c>
      <c r="O782" s="1" t="str">
        <f t="shared" si="25"/>
        <v>Desconocido</v>
      </c>
      <c r="Q782" t="s">
        <v>910</v>
      </c>
    </row>
    <row r="783" spans="1:17" x14ac:dyDescent="0.25">
      <c r="A783">
        <v>2</v>
      </c>
      <c r="B783">
        <v>1</v>
      </c>
      <c r="C783">
        <v>1</v>
      </c>
      <c r="D783" t="s">
        <v>906</v>
      </c>
      <c r="E783" t="s">
        <v>907</v>
      </c>
      <c r="F783">
        <f>ROUNDUP(Titanic_DATASET[[#This Row],[Age Correción 2]],0)</f>
        <v>38</v>
      </c>
      <c r="G783" s="4">
        <f>VALUE(SUBSTITUTE(Titanic_DATASET[[#This Row],[Age Correción.]],".",","))</f>
        <v>38</v>
      </c>
      <c r="H783" s="5">
        <v>38</v>
      </c>
      <c r="I783">
        <v>38</v>
      </c>
      <c r="J783">
        <v>1</v>
      </c>
      <c r="K783">
        <v>0</v>
      </c>
      <c r="L783" s="3" t="s">
        <v>908</v>
      </c>
      <c r="M783" s="6">
        <f t="shared" si="24"/>
        <v>712833</v>
      </c>
      <c r="N783" s="1">
        <v>712833</v>
      </c>
      <c r="O783" s="1" t="str">
        <f t="shared" si="25"/>
        <v>C85</v>
      </c>
      <c r="P783" t="s">
        <v>909</v>
      </c>
      <c r="Q783" t="s">
        <v>910</v>
      </c>
    </row>
    <row r="784" spans="1:17" x14ac:dyDescent="0.25">
      <c r="A784">
        <v>794</v>
      </c>
      <c r="B784">
        <v>0</v>
      </c>
      <c r="C784">
        <v>1</v>
      </c>
      <c r="D784" t="s">
        <v>2071</v>
      </c>
      <c r="E784" t="s">
        <v>902</v>
      </c>
      <c r="F784">
        <f>ROUNDUP(Titanic_DATASET[[#This Row],[Age Correción 2]],0)</f>
        <v>42</v>
      </c>
      <c r="G784" s="4">
        <f>VALUE(SUBSTITUTE(Titanic_DATASET[[#This Row],[Age Correción.]],".",","))</f>
        <v>42</v>
      </c>
      <c r="H784" s="5">
        <v>42</v>
      </c>
      <c r="J784">
        <v>0</v>
      </c>
      <c r="K784">
        <v>0</v>
      </c>
      <c r="L784" s="3" t="s">
        <v>2072</v>
      </c>
      <c r="M784" s="6">
        <f t="shared" si="24"/>
        <v>306958</v>
      </c>
      <c r="N784" s="1">
        <v>306958</v>
      </c>
      <c r="O784" s="1" t="str">
        <f t="shared" si="25"/>
        <v>Desconocido</v>
      </c>
      <c r="Q784" t="s">
        <v>910</v>
      </c>
    </row>
    <row r="785" spans="1:17" x14ac:dyDescent="0.25">
      <c r="A785">
        <v>31</v>
      </c>
      <c r="B785">
        <v>0</v>
      </c>
      <c r="C785">
        <v>1</v>
      </c>
      <c r="D785" t="s">
        <v>955</v>
      </c>
      <c r="E785" t="s">
        <v>902</v>
      </c>
      <c r="F785">
        <f>ROUNDUP(Titanic_DATASET[[#This Row],[Age Correción 2]],0)</f>
        <v>40</v>
      </c>
      <c r="G785" s="4">
        <f>VALUE(SUBSTITUTE(Titanic_DATASET[[#This Row],[Age Correción.]],".",","))</f>
        <v>40</v>
      </c>
      <c r="H785" s="5">
        <v>40</v>
      </c>
      <c r="I785">
        <v>40</v>
      </c>
      <c r="J785">
        <v>0</v>
      </c>
      <c r="K785">
        <v>0</v>
      </c>
      <c r="L785" s="3" t="s">
        <v>956</v>
      </c>
      <c r="M785" s="6">
        <f t="shared" si="24"/>
        <v>277208</v>
      </c>
      <c r="N785" s="1">
        <v>277208</v>
      </c>
      <c r="O785" s="1" t="str">
        <f t="shared" si="25"/>
        <v>Desconocido</v>
      </c>
      <c r="Q785" t="s">
        <v>910</v>
      </c>
    </row>
    <row r="786" spans="1:17" x14ac:dyDescent="0.25">
      <c r="A786">
        <v>514</v>
      </c>
      <c r="B786">
        <v>1</v>
      </c>
      <c r="C786">
        <v>1</v>
      </c>
      <c r="D786" t="s">
        <v>1700</v>
      </c>
      <c r="E786" t="s">
        <v>907</v>
      </c>
      <c r="F786">
        <f>ROUNDUP(Titanic_DATASET[[#This Row],[Age Correción 2]],0)</f>
        <v>54</v>
      </c>
      <c r="G786" s="4">
        <f>VALUE(SUBSTITUTE(Titanic_DATASET[[#This Row],[Age Correción.]],".",","))</f>
        <v>54</v>
      </c>
      <c r="H786" s="5">
        <v>54</v>
      </c>
      <c r="I786">
        <v>54</v>
      </c>
      <c r="J786">
        <v>1</v>
      </c>
      <c r="K786">
        <v>0</v>
      </c>
      <c r="L786" s="3" t="s">
        <v>1701</v>
      </c>
      <c r="M786" s="6">
        <f t="shared" si="24"/>
        <v>59.4</v>
      </c>
      <c r="N786" t="s">
        <v>1702</v>
      </c>
      <c r="O786" t="str">
        <f t="shared" si="25"/>
        <v>Desconocido</v>
      </c>
      <c r="Q786" t="s">
        <v>910</v>
      </c>
    </row>
    <row r="787" spans="1:17" x14ac:dyDescent="0.25">
      <c r="A787">
        <v>35</v>
      </c>
      <c r="B787">
        <v>0</v>
      </c>
      <c r="C787">
        <v>1</v>
      </c>
      <c r="D787" t="s">
        <v>965</v>
      </c>
      <c r="E787" t="s">
        <v>902</v>
      </c>
      <c r="F787">
        <f>ROUNDUP(Titanic_DATASET[[#This Row],[Age Correción 2]],0)</f>
        <v>28</v>
      </c>
      <c r="G787" s="4">
        <f>VALUE(SUBSTITUTE(Titanic_DATASET[[#This Row],[Age Correción.]],".",","))</f>
        <v>28</v>
      </c>
      <c r="H787" s="5">
        <v>28</v>
      </c>
      <c r="I787">
        <v>28</v>
      </c>
      <c r="J787">
        <v>1</v>
      </c>
      <c r="K787">
        <v>0</v>
      </c>
      <c r="L787" s="3" t="s">
        <v>966</v>
      </c>
      <c r="M787" s="6">
        <f t="shared" si="24"/>
        <v>821708</v>
      </c>
      <c r="N787" s="1">
        <v>821708</v>
      </c>
      <c r="O787" s="1" t="str">
        <f t="shared" si="25"/>
        <v>Desconocido</v>
      </c>
      <c r="Q787" t="s">
        <v>910</v>
      </c>
    </row>
    <row r="788" spans="1:17" x14ac:dyDescent="0.25">
      <c r="A788">
        <v>376</v>
      </c>
      <c r="B788">
        <v>1</v>
      </c>
      <c r="C788">
        <v>1</v>
      </c>
      <c r="D788" t="s">
        <v>1510</v>
      </c>
      <c r="E788" t="s">
        <v>907</v>
      </c>
      <c r="F788">
        <f>ROUNDUP(Titanic_DATASET[[#This Row],[Age Correción 2]],0)</f>
        <v>26</v>
      </c>
      <c r="G788" s="4">
        <f>VALUE(SUBSTITUTE(Titanic_DATASET[[#This Row],[Age Correción.]],".",","))</f>
        <v>26</v>
      </c>
      <c r="H788" s="5">
        <v>26</v>
      </c>
      <c r="J788">
        <v>1</v>
      </c>
      <c r="K788">
        <v>0</v>
      </c>
      <c r="L788" s="3" t="s">
        <v>966</v>
      </c>
      <c r="M788" s="6">
        <f t="shared" si="24"/>
        <v>821708</v>
      </c>
      <c r="N788" s="1">
        <v>821708</v>
      </c>
      <c r="O788" s="1" t="str">
        <f t="shared" si="25"/>
        <v>Desconocido</v>
      </c>
      <c r="Q788" t="s">
        <v>910</v>
      </c>
    </row>
    <row r="789" spans="1:17" x14ac:dyDescent="0.25">
      <c r="A789">
        <v>65</v>
      </c>
      <c r="B789">
        <v>0</v>
      </c>
      <c r="C789">
        <v>1</v>
      </c>
      <c r="D789" t="s">
        <v>1016</v>
      </c>
      <c r="E789" t="s">
        <v>902</v>
      </c>
      <c r="F789">
        <f>ROUNDUP(Titanic_DATASET[[#This Row],[Age Correción 2]],0)</f>
        <v>37</v>
      </c>
      <c r="G789" s="4">
        <f>VALUE(SUBSTITUTE(Titanic_DATASET[[#This Row],[Age Correción.]],".",","))</f>
        <v>37</v>
      </c>
      <c r="H789" s="5">
        <v>37</v>
      </c>
      <c r="J789">
        <v>0</v>
      </c>
      <c r="K789">
        <v>0</v>
      </c>
      <c r="L789" s="3" t="s">
        <v>1017</v>
      </c>
      <c r="M789" s="6">
        <f t="shared" si="24"/>
        <v>277208</v>
      </c>
      <c r="N789" s="1">
        <v>277208</v>
      </c>
      <c r="O789" s="1" t="str">
        <f t="shared" si="25"/>
        <v>Desconocido</v>
      </c>
      <c r="Q789" t="s">
        <v>910</v>
      </c>
    </row>
    <row r="790" spans="1:17" x14ac:dyDescent="0.25">
      <c r="A790">
        <v>312</v>
      </c>
      <c r="B790">
        <v>1</v>
      </c>
      <c r="C790">
        <v>1</v>
      </c>
      <c r="D790" t="s">
        <v>1419</v>
      </c>
      <c r="E790" t="s">
        <v>907</v>
      </c>
      <c r="F790">
        <f>ROUNDUP(Titanic_DATASET[[#This Row],[Age Correción 2]],0)</f>
        <v>18</v>
      </c>
      <c r="G790" s="4">
        <f>VALUE(SUBSTITUTE(Titanic_DATASET[[#This Row],[Age Correción.]],".",","))</f>
        <v>18</v>
      </c>
      <c r="H790" s="5">
        <v>18</v>
      </c>
      <c r="I790">
        <v>18</v>
      </c>
      <c r="J790">
        <v>2</v>
      </c>
      <c r="K790">
        <v>2</v>
      </c>
      <c r="L790" s="3" t="s">
        <v>1420</v>
      </c>
      <c r="M790" s="6">
        <f t="shared" si="24"/>
        <v>262375</v>
      </c>
      <c r="N790" s="1">
        <v>262375</v>
      </c>
      <c r="O790" s="1" t="str">
        <f t="shared" si="25"/>
        <v>B57 B59 B63 B66</v>
      </c>
      <c r="P790" t="s">
        <v>1421</v>
      </c>
      <c r="Q790" t="s">
        <v>910</v>
      </c>
    </row>
    <row r="791" spans="1:17" x14ac:dyDescent="0.25">
      <c r="A791">
        <v>743</v>
      </c>
      <c r="B791">
        <v>1</v>
      </c>
      <c r="C791">
        <v>1</v>
      </c>
      <c r="D791" t="s">
        <v>2005</v>
      </c>
      <c r="E791" t="s">
        <v>907</v>
      </c>
      <c r="F791">
        <f>ROUNDUP(Titanic_DATASET[[#This Row],[Age Correción 2]],0)</f>
        <v>21</v>
      </c>
      <c r="G791" s="4">
        <f>VALUE(SUBSTITUTE(Titanic_DATASET[[#This Row],[Age Correción.]],".",","))</f>
        <v>21</v>
      </c>
      <c r="H791" s="5">
        <v>21</v>
      </c>
      <c r="I791">
        <v>21</v>
      </c>
      <c r="J791">
        <v>2</v>
      </c>
      <c r="K791">
        <v>2</v>
      </c>
      <c r="L791" s="3" t="s">
        <v>1420</v>
      </c>
      <c r="M791" s="6">
        <f t="shared" si="24"/>
        <v>262375</v>
      </c>
      <c r="N791" s="1">
        <v>262375</v>
      </c>
      <c r="O791" s="1" t="str">
        <f t="shared" si="25"/>
        <v>B57 B59 B63 B66</v>
      </c>
      <c r="P791" t="s">
        <v>1421</v>
      </c>
      <c r="Q791" t="s">
        <v>910</v>
      </c>
    </row>
    <row r="792" spans="1:17" x14ac:dyDescent="0.25">
      <c r="A792">
        <v>494</v>
      </c>
      <c r="B792">
        <v>0</v>
      </c>
      <c r="C792">
        <v>1</v>
      </c>
      <c r="D792" t="s">
        <v>1670</v>
      </c>
      <c r="E792" t="s">
        <v>902</v>
      </c>
      <c r="F792">
        <f>ROUNDUP(Titanic_DATASET[[#This Row],[Age Correción 2]],0)</f>
        <v>71</v>
      </c>
      <c r="G792" s="4">
        <f>VALUE(SUBSTITUTE(Titanic_DATASET[[#This Row],[Age Correción.]],".",","))</f>
        <v>71</v>
      </c>
      <c r="H792" s="5">
        <v>71</v>
      </c>
      <c r="I792">
        <v>71</v>
      </c>
      <c r="J792">
        <v>0</v>
      </c>
      <c r="K792">
        <v>0</v>
      </c>
      <c r="L792" s="3" t="s">
        <v>1671</v>
      </c>
      <c r="M792" s="6">
        <f t="shared" si="24"/>
        <v>495042</v>
      </c>
      <c r="N792" s="1">
        <v>495042</v>
      </c>
      <c r="O792" s="1" t="str">
        <f t="shared" si="25"/>
        <v>Desconocido</v>
      </c>
      <c r="Q792" t="s">
        <v>910</v>
      </c>
    </row>
    <row r="793" spans="1:17" x14ac:dyDescent="0.25">
      <c r="A793">
        <v>195</v>
      </c>
      <c r="B793">
        <v>1</v>
      </c>
      <c r="C793">
        <v>1</v>
      </c>
      <c r="D793" t="s">
        <v>1226</v>
      </c>
      <c r="E793" t="s">
        <v>907</v>
      </c>
      <c r="F793">
        <f>ROUNDUP(Titanic_DATASET[[#This Row],[Age Correción 2]],0)</f>
        <v>44</v>
      </c>
      <c r="G793" s="4">
        <f>VALUE(SUBSTITUTE(Titanic_DATASET[[#This Row],[Age Correción.]],".",","))</f>
        <v>44</v>
      </c>
      <c r="H793" s="5">
        <v>44</v>
      </c>
      <c r="I793">
        <v>44</v>
      </c>
      <c r="J793">
        <v>0</v>
      </c>
      <c r="K793">
        <v>0</v>
      </c>
      <c r="L793" s="3" t="s">
        <v>1227</v>
      </c>
      <c r="M793" s="6">
        <f t="shared" si="24"/>
        <v>277208</v>
      </c>
      <c r="N793" s="1">
        <v>277208</v>
      </c>
      <c r="O793" s="1" t="str">
        <f t="shared" si="25"/>
        <v>B4</v>
      </c>
      <c r="P793" t="s">
        <v>1228</v>
      </c>
      <c r="Q793" t="s">
        <v>910</v>
      </c>
    </row>
    <row r="794" spans="1:17" x14ac:dyDescent="0.25">
      <c r="A794">
        <v>335</v>
      </c>
      <c r="B794">
        <v>1</v>
      </c>
      <c r="C794">
        <v>1</v>
      </c>
      <c r="D794" t="s">
        <v>1453</v>
      </c>
      <c r="E794" t="s">
        <v>907</v>
      </c>
      <c r="F794">
        <f>ROUNDUP(Titanic_DATASET[[#This Row],[Age Correción 2]],0)</f>
        <v>54</v>
      </c>
      <c r="G794" s="4">
        <f>VALUE(SUBSTITUTE(Titanic_DATASET[[#This Row],[Age Correción.]],".",","))</f>
        <v>54</v>
      </c>
      <c r="H794" s="5">
        <v>54</v>
      </c>
      <c r="J794">
        <v>1</v>
      </c>
      <c r="K794">
        <v>0</v>
      </c>
      <c r="L794" s="3" t="s">
        <v>1454</v>
      </c>
      <c r="M794" s="6">
        <f t="shared" si="24"/>
        <v>133.65</v>
      </c>
      <c r="N794" t="s">
        <v>1455</v>
      </c>
      <c r="O794" t="str">
        <f t="shared" si="25"/>
        <v>Desconocido</v>
      </c>
      <c r="Q794" t="s">
        <v>905</v>
      </c>
    </row>
    <row r="795" spans="1:17" x14ac:dyDescent="0.25">
      <c r="A795">
        <v>661</v>
      </c>
      <c r="B795">
        <v>1</v>
      </c>
      <c r="C795">
        <v>1</v>
      </c>
      <c r="D795" t="s">
        <v>1898</v>
      </c>
      <c r="E795" t="s">
        <v>902</v>
      </c>
      <c r="F795">
        <f>ROUNDUP(Titanic_DATASET[[#This Row],[Age Correción 2]],0)</f>
        <v>50</v>
      </c>
      <c r="G795" s="4">
        <f>VALUE(SUBSTITUTE(Titanic_DATASET[[#This Row],[Age Correción.]],".",","))</f>
        <v>50</v>
      </c>
      <c r="H795" s="5">
        <v>50</v>
      </c>
      <c r="I795">
        <v>50</v>
      </c>
      <c r="J795">
        <v>2</v>
      </c>
      <c r="K795">
        <v>0</v>
      </c>
      <c r="L795" s="3" t="s">
        <v>1454</v>
      </c>
      <c r="M795" s="6">
        <f t="shared" si="24"/>
        <v>133.65</v>
      </c>
      <c r="N795" t="s">
        <v>1455</v>
      </c>
      <c r="O795" t="str">
        <f t="shared" si="25"/>
        <v>Desconocido</v>
      </c>
      <c r="Q795" t="s">
        <v>905</v>
      </c>
    </row>
    <row r="796" spans="1:17" x14ac:dyDescent="0.25">
      <c r="A796">
        <v>296</v>
      </c>
      <c r="B796">
        <v>0</v>
      </c>
      <c r="C796">
        <v>1</v>
      </c>
      <c r="D796" t="s">
        <v>1386</v>
      </c>
      <c r="E796" t="s">
        <v>902</v>
      </c>
      <c r="F796">
        <f>ROUNDUP(Titanic_DATASET[[#This Row],[Age Correción 2]],0)</f>
        <v>49</v>
      </c>
      <c r="G796" s="4">
        <f>VALUE(SUBSTITUTE(Titanic_DATASET[[#This Row],[Age Correción.]],".",","))</f>
        <v>49</v>
      </c>
      <c r="H796" s="5">
        <v>49</v>
      </c>
      <c r="J796">
        <v>0</v>
      </c>
      <c r="K796">
        <v>0</v>
      </c>
      <c r="L796" s="3" t="s">
        <v>1387</v>
      </c>
      <c r="M796" s="6">
        <f t="shared" si="24"/>
        <v>277208</v>
      </c>
      <c r="N796" s="1">
        <v>277208</v>
      </c>
      <c r="O796" s="1" t="str">
        <f t="shared" si="25"/>
        <v>Desconocido</v>
      </c>
      <c r="Q796" t="s">
        <v>910</v>
      </c>
    </row>
    <row r="797" spans="1:17" x14ac:dyDescent="0.25">
      <c r="A797">
        <v>97</v>
      </c>
      <c r="B797">
        <v>0</v>
      </c>
      <c r="C797">
        <v>1</v>
      </c>
      <c r="D797" t="s">
        <v>1067</v>
      </c>
      <c r="E797" t="s">
        <v>902</v>
      </c>
      <c r="F797">
        <f>ROUNDUP(Titanic_DATASET[[#This Row],[Age Correción 2]],0)</f>
        <v>71</v>
      </c>
      <c r="G797" s="4">
        <f>VALUE(SUBSTITUTE(Titanic_DATASET[[#This Row],[Age Correción.]],".",","))</f>
        <v>71</v>
      </c>
      <c r="H797" s="5">
        <v>71</v>
      </c>
      <c r="I797">
        <v>71</v>
      </c>
      <c r="J797">
        <v>0</v>
      </c>
      <c r="K797">
        <v>0</v>
      </c>
      <c r="L797" s="3" t="s">
        <v>1068</v>
      </c>
      <c r="M797" s="6">
        <f t="shared" si="24"/>
        <v>346542</v>
      </c>
      <c r="N797" s="1">
        <v>346542</v>
      </c>
      <c r="O797" s="1" t="str">
        <f t="shared" si="25"/>
        <v>A5</v>
      </c>
      <c r="P797" t="s">
        <v>1069</v>
      </c>
      <c r="Q797" t="s">
        <v>910</v>
      </c>
    </row>
    <row r="798" spans="1:17" x14ac:dyDescent="0.25">
      <c r="A798">
        <v>259</v>
      </c>
      <c r="B798">
        <v>1</v>
      </c>
      <c r="C798">
        <v>1</v>
      </c>
      <c r="D798" t="s">
        <v>1326</v>
      </c>
      <c r="E798" t="s">
        <v>907</v>
      </c>
      <c r="F798">
        <f>ROUNDUP(Titanic_DATASET[[#This Row],[Age Correción 2]],0)</f>
        <v>35</v>
      </c>
      <c r="G798" s="4">
        <f>VALUE(SUBSTITUTE(Titanic_DATASET[[#This Row],[Age Correción.]],".",","))</f>
        <v>35</v>
      </c>
      <c r="H798" s="5">
        <v>35</v>
      </c>
      <c r="I798">
        <v>35</v>
      </c>
      <c r="J798">
        <v>0</v>
      </c>
      <c r="K798">
        <v>0</v>
      </c>
      <c r="L798" s="3" t="s">
        <v>1327</v>
      </c>
      <c r="M798" s="6">
        <f t="shared" si="24"/>
        <v>5123292</v>
      </c>
      <c r="N798" s="1">
        <v>5123292</v>
      </c>
      <c r="O798" s="1" t="str">
        <f t="shared" si="25"/>
        <v>Desconocido</v>
      </c>
      <c r="Q798" t="s">
        <v>910</v>
      </c>
    </row>
    <row r="799" spans="1:17" x14ac:dyDescent="0.25">
      <c r="A799">
        <v>680</v>
      </c>
      <c r="B799">
        <v>1</v>
      </c>
      <c r="C799">
        <v>1</v>
      </c>
      <c r="D799" t="s">
        <v>1925</v>
      </c>
      <c r="E799" t="s">
        <v>902</v>
      </c>
      <c r="F799">
        <f>ROUNDUP(Titanic_DATASET[[#This Row],[Age Correción 2]],0)</f>
        <v>36</v>
      </c>
      <c r="G799" s="4">
        <f>VALUE(SUBSTITUTE(Titanic_DATASET[[#This Row],[Age Correción.]],".",","))</f>
        <v>36</v>
      </c>
      <c r="H799" s="5">
        <v>36</v>
      </c>
      <c r="I799">
        <v>36</v>
      </c>
      <c r="J799">
        <v>0</v>
      </c>
      <c r="K799">
        <v>1</v>
      </c>
      <c r="L799" s="3" t="s">
        <v>1327</v>
      </c>
      <c r="M799" s="6">
        <f t="shared" si="24"/>
        <v>5123292</v>
      </c>
      <c r="N799" s="1">
        <v>5123292</v>
      </c>
      <c r="O799" s="1" t="str">
        <f t="shared" si="25"/>
        <v>B51 B53 B55</v>
      </c>
      <c r="P799" t="s">
        <v>1926</v>
      </c>
      <c r="Q799" t="s">
        <v>910</v>
      </c>
    </row>
    <row r="800" spans="1:17" x14ac:dyDescent="0.25">
      <c r="A800">
        <v>738</v>
      </c>
      <c r="B800">
        <v>1</v>
      </c>
      <c r="C800">
        <v>1</v>
      </c>
      <c r="D800" t="s">
        <v>1997</v>
      </c>
      <c r="E800" t="s">
        <v>902</v>
      </c>
      <c r="F800">
        <f>ROUNDUP(Titanic_DATASET[[#This Row],[Age Correción 2]],0)</f>
        <v>35</v>
      </c>
      <c r="G800" s="4">
        <f>VALUE(SUBSTITUTE(Titanic_DATASET[[#This Row],[Age Correción.]],".",","))</f>
        <v>35</v>
      </c>
      <c r="H800" s="5">
        <v>35</v>
      </c>
      <c r="I800">
        <v>35</v>
      </c>
      <c r="J800">
        <v>0</v>
      </c>
      <c r="K800">
        <v>0</v>
      </c>
      <c r="L800" s="3" t="s">
        <v>1327</v>
      </c>
      <c r="M800" s="6">
        <f t="shared" si="24"/>
        <v>5123292</v>
      </c>
      <c r="N800" s="1">
        <v>5123292</v>
      </c>
      <c r="O800" s="1" t="str">
        <f t="shared" si="25"/>
        <v>B101</v>
      </c>
      <c r="P800" t="s">
        <v>1998</v>
      </c>
      <c r="Q800" t="s">
        <v>910</v>
      </c>
    </row>
    <row r="801" spans="1:17" x14ac:dyDescent="0.25">
      <c r="A801">
        <v>836</v>
      </c>
      <c r="B801">
        <v>1</v>
      </c>
      <c r="C801">
        <v>1</v>
      </c>
      <c r="D801" t="s">
        <v>2125</v>
      </c>
      <c r="E801" t="s">
        <v>907</v>
      </c>
      <c r="F801">
        <f>ROUNDUP(Titanic_DATASET[[#This Row],[Age Correción 2]],0)</f>
        <v>39</v>
      </c>
      <c r="G801" s="4">
        <f>VALUE(SUBSTITUTE(Titanic_DATASET[[#This Row],[Age Correción.]],".",","))</f>
        <v>39</v>
      </c>
      <c r="H801" s="5">
        <v>39</v>
      </c>
      <c r="I801">
        <v>39</v>
      </c>
      <c r="J801">
        <v>1</v>
      </c>
      <c r="K801">
        <v>1</v>
      </c>
      <c r="L801" s="3" t="s">
        <v>2126</v>
      </c>
      <c r="M801" s="6">
        <f t="shared" si="24"/>
        <v>831583</v>
      </c>
      <c r="N801" s="1">
        <v>831583</v>
      </c>
      <c r="O801" s="1" t="str">
        <f t="shared" si="25"/>
        <v>E49</v>
      </c>
      <c r="P801" t="s">
        <v>2127</v>
      </c>
      <c r="Q801" t="s">
        <v>910</v>
      </c>
    </row>
    <row r="802" spans="1:17" x14ac:dyDescent="0.25">
      <c r="A802">
        <v>381</v>
      </c>
      <c r="B802">
        <v>1</v>
      </c>
      <c r="C802">
        <v>1</v>
      </c>
      <c r="D802" t="s">
        <v>1518</v>
      </c>
      <c r="E802" t="s">
        <v>907</v>
      </c>
      <c r="F802">
        <f>ROUNDUP(Titanic_DATASET[[#This Row],[Age Correción 2]],0)</f>
        <v>42</v>
      </c>
      <c r="G802" s="4">
        <f>VALUE(SUBSTITUTE(Titanic_DATASET[[#This Row],[Age Correción.]],".",","))</f>
        <v>42</v>
      </c>
      <c r="H802" s="5">
        <v>42</v>
      </c>
      <c r="I802">
        <v>42</v>
      </c>
      <c r="J802">
        <v>0</v>
      </c>
      <c r="K802">
        <v>0</v>
      </c>
      <c r="L802" s="3" t="s">
        <v>1519</v>
      </c>
      <c r="M802" s="6">
        <f t="shared" si="24"/>
        <v>227525</v>
      </c>
      <c r="N802" s="1">
        <v>227525</v>
      </c>
      <c r="O802" s="1" t="str">
        <f t="shared" si="25"/>
        <v>Desconocido</v>
      </c>
      <c r="Q802" t="s">
        <v>910</v>
      </c>
    </row>
    <row r="803" spans="1:17" x14ac:dyDescent="0.25">
      <c r="A803">
        <v>558</v>
      </c>
      <c r="B803">
        <v>0</v>
      </c>
      <c r="C803">
        <v>1</v>
      </c>
      <c r="D803" t="s">
        <v>1764</v>
      </c>
      <c r="E803" t="s">
        <v>902</v>
      </c>
      <c r="F803">
        <f>ROUNDUP(Titanic_DATASET[[#This Row],[Age Correción 2]],0)</f>
        <v>65</v>
      </c>
      <c r="G803" s="4">
        <f>VALUE(SUBSTITUTE(Titanic_DATASET[[#This Row],[Age Correción.]],".",","))</f>
        <v>65</v>
      </c>
      <c r="H803" s="5">
        <v>65</v>
      </c>
      <c r="J803">
        <v>0</v>
      </c>
      <c r="K803">
        <v>0</v>
      </c>
      <c r="L803" s="3" t="s">
        <v>1519</v>
      </c>
      <c r="M803" s="6">
        <f t="shared" si="24"/>
        <v>227525</v>
      </c>
      <c r="N803" s="1">
        <v>227525</v>
      </c>
      <c r="O803" s="1" t="str">
        <f t="shared" si="25"/>
        <v>Desconocido</v>
      </c>
      <c r="Q803" t="s">
        <v>910</v>
      </c>
    </row>
    <row r="804" spans="1:17" x14ac:dyDescent="0.25">
      <c r="A804">
        <v>701</v>
      </c>
      <c r="B804">
        <v>1</v>
      </c>
      <c r="C804">
        <v>1</v>
      </c>
      <c r="D804" t="s">
        <v>1951</v>
      </c>
      <c r="E804" t="s">
        <v>907</v>
      </c>
      <c r="F804">
        <f>ROUNDUP(Titanic_DATASET[[#This Row],[Age Correción 2]],0)</f>
        <v>18</v>
      </c>
      <c r="G804" s="4">
        <f>VALUE(SUBSTITUTE(Titanic_DATASET[[#This Row],[Age Correción.]],".",","))</f>
        <v>18</v>
      </c>
      <c r="H804" s="5">
        <v>18</v>
      </c>
      <c r="I804">
        <v>18</v>
      </c>
      <c r="J804">
        <v>1</v>
      </c>
      <c r="K804">
        <v>0</v>
      </c>
      <c r="L804" s="3" t="s">
        <v>1519</v>
      </c>
      <c r="M804" s="6">
        <f t="shared" si="24"/>
        <v>227525</v>
      </c>
      <c r="N804" s="1">
        <v>227525</v>
      </c>
      <c r="O804" s="1" t="str">
        <f t="shared" si="25"/>
        <v>C62 C64</v>
      </c>
      <c r="P804" t="s">
        <v>1952</v>
      </c>
      <c r="Q804" t="s">
        <v>910</v>
      </c>
    </row>
    <row r="805" spans="1:17" x14ac:dyDescent="0.25">
      <c r="A805">
        <v>717</v>
      </c>
      <c r="B805">
        <v>1</v>
      </c>
      <c r="C805">
        <v>1</v>
      </c>
      <c r="D805" t="s">
        <v>1973</v>
      </c>
      <c r="E805" t="s">
        <v>907</v>
      </c>
      <c r="F805">
        <f>ROUNDUP(Titanic_DATASET[[#This Row],[Age Correción 2]],0)</f>
        <v>38</v>
      </c>
      <c r="G805" s="4">
        <f>VALUE(SUBSTITUTE(Titanic_DATASET[[#This Row],[Age Correción.]],".",","))</f>
        <v>38</v>
      </c>
      <c r="H805" s="5">
        <v>38</v>
      </c>
      <c r="I805">
        <v>38</v>
      </c>
      <c r="J805">
        <v>0</v>
      </c>
      <c r="K805">
        <v>0</v>
      </c>
      <c r="L805" s="3" t="s">
        <v>1519</v>
      </c>
      <c r="M805" s="6">
        <f t="shared" si="24"/>
        <v>227525</v>
      </c>
      <c r="N805" s="1">
        <v>227525</v>
      </c>
      <c r="O805" s="1" t="str">
        <f t="shared" si="25"/>
        <v>C45</v>
      </c>
      <c r="P805" t="s">
        <v>1974</v>
      </c>
      <c r="Q805" t="s">
        <v>910</v>
      </c>
    </row>
    <row r="806" spans="1:17" x14ac:dyDescent="0.25">
      <c r="A806">
        <v>308</v>
      </c>
      <c r="B806">
        <v>1</v>
      </c>
      <c r="C806">
        <v>1</v>
      </c>
      <c r="D806" t="s">
        <v>1408</v>
      </c>
      <c r="E806" t="s">
        <v>907</v>
      </c>
      <c r="F806">
        <f>ROUNDUP(Titanic_DATASET[[#This Row],[Age Correción 2]],0)</f>
        <v>17</v>
      </c>
      <c r="G806" s="4">
        <f>VALUE(SUBSTITUTE(Titanic_DATASET[[#This Row],[Age Correción.]],".",","))</f>
        <v>17</v>
      </c>
      <c r="H806" s="5">
        <v>17</v>
      </c>
      <c r="I806">
        <v>17</v>
      </c>
      <c r="J806">
        <v>1</v>
      </c>
      <c r="K806">
        <v>0</v>
      </c>
      <c r="L806" s="3" t="s">
        <v>1409</v>
      </c>
      <c r="M806" s="6">
        <f t="shared" si="24"/>
        <v>108.9</v>
      </c>
      <c r="N806" t="s">
        <v>1410</v>
      </c>
      <c r="O806" t="str">
        <f t="shared" si="25"/>
        <v>C65</v>
      </c>
      <c r="P806" t="s">
        <v>1411</v>
      </c>
      <c r="Q806" t="s">
        <v>910</v>
      </c>
    </row>
    <row r="807" spans="1:17" x14ac:dyDescent="0.25">
      <c r="A807">
        <v>506</v>
      </c>
      <c r="B807">
        <v>0</v>
      </c>
      <c r="C807">
        <v>1</v>
      </c>
      <c r="D807" t="s">
        <v>1688</v>
      </c>
      <c r="E807" t="s">
        <v>902</v>
      </c>
      <c r="F807">
        <f>ROUNDUP(Titanic_DATASET[[#This Row],[Age Correción 2]],0)</f>
        <v>18</v>
      </c>
      <c r="G807" s="4">
        <f>VALUE(SUBSTITUTE(Titanic_DATASET[[#This Row],[Age Correción.]],".",","))</f>
        <v>18</v>
      </c>
      <c r="H807" s="5">
        <v>18</v>
      </c>
      <c r="I807">
        <v>18</v>
      </c>
      <c r="J807">
        <v>1</v>
      </c>
      <c r="K807">
        <v>0</v>
      </c>
      <c r="L807" s="3" t="s">
        <v>1409</v>
      </c>
      <c r="M807" s="6">
        <f t="shared" si="24"/>
        <v>108.9</v>
      </c>
      <c r="N807" t="s">
        <v>1410</v>
      </c>
      <c r="O807" t="str">
        <f t="shared" si="25"/>
        <v>C65</v>
      </c>
      <c r="P807" t="s">
        <v>1411</v>
      </c>
      <c r="Q807" t="s">
        <v>910</v>
      </c>
    </row>
    <row r="808" spans="1:17" x14ac:dyDescent="0.25">
      <c r="A808">
        <v>98</v>
      </c>
      <c r="B808">
        <v>1</v>
      </c>
      <c r="C808">
        <v>1</v>
      </c>
      <c r="D808" t="s">
        <v>1070</v>
      </c>
      <c r="E808" t="s">
        <v>902</v>
      </c>
      <c r="F808">
        <f>ROUNDUP(Titanic_DATASET[[#This Row],[Age Correción 2]],0)</f>
        <v>23</v>
      </c>
      <c r="G808" s="4">
        <f>VALUE(SUBSTITUTE(Titanic_DATASET[[#This Row],[Age Correción.]],".",","))</f>
        <v>23</v>
      </c>
      <c r="H808" s="5">
        <v>23</v>
      </c>
      <c r="I808">
        <v>23</v>
      </c>
      <c r="J808">
        <v>0</v>
      </c>
      <c r="K808">
        <v>1</v>
      </c>
      <c r="L808" s="3" t="s">
        <v>1071</v>
      </c>
      <c r="M808" s="6">
        <f t="shared" si="24"/>
        <v>633583</v>
      </c>
      <c r="N808" s="1">
        <v>633583</v>
      </c>
      <c r="O808" s="1" t="str">
        <f t="shared" si="25"/>
        <v>D10 D12</v>
      </c>
      <c r="P808" t="s">
        <v>1072</v>
      </c>
      <c r="Q808" t="s">
        <v>910</v>
      </c>
    </row>
    <row r="809" spans="1:17" x14ac:dyDescent="0.25">
      <c r="A809">
        <v>270</v>
      </c>
      <c r="B809">
        <v>1</v>
      </c>
      <c r="C809">
        <v>1</v>
      </c>
      <c r="D809" t="s">
        <v>1344</v>
      </c>
      <c r="E809" t="s">
        <v>907</v>
      </c>
      <c r="F809">
        <f>ROUNDUP(Titanic_DATASET[[#This Row],[Age Correción 2]],0)</f>
        <v>35</v>
      </c>
      <c r="G809" s="4">
        <f>VALUE(SUBSTITUTE(Titanic_DATASET[[#This Row],[Age Correción.]],".",","))</f>
        <v>35</v>
      </c>
      <c r="H809" s="5">
        <v>35</v>
      </c>
      <c r="I809">
        <v>35</v>
      </c>
      <c r="J809">
        <v>0</v>
      </c>
      <c r="K809">
        <v>0</v>
      </c>
      <c r="L809" s="3" t="s">
        <v>1345</v>
      </c>
      <c r="M809" s="6">
        <f t="shared" si="24"/>
        <v>1356333</v>
      </c>
      <c r="N809" s="1">
        <v>1356333</v>
      </c>
      <c r="O809" s="1" t="str">
        <f t="shared" si="25"/>
        <v>C99</v>
      </c>
      <c r="P809" t="s">
        <v>1346</v>
      </c>
      <c r="Q809" t="s">
        <v>905</v>
      </c>
    </row>
    <row r="810" spans="1:17" x14ac:dyDescent="0.25">
      <c r="A810">
        <v>326</v>
      </c>
      <c r="B810">
        <v>1</v>
      </c>
      <c r="C810">
        <v>1</v>
      </c>
      <c r="D810" t="s">
        <v>1440</v>
      </c>
      <c r="E810" t="s">
        <v>907</v>
      </c>
      <c r="F810">
        <f>ROUNDUP(Titanic_DATASET[[#This Row],[Age Correción 2]],0)</f>
        <v>36</v>
      </c>
      <c r="G810" s="4">
        <f>VALUE(SUBSTITUTE(Titanic_DATASET[[#This Row],[Age Correción.]],".",","))</f>
        <v>36</v>
      </c>
      <c r="H810" s="5">
        <v>36</v>
      </c>
      <c r="I810">
        <v>36</v>
      </c>
      <c r="J810">
        <v>0</v>
      </c>
      <c r="K810">
        <v>0</v>
      </c>
      <c r="L810" s="3" t="s">
        <v>1345</v>
      </c>
      <c r="M810" s="6">
        <f t="shared" si="24"/>
        <v>1356333</v>
      </c>
      <c r="N810" s="1">
        <v>1356333</v>
      </c>
      <c r="O810" s="1" t="str">
        <f t="shared" si="25"/>
        <v>C32</v>
      </c>
      <c r="P810" t="s">
        <v>1441</v>
      </c>
      <c r="Q810" t="s">
        <v>910</v>
      </c>
    </row>
    <row r="811" spans="1:17" x14ac:dyDescent="0.25">
      <c r="A811">
        <v>374</v>
      </c>
      <c r="B811">
        <v>0</v>
      </c>
      <c r="C811">
        <v>1</v>
      </c>
      <c r="D811" t="s">
        <v>1508</v>
      </c>
      <c r="E811" t="s">
        <v>902</v>
      </c>
      <c r="F811">
        <f>ROUNDUP(Titanic_DATASET[[#This Row],[Age Correción 2]],0)</f>
        <v>22</v>
      </c>
      <c r="G811" s="4">
        <f>VALUE(SUBSTITUTE(Titanic_DATASET[[#This Row],[Age Correción.]],".",","))</f>
        <v>22</v>
      </c>
      <c r="H811" s="5">
        <v>22</v>
      </c>
      <c r="I811">
        <v>22</v>
      </c>
      <c r="J811">
        <v>0</v>
      </c>
      <c r="K811">
        <v>0</v>
      </c>
      <c r="L811" s="3" t="s">
        <v>1345</v>
      </c>
      <c r="M811" s="6">
        <f t="shared" si="24"/>
        <v>1356333</v>
      </c>
      <c r="N811" s="1">
        <v>1356333</v>
      </c>
      <c r="O811" s="1" t="str">
        <f t="shared" si="25"/>
        <v>Desconocido</v>
      </c>
      <c r="Q811" t="s">
        <v>910</v>
      </c>
    </row>
    <row r="812" spans="1:17" x14ac:dyDescent="0.25">
      <c r="A812">
        <v>538</v>
      </c>
      <c r="B812">
        <v>1</v>
      </c>
      <c r="C812">
        <v>1</v>
      </c>
      <c r="D812" t="s">
        <v>1734</v>
      </c>
      <c r="E812" t="s">
        <v>907</v>
      </c>
      <c r="F812">
        <f>ROUNDUP(Titanic_DATASET[[#This Row],[Age Correción 2]],0)</f>
        <v>30</v>
      </c>
      <c r="G812" s="4">
        <f>VALUE(SUBSTITUTE(Titanic_DATASET[[#This Row],[Age Correción.]],".",","))</f>
        <v>30</v>
      </c>
      <c r="H812" s="5">
        <v>30</v>
      </c>
      <c r="I812">
        <v>30</v>
      </c>
      <c r="J812">
        <v>0</v>
      </c>
      <c r="K812">
        <v>0</v>
      </c>
      <c r="L812" s="3" t="s">
        <v>1735</v>
      </c>
      <c r="M812" s="6">
        <f t="shared" si="24"/>
        <v>106425</v>
      </c>
      <c r="N812" s="1">
        <v>106425</v>
      </c>
      <c r="O812" s="1" t="str">
        <f t="shared" si="25"/>
        <v>Desconocido</v>
      </c>
      <c r="Q812" t="s">
        <v>910</v>
      </c>
    </row>
    <row r="813" spans="1:17" x14ac:dyDescent="0.25">
      <c r="A813">
        <v>545</v>
      </c>
      <c r="B813">
        <v>0</v>
      </c>
      <c r="C813">
        <v>1</v>
      </c>
      <c r="D813" t="s">
        <v>1746</v>
      </c>
      <c r="E813" t="s">
        <v>902</v>
      </c>
      <c r="F813">
        <f>ROUNDUP(Titanic_DATASET[[#This Row],[Age Correción 2]],0)</f>
        <v>50</v>
      </c>
      <c r="G813" s="4">
        <f>VALUE(SUBSTITUTE(Titanic_DATASET[[#This Row],[Age Correción.]],".",","))</f>
        <v>50</v>
      </c>
      <c r="H813" s="5">
        <v>50</v>
      </c>
      <c r="I813">
        <v>50</v>
      </c>
      <c r="J813">
        <v>1</v>
      </c>
      <c r="K813">
        <v>0</v>
      </c>
      <c r="L813" s="3" t="s">
        <v>1735</v>
      </c>
      <c r="M813" s="6">
        <f t="shared" si="24"/>
        <v>106425</v>
      </c>
      <c r="N813" s="1">
        <v>106425</v>
      </c>
      <c r="O813" s="1" t="str">
        <f t="shared" si="25"/>
        <v>C86</v>
      </c>
      <c r="P813" t="s">
        <v>1747</v>
      </c>
      <c r="Q813" t="s">
        <v>910</v>
      </c>
    </row>
    <row r="814" spans="1:17" x14ac:dyDescent="0.25">
      <c r="A814">
        <v>226</v>
      </c>
      <c r="B814">
        <v>0</v>
      </c>
      <c r="C814">
        <v>3</v>
      </c>
      <c r="D814" t="s">
        <v>1272</v>
      </c>
      <c r="E814" t="s">
        <v>902</v>
      </c>
      <c r="F814">
        <f>ROUNDUP(Titanic_DATASET[[#This Row],[Age Correción 2]],0)</f>
        <v>22</v>
      </c>
      <c r="G814" s="4">
        <f>VALUE(SUBSTITUTE(Titanic_DATASET[[#This Row],[Age Correción.]],".",","))</f>
        <v>22</v>
      </c>
      <c r="H814" s="5">
        <v>22</v>
      </c>
      <c r="I814">
        <v>22</v>
      </c>
      <c r="J814">
        <v>0</v>
      </c>
      <c r="K814">
        <v>0</v>
      </c>
      <c r="L814" s="3" t="s">
        <v>1273</v>
      </c>
      <c r="M814" s="6">
        <f t="shared" si="24"/>
        <v>9.35</v>
      </c>
      <c r="N814" t="s">
        <v>1274</v>
      </c>
      <c r="O814" t="str">
        <f t="shared" si="25"/>
        <v>Desconocido</v>
      </c>
      <c r="Q814" t="s">
        <v>905</v>
      </c>
    </row>
    <row r="815" spans="1:17" x14ac:dyDescent="0.25">
      <c r="A815">
        <v>11</v>
      </c>
      <c r="B815">
        <v>1</v>
      </c>
      <c r="C815">
        <v>3</v>
      </c>
      <c r="D815" t="s">
        <v>925</v>
      </c>
      <c r="E815" t="s">
        <v>907</v>
      </c>
      <c r="F815">
        <f>ROUNDUP(Titanic_DATASET[[#This Row],[Age Correción 2]],0)</f>
        <v>4</v>
      </c>
      <c r="G815" s="4">
        <f>VALUE(SUBSTITUTE(Titanic_DATASET[[#This Row],[Age Correción.]],".",","))</f>
        <v>4</v>
      </c>
      <c r="H815" s="5">
        <v>4</v>
      </c>
      <c r="I815">
        <v>4</v>
      </c>
      <c r="J815">
        <v>1</v>
      </c>
      <c r="K815">
        <v>1</v>
      </c>
      <c r="L815" s="3" t="s">
        <v>926</v>
      </c>
      <c r="M815" s="6">
        <f t="shared" si="24"/>
        <v>16.7</v>
      </c>
      <c r="N815" t="s">
        <v>927</v>
      </c>
      <c r="O815" t="str">
        <f t="shared" si="25"/>
        <v>G6</v>
      </c>
      <c r="P815" t="s">
        <v>928</v>
      </c>
      <c r="Q815" t="s">
        <v>905</v>
      </c>
    </row>
    <row r="816" spans="1:17" x14ac:dyDescent="0.25">
      <c r="A816">
        <v>395</v>
      </c>
      <c r="B816">
        <v>1</v>
      </c>
      <c r="C816">
        <v>3</v>
      </c>
      <c r="D816" t="s">
        <v>1536</v>
      </c>
      <c r="E816" t="s">
        <v>907</v>
      </c>
      <c r="F816">
        <f>ROUNDUP(Titanic_DATASET[[#This Row],[Age Correción 2]],0)</f>
        <v>24</v>
      </c>
      <c r="G816" s="4">
        <f>VALUE(SUBSTITUTE(Titanic_DATASET[[#This Row],[Age Correción.]],".",","))</f>
        <v>24</v>
      </c>
      <c r="H816" s="5">
        <v>24</v>
      </c>
      <c r="I816">
        <v>24</v>
      </c>
      <c r="J816">
        <v>0</v>
      </c>
      <c r="K816">
        <v>2</v>
      </c>
      <c r="L816" s="3" t="s">
        <v>926</v>
      </c>
      <c r="M816" s="6">
        <f t="shared" si="24"/>
        <v>16.7</v>
      </c>
      <c r="N816" t="s">
        <v>927</v>
      </c>
      <c r="O816" t="str">
        <f t="shared" si="25"/>
        <v>G6</v>
      </c>
      <c r="P816" t="s">
        <v>928</v>
      </c>
      <c r="Q816" t="s">
        <v>905</v>
      </c>
    </row>
    <row r="817" spans="1:17" x14ac:dyDescent="0.25">
      <c r="A817">
        <v>46</v>
      </c>
      <c r="B817">
        <v>0</v>
      </c>
      <c r="C817">
        <v>3</v>
      </c>
      <c r="D817" t="s">
        <v>979</v>
      </c>
      <c r="E817" t="s">
        <v>902</v>
      </c>
      <c r="F817">
        <f>ROUNDUP(Titanic_DATASET[[#This Row],[Age Correción 2]],0)</f>
        <v>73</v>
      </c>
      <c r="G817" s="4">
        <f>VALUE(SUBSTITUTE(Titanic_DATASET[[#This Row],[Age Correción.]],".",","))</f>
        <v>73</v>
      </c>
      <c r="H817" s="5">
        <v>73</v>
      </c>
      <c r="J817">
        <v>0</v>
      </c>
      <c r="K817">
        <v>0</v>
      </c>
      <c r="L817" s="3" t="s">
        <v>980</v>
      </c>
      <c r="M817" s="6">
        <f t="shared" si="24"/>
        <v>8.0500000000000007</v>
      </c>
      <c r="N817" t="s">
        <v>917</v>
      </c>
      <c r="O817" t="str">
        <f t="shared" si="25"/>
        <v>Desconocido</v>
      </c>
      <c r="Q817" t="s">
        <v>905</v>
      </c>
    </row>
    <row r="818" spans="1:17" x14ac:dyDescent="0.25">
      <c r="A818">
        <v>818</v>
      </c>
      <c r="B818">
        <v>0</v>
      </c>
      <c r="C818">
        <v>2</v>
      </c>
      <c r="D818" t="s">
        <v>2101</v>
      </c>
      <c r="E818" t="s">
        <v>902</v>
      </c>
      <c r="F818">
        <f>ROUNDUP(Titanic_DATASET[[#This Row],[Age Correción 2]],0)</f>
        <v>31</v>
      </c>
      <c r="G818" s="4">
        <f>VALUE(SUBSTITUTE(Titanic_DATASET[[#This Row],[Age Correción.]],".",","))</f>
        <v>31</v>
      </c>
      <c r="H818" s="5">
        <v>31</v>
      </c>
      <c r="I818">
        <v>31</v>
      </c>
      <c r="J818">
        <v>1</v>
      </c>
      <c r="K818">
        <v>1</v>
      </c>
      <c r="L818" s="3" t="s">
        <v>2102</v>
      </c>
      <c r="M818" s="6">
        <f t="shared" si="24"/>
        <v>370042</v>
      </c>
      <c r="N818" s="1">
        <v>370042</v>
      </c>
      <c r="O818" s="1" t="str">
        <f t="shared" si="25"/>
        <v>Desconocido</v>
      </c>
      <c r="Q818" t="s">
        <v>910</v>
      </c>
    </row>
    <row r="819" spans="1:17" x14ac:dyDescent="0.25">
      <c r="A819">
        <v>828</v>
      </c>
      <c r="B819">
        <v>1</v>
      </c>
      <c r="C819">
        <v>2</v>
      </c>
      <c r="D819" t="s">
        <v>2116</v>
      </c>
      <c r="E819" t="s">
        <v>902</v>
      </c>
      <c r="F819">
        <f>ROUNDUP(Titanic_DATASET[[#This Row],[Age Correción 2]],0)</f>
        <v>1</v>
      </c>
      <c r="G819" s="4">
        <f>VALUE(SUBSTITUTE(Titanic_DATASET[[#This Row],[Age Correción.]],".",","))</f>
        <v>1</v>
      </c>
      <c r="H819" s="5">
        <v>1</v>
      </c>
      <c r="I819">
        <v>1</v>
      </c>
      <c r="J819">
        <v>0</v>
      </c>
      <c r="K819">
        <v>2</v>
      </c>
      <c r="L819" s="3" t="s">
        <v>2102</v>
      </c>
      <c r="M819" s="6">
        <f t="shared" si="24"/>
        <v>370042</v>
      </c>
      <c r="N819" s="1">
        <v>370042</v>
      </c>
      <c r="O819" s="1" t="str">
        <f t="shared" si="25"/>
        <v>Desconocido</v>
      </c>
      <c r="Q819" t="s">
        <v>910</v>
      </c>
    </row>
    <row r="820" spans="1:17" x14ac:dyDescent="0.25">
      <c r="A820">
        <v>773</v>
      </c>
      <c r="B820">
        <v>0</v>
      </c>
      <c r="C820">
        <v>2</v>
      </c>
      <c r="D820" t="s">
        <v>2041</v>
      </c>
      <c r="E820" t="s">
        <v>907</v>
      </c>
      <c r="F820">
        <f>ROUNDUP(Titanic_DATASET[[#This Row],[Age Correción 2]],0)</f>
        <v>57</v>
      </c>
      <c r="G820" s="4">
        <f>VALUE(SUBSTITUTE(Titanic_DATASET[[#This Row],[Age Correción.]],".",","))</f>
        <v>57</v>
      </c>
      <c r="H820" s="5">
        <v>57</v>
      </c>
      <c r="I820">
        <v>57</v>
      </c>
      <c r="J820">
        <v>0</v>
      </c>
      <c r="K820">
        <v>0</v>
      </c>
      <c r="L820" s="3" t="s">
        <v>2042</v>
      </c>
      <c r="M820" s="6">
        <f t="shared" si="24"/>
        <v>10.5</v>
      </c>
      <c r="N820" t="s">
        <v>964</v>
      </c>
      <c r="O820" t="str">
        <f t="shared" si="25"/>
        <v>E77</v>
      </c>
      <c r="P820" t="s">
        <v>2043</v>
      </c>
      <c r="Q820" t="s">
        <v>905</v>
      </c>
    </row>
    <row r="821" spans="1:17" x14ac:dyDescent="0.25">
      <c r="A821">
        <v>842</v>
      </c>
      <c r="B821">
        <v>0</v>
      </c>
      <c r="C821">
        <v>2</v>
      </c>
      <c r="D821" t="s">
        <v>2135</v>
      </c>
      <c r="E821" t="s">
        <v>902</v>
      </c>
      <c r="F821">
        <f>ROUNDUP(Titanic_DATASET[[#This Row],[Age Correción 2]],0)</f>
        <v>16</v>
      </c>
      <c r="G821" s="4">
        <f>VALUE(SUBSTITUTE(Titanic_DATASET[[#This Row],[Age Correción.]],".",","))</f>
        <v>16</v>
      </c>
      <c r="H821" s="5">
        <v>16</v>
      </c>
      <c r="I821">
        <v>16</v>
      </c>
      <c r="J821">
        <v>0</v>
      </c>
      <c r="K821">
        <v>0</v>
      </c>
      <c r="L821" s="3" t="s">
        <v>2042</v>
      </c>
      <c r="M821" s="6">
        <f t="shared" si="24"/>
        <v>10.5</v>
      </c>
      <c r="N821" t="s">
        <v>964</v>
      </c>
      <c r="O821" t="str">
        <f t="shared" si="25"/>
        <v>Desconocido</v>
      </c>
      <c r="Q821" t="s">
        <v>905</v>
      </c>
    </row>
    <row r="822" spans="1:17" x14ac:dyDescent="0.25">
      <c r="A822">
        <v>649</v>
      </c>
      <c r="B822">
        <v>0</v>
      </c>
      <c r="C822">
        <v>3</v>
      </c>
      <c r="D822" t="s">
        <v>1883</v>
      </c>
      <c r="E822" t="s">
        <v>902</v>
      </c>
      <c r="F822">
        <f>ROUNDUP(Titanic_DATASET[[#This Row],[Age Correción 2]],0)</f>
        <v>72</v>
      </c>
      <c r="G822" s="4">
        <f>VALUE(SUBSTITUTE(Titanic_DATASET[[#This Row],[Age Correción.]],".",","))</f>
        <v>72</v>
      </c>
      <c r="H822" s="5">
        <v>72</v>
      </c>
      <c r="J822">
        <v>0</v>
      </c>
      <c r="K822">
        <v>0</v>
      </c>
      <c r="L822" s="3" t="s">
        <v>1884</v>
      </c>
      <c r="M822" s="6">
        <f t="shared" si="24"/>
        <v>7.55</v>
      </c>
      <c r="N822" t="s">
        <v>1291</v>
      </c>
      <c r="O822" t="str">
        <f t="shared" si="25"/>
        <v>Desconocido</v>
      </c>
      <c r="Q822" t="s">
        <v>905</v>
      </c>
    </row>
    <row r="823" spans="1:17" x14ac:dyDescent="0.25">
      <c r="A823">
        <v>73</v>
      </c>
      <c r="B823">
        <v>0</v>
      </c>
      <c r="C823">
        <v>2</v>
      </c>
      <c r="D823" t="s">
        <v>1029</v>
      </c>
      <c r="E823" t="s">
        <v>902</v>
      </c>
      <c r="F823">
        <f>ROUNDUP(Titanic_DATASET[[#This Row],[Age Correción 2]],0)</f>
        <v>21</v>
      </c>
      <c r="G823" s="4">
        <f>VALUE(SUBSTITUTE(Titanic_DATASET[[#This Row],[Age Correción.]],".",","))</f>
        <v>21</v>
      </c>
      <c r="H823" s="5">
        <v>21</v>
      </c>
      <c r="I823">
        <v>21</v>
      </c>
      <c r="J823">
        <v>0</v>
      </c>
      <c r="K823">
        <v>0</v>
      </c>
      <c r="L823" s="3" t="s">
        <v>1030</v>
      </c>
      <c r="M823" s="6">
        <f t="shared" si="24"/>
        <v>73.5</v>
      </c>
      <c r="N823" t="s">
        <v>1031</v>
      </c>
      <c r="O823" t="str">
        <f t="shared" si="25"/>
        <v>Desconocido</v>
      </c>
      <c r="Q823" t="s">
        <v>905</v>
      </c>
    </row>
    <row r="824" spans="1:17" x14ac:dyDescent="0.25">
      <c r="A824">
        <v>121</v>
      </c>
      <c r="B824">
        <v>0</v>
      </c>
      <c r="C824">
        <v>2</v>
      </c>
      <c r="D824" t="s">
        <v>1103</v>
      </c>
      <c r="E824" t="s">
        <v>902</v>
      </c>
      <c r="F824">
        <f>ROUNDUP(Titanic_DATASET[[#This Row],[Age Correción 2]],0)</f>
        <v>21</v>
      </c>
      <c r="G824" s="4">
        <f>VALUE(SUBSTITUTE(Titanic_DATASET[[#This Row],[Age Correción.]],".",","))</f>
        <v>21</v>
      </c>
      <c r="H824" s="5">
        <v>21</v>
      </c>
      <c r="I824">
        <v>21</v>
      </c>
      <c r="J824">
        <v>2</v>
      </c>
      <c r="K824">
        <v>0</v>
      </c>
      <c r="L824" s="3" t="s">
        <v>1030</v>
      </c>
      <c r="M824" s="6">
        <f t="shared" si="24"/>
        <v>73.5</v>
      </c>
      <c r="N824" t="s">
        <v>1031</v>
      </c>
      <c r="O824" t="str">
        <f t="shared" si="25"/>
        <v>Desconocido</v>
      </c>
      <c r="Q824" t="s">
        <v>905</v>
      </c>
    </row>
    <row r="825" spans="1:17" x14ac:dyDescent="0.25">
      <c r="A825">
        <v>386</v>
      </c>
      <c r="B825">
        <v>0</v>
      </c>
      <c r="C825">
        <v>2</v>
      </c>
      <c r="D825" t="s">
        <v>1525</v>
      </c>
      <c r="E825" t="s">
        <v>902</v>
      </c>
      <c r="F825">
        <f>ROUNDUP(Titanic_DATASET[[#This Row],[Age Correción 2]],0)</f>
        <v>18</v>
      </c>
      <c r="G825" s="4">
        <f>VALUE(SUBSTITUTE(Titanic_DATASET[[#This Row],[Age Correción.]],".",","))</f>
        <v>18</v>
      </c>
      <c r="H825" s="5">
        <v>18</v>
      </c>
      <c r="I825">
        <v>18</v>
      </c>
      <c r="J825">
        <v>0</v>
      </c>
      <c r="K825">
        <v>0</v>
      </c>
      <c r="L825" s="3" t="s">
        <v>1030</v>
      </c>
      <c r="M825" s="6">
        <f t="shared" si="24"/>
        <v>73.5</v>
      </c>
      <c r="N825" t="s">
        <v>1031</v>
      </c>
      <c r="O825" t="str">
        <f t="shared" si="25"/>
        <v>Desconocido</v>
      </c>
      <c r="Q825" t="s">
        <v>905</v>
      </c>
    </row>
    <row r="826" spans="1:17" x14ac:dyDescent="0.25">
      <c r="A826">
        <v>656</v>
      </c>
      <c r="B826">
        <v>0</v>
      </c>
      <c r="C826">
        <v>2</v>
      </c>
      <c r="D826" t="s">
        <v>1892</v>
      </c>
      <c r="E826" t="s">
        <v>902</v>
      </c>
      <c r="F826">
        <f>ROUNDUP(Titanic_DATASET[[#This Row],[Age Correción 2]],0)</f>
        <v>24</v>
      </c>
      <c r="G826" s="4">
        <f>VALUE(SUBSTITUTE(Titanic_DATASET[[#This Row],[Age Correción.]],".",","))</f>
        <v>24</v>
      </c>
      <c r="H826" s="5">
        <v>24</v>
      </c>
      <c r="I826">
        <v>24</v>
      </c>
      <c r="J826">
        <v>2</v>
      </c>
      <c r="K826">
        <v>0</v>
      </c>
      <c r="L826" s="3" t="s">
        <v>1030</v>
      </c>
      <c r="M826" s="6">
        <f t="shared" si="24"/>
        <v>73.5</v>
      </c>
      <c r="N826" t="s">
        <v>1031</v>
      </c>
      <c r="O826" t="str">
        <f t="shared" si="25"/>
        <v>Desconocido</v>
      </c>
      <c r="Q826" t="s">
        <v>905</v>
      </c>
    </row>
    <row r="827" spans="1:17" x14ac:dyDescent="0.25">
      <c r="A827">
        <v>666</v>
      </c>
      <c r="B827">
        <v>0</v>
      </c>
      <c r="C827">
        <v>2</v>
      </c>
      <c r="D827" t="s">
        <v>1905</v>
      </c>
      <c r="E827" t="s">
        <v>902</v>
      </c>
      <c r="F827">
        <f>ROUNDUP(Titanic_DATASET[[#This Row],[Age Correción 2]],0)</f>
        <v>32</v>
      </c>
      <c r="G827" s="4">
        <f>VALUE(SUBSTITUTE(Titanic_DATASET[[#This Row],[Age Correción.]],".",","))</f>
        <v>32</v>
      </c>
      <c r="H827" s="5">
        <v>32</v>
      </c>
      <c r="I827">
        <v>32</v>
      </c>
      <c r="J827">
        <v>2</v>
      </c>
      <c r="K827">
        <v>0</v>
      </c>
      <c r="L827" s="3" t="s">
        <v>1030</v>
      </c>
      <c r="M827" s="6">
        <f t="shared" si="24"/>
        <v>73.5</v>
      </c>
      <c r="N827" t="s">
        <v>1031</v>
      </c>
      <c r="O827" t="str">
        <f t="shared" si="25"/>
        <v>Desconocido</v>
      </c>
      <c r="Q827" t="s">
        <v>905</v>
      </c>
    </row>
    <row r="828" spans="1:17" x14ac:dyDescent="0.25">
      <c r="A828">
        <v>151</v>
      </c>
      <c r="B828">
        <v>0</v>
      </c>
      <c r="C828">
        <v>2</v>
      </c>
      <c r="D828" t="s">
        <v>1154</v>
      </c>
      <c r="E828" t="s">
        <v>902</v>
      </c>
      <c r="F828">
        <f>ROUNDUP(Titanic_DATASET[[#This Row],[Age Correción 2]],0)</f>
        <v>51</v>
      </c>
      <c r="G828" s="4">
        <f>VALUE(SUBSTITUTE(Titanic_DATASET[[#This Row],[Age Correción.]],".",","))</f>
        <v>51</v>
      </c>
      <c r="H828" s="5">
        <v>51</v>
      </c>
      <c r="I828">
        <v>51</v>
      </c>
      <c r="J828">
        <v>0</v>
      </c>
      <c r="K828">
        <v>0</v>
      </c>
      <c r="L828" s="3" t="s">
        <v>1155</v>
      </c>
      <c r="M828" s="6">
        <f t="shared" si="24"/>
        <v>12525</v>
      </c>
      <c r="N828" s="1">
        <v>12525</v>
      </c>
      <c r="O828" s="1" t="str">
        <f t="shared" si="25"/>
        <v>Desconocido</v>
      </c>
      <c r="Q828" t="s">
        <v>905</v>
      </c>
    </row>
    <row r="829" spans="1:17" x14ac:dyDescent="0.25">
      <c r="A829">
        <v>68</v>
      </c>
      <c r="B829">
        <v>0</v>
      </c>
      <c r="C829">
        <v>3</v>
      </c>
      <c r="D829" t="s">
        <v>1022</v>
      </c>
      <c r="E829" t="s">
        <v>902</v>
      </c>
      <c r="F829">
        <f>ROUNDUP(Titanic_DATASET[[#This Row],[Age Correción 2]],0)</f>
        <v>19</v>
      </c>
      <c r="G829" s="4">
        <f>VALUE(SUBSTITUTE(Titanic_DATASET[[#This Row],[Age Correción.]],".",","))</f>
        <v>19</v>
      </c>
      <c r="H829" s="5">
        <v>19</v>
      </c>
      <c r="I829">
        <v>19</v>
      </c>
      <c r="J829">
        <v>0</v>
      </c>
      <c r="K829">
        <v>0</v>
      </c>
      <c r="L829" s="3" t="s">
        <v>1023</v>
      </c>
      <c r="M829" s="6">
        <f t="shared" si="24"/>
        <v>81583</v>
      </c>
      <c r="N829" s="1">
        <v>81583</v>
      </c>
      <c r="O829" s="1" t="str">
        <f t="shared" si="25"/>
        <v>Desconocido</v>
      </c>
      <c r="Q829" t="s">
        <v>905</v>
      </c>
    </row>
    <row r="830" spans="1:17" x14ac:dyDescent="0.25">
      <c r="A830">
        <v>571</v>
      </c>
      <c r="B830">
        <v>1</v>
      </c>
      <c r="C830">
        <v>2</v>
      </c>
      <c r="D830" t="s">
        <v>1781</v>
      </c>
      <c r="E830" t="s">
        <v>902</v>
      </c>
      <c r="F830">
        <f>ROUNDUP(Titanic_DATASET[[#This Row],[Age Correción 2]],0)</f>
        <v>62</v>
      </c>
      <c r="G830" s="4">
        <f>VALUE(SUBSTITUTE(Titanic_DATASET[[#This Row],[Age Correción.]],".",","))</f>
        <v>62</v>
      </c>
      <c r="H830" s="5">
        <v>62</v>
      </c>
      <c r="I830">
        <v>62</v>
      </c>
      <c r="J830">
        <v>0</v>
      </c>
      <c r="K830">
        <v>0</v>
      </c>
      <c r="L830" s="3" t="s">
        <v>1782</v>
      </c>
      <c r="M830" s="6">
        <f t="shared" si="24"/>
        <v>10.5</v>
      </c>
      <c r="N830" t="s">
        <v>964</v>
      </c>
      <c r="O830" t="str">
        <f t="shared" si="25"/>
        <v>Desconocido</v>
      </c>
      <c r="Q830" t="s">
        <v>905</v>
      </c>
    </row>
    <row r="831" spans="1:17" x14ac:dyDescent="0.25">
      <c r="A831">
        <v>390</v>
      </c>
      <c r="B831">
        <v>1</v>
      </c>
      <c r="C831">
        <v>2</v>
      </c>
      <c r="D831" t="s">
        <v>1529</v>
      </c>
      <c r="E831" t="s">
        <v>907</v>
      </c>
      <c r="F831">
        <f>ROUNDUP(Titanic_DATASET[[#This Row],[Age Correción 2]],0)</f>
        <v>17</v>
      </c>
      <c r="G831" s="4">
        <f>VALUE(SUBSTITUTE(Titanic_DATASET[[#This Row],[Age Correción.]],".",","))</f>
        <v>17</v>
      </c>
      <c r="H831" s="5">
        <v>17</v>
      </c>
      <c r="I831">
        <v>17</v>
      </c>
      <c r="J831">
        <v>0</v>
      </c>
      <c r="K831">
        <v>0</v>
      </c>
      <c r="L831" s="3" t="s">
        <v>1530</v>
      </c>
      <c r="M831" s="6">
        <f t="shared" si="24"/>
        <v>12</v>
      </c>
      <c r="N831">
        <v>12</v>
      </c>
      <c r="O831" t="str">
        <f t="shared" si="25"/>
        <v>Desconocido</v>
      </c>
      <c r="Q831" t="s">
        <v>910</v>
      </c>
    </row>
    <row r="832" spans="1:17" x14ac:dyDescent="0.25">
      <c r="A832">
        <v>595</v>
      </c>
      <c r="B832">
        <v>0</v>
      </c>
      <c r="C832">
        <v>2</v>
      </c>
      <c r="D832" t="s">
        <v>1817</v>
      </c>
      <c r="E832" t="s">
        <v>902</v>
      </c>
      <c r="F832">
        <f>ROUNDUP(Titanic_DATASET[[#This Row],[Age Correción 2]],0)</f>
        <v>37</v>
      </c>
      <c r="G832" s="4">
        <f>VALUE(SUBSTITUTE(Titanic_DATASET[[#This Row],[Age Correción.]],".",","))</f>
        <v>37</v>
      </c>
      <c r="H832" s="5">
        <v>37</v>
      </c>
      <c r="I832">
        <v>37</v>
      </c>
      <c r="J832">
        <v>1</v>
      </c>
      <c r="K832">
        <v>0</v>
      </c>
      <c r="L832" s="3" t="s">
        <v>1818</v>
      </c>
      <c r="M832" s="6">
        <f t="shared" si="24"/>
        <v>26</v>
      </c>
      <c r="N832">
        <v>26</v>
      </c>
      <c r="O832" t="str">
        <f t="shared" si="25"/>
        <v>Desconocido</v>
      </c>
      <c r="Q832" t="s">
        <v>905</v>
      </c>
    </row>
    <row r="833" spans="1:17" x14ac:dyDescent="0.25">
      <c r="A833">
        <v>433</v>
      </c>
      <c r="B833">
        <v>1</v>
      </c>
      <c r="C833">
        <v>2</v>
      </c>
      <c r="D833" t="s">
        <v>1583</v>
      </c>
      <c r="E833" t="s">
        <v>907</v>
      </c>
      <c r="F833">
        <f>ROUNDUP(Titanic_DATASET[[#This Row],[Age Correción 2]],0)</f>
        <v>42</v>
      </c>
      <c r="G833" s="4">
        <f>VALUE(SUBSTITUTE(Titanic_DATASET[[#This Row],[Age Correción.]],".",","))</f>
        <v>42</v>
      </c>
      <c r="H833" s="5">
        <v>42</v>
      </c>
      <c r="I833">
        <v>42</v>
      </c>
      <c r="J833">
        <v>1</v>
      </c>
      <c r="K833">
        <v>0</v>
      </c>
      <c r="L833" s="3" t="s">
        <v>1584</v>
      </c>
      <c r="M833" s="6">
        <f t="shared" si="24"/>
        <v>26</v>
      </c>
      <c r="N833">
        <v>26</v>
      </c>
      <c r="O833" t="str">
        <f t="shared" si="25"/>
        <v>Desconocido</v>
      </c>
      <c r="Q833" t="s">
        <v>905</v>
      </c>
    </row>
    <row r="834" spans="1:17" x14ac:dyDescent="0.25">
      <c r="A834">
        <v>474</v>
      </c>
      <c r="B834">
        <v>1</v>
      </c>
      <c r="C834">
        <v>2</v>
      </c>
      <c r="D834" t="s">
        <v>1643</v>
      </c>
      <c r="E834" t="s">
        <v>907</v>
      </c>
      <c r="F834">
        <f>ROUNDUP(Titanic_DATASET[[#This Row],[Age Correción 2]],0)</f>
        <v>23</v>
      </c>
      <c r="G834" s="4">
        <f>VALUE(SUBSTITUTE(Titanic_DATASET[[#This Row],[Age Correción.]],".",","))</f>
        <v>23</v>
      </c>
      <c r="H834" s="5">
        <v>23</v>
      </c>
      <c r="I834">
        <v>23</v>
      </c>
      <c r="J834">
        <v>0</v>
      </c>
      <c r="K834">
        <v>0</v>
      </c>
      <c r="L834" s="3" t="s">
        <v>1644</v>
      </c>
      <c r="M834" s="6">
        <f t="shared" si="24"/>
        <v>137917</v>
      </c>
      <c r="N834" s="1">
        <v>137917</v>
      </c>
      <c r="O834" s="1" t="str">
        <f t="shared" si="25"/>
        <v>D</v>
      </c>
      <c r="P834" t="s">
        <v>1382</v>
      </c>
      <c r="Q834" t="s">
        <v>910</v>
      </c>
    </row>
    <row r="835" spans="1:17" x14ac:dyDescent="0.25">
      <c r="A835">
        <v>44</v>
      </c>
      <c r="B835">
        <v>1</v>
      </c>
      <c r="C835">
        <v>2</v>
      </c>
      <c r="D835" t="s">
        <v>976</v>
      </c>
      <c r="E835" t="s">
        <v>907</v>
      </c>
      <c r="F835">
        <f>ROUNDUP(Titanic_DATASET[[#This Row],[Age Correción 2]],0)</f>
        <v>3</v>
      </c>
      <c r="G835" s="4">
        <f>VALUE(SUBSTITUTE(Titanic_DATASET[[#This Row],[Age Correción.]],".",","))</f>
        <v>3</v>
      </c>
      <c r="H835" s="5">
        <v>3</v>
      </c>
      <c r="I835">
        <v>3</v>
      </c>
      <c r="J835">
        <v>1</v>
      </c>
      <c r="K835">
        <v>2</v>
      </c>
      <c r="L835" s="3" t="s">
        <v>977</v>
      </c>
      <c r="M835" s="6">
        <f t="shared" si="24"/>
        <v>415792</v>
      </c>
      <c r="N835" s="1">
        <v>415792</v>
      </c>
      <c r="O835" s="1" t="str">
        <f t="shared" si="25"/>
        <v>Desconocido</v>
      </c>
      <c r="Q835" t="s">
        <v>910</v>
      </c>
    </row>
    <row r="836" spans="1:17" x14ac:dyDescent="0.25">
      <c r="A836">
        <v>609</v>
      </c>
      <c r="B836">
        <v>1</v>
      </c>
      <c r="C836">
        <v>2</v>
      </c>
      <c r="D836" t="s">
        <v>1835</v>
      </c>
      <c r="E836" t="s">
        <v>907</v>
      </c>
      <c r="F836">
        <f>ROUNDUP(Titanic_DATASET[[#This Row],[Age Correción 2]],0)</f>
        <v>22</v>
      </c>
      <c r="G836" s="4">
        <f>VALUE(SUBSTITUTE(Titanic_DATASET[[#This Row],[Age Correción.]],".",","))</f>
        <v>22</v>
      </c>
      <c r="H836" s="5">
        <v>22</v>
      </c>
      <c r="I836">
        <v>22</v>
      </c>
      <c r="J836">
        <v>1</v>
      </c>
      <c r="K836">
        <v>2</v>
      </c>
      <c r="L836" s="3" t="s">
        <v>977</v>
      </c>
      <c r="M836" s="6">
        <f t="shared" ref="M836:M894" si="26">VALUE(SUBSTITUTE(N836,".",","))</f>
        <v>415792</v>
      </c>
      <c r="N836" s="1">
        <v>415792</v>
      </c>
      <c r="O836" s="1" t="str">
        <f t="shared" ref="O836:O894" si="27">IF(ISBLANK(P836),"Desconocido",P836)</f>
        <v>Desconocido</v>
      </c>
      <c r="Q836" t="s">
        <v>910</v>
      </c>
    </row>
    <row r="837" spans="1:17" x14ac:dyDescent="0.25">
      <c r="A837">
        <v>686</v>
      </c>
      <c r="B837">
        <v>0</v>
      </c>
      <c r="C837">
        <v>2</v>
      </c>
      <c r="D837" t="s">
        <v>1933</v>
      </c>
      <c r="E837" t="s">
        <v>902</v>
      </c>
      <c r="F837">
        <f>ROUNDUP(Titanic_DATASET[[#This Row],[Age Correción 2]],0)</f>
        <v>25</v>
      </c>
      <c r="G837" s="4">
        <f>VALUE(SUBSTITUTE(Titanic_DATASET[[#This Row],[Age Correción.]],".",","))</f>
        <v>25</v>
      </c>
      <c r="H837" s="5">
        <v>25</v>
      </c>
      <c r="I837">
        <v>25</v>
      </c>
      <c r="J837">
        <v>1</v>
      </c>
      <c r="K837">
        <v>2</v>
      </c>
      <c r="L837" s="3" t="s">
        <v>977</v>
      </c>
      <c r="M837" s="6">
        <f t="shared" si="26"/>
        <v>415792</v>
      </c>
      <c r="N837" s="1">
        <v>415792</v>
      </c>
      <c r="O837" s="1" t="str">
        <f t="shared" si="27"/>
        <v>Desconocido</v>
      </c>
      <c r="Q837" t="s">
        <v>910</v>
      </c>
    </row>
    <row r="838" spans="1:17" x14ac:dyDescent="0.25">
      <c r="A838">
        <v>182</v>
      </c>
      <c r="B838">
        <v>0</v>
      </c>
      <c r="C838">
        <v>2</v>
      </c>
      <c r="D838" t="s">
        <v>1209</v>
      </c>
      <c r="E838" t="s">
        <v>902</v>
      </c>
      <c r="F838">
        <f>ROUNDUP(Titanic_DATASET[[#This Row],[Age Correción 2]],0)</f>
        <v>39</v>
      </c>
      <c r="G838" s="4">
        <f>VALUE(SUBSTITUTE(Titanic_DATASET[[#This Row],[Age Correción.]],".",","))</f>
        <v>39</v>
      </c>
      <c r="H838" s="5">
        <v>39</v>
      </c>
      <c r="J838">
        <v>0</v>
      </c>
      <c r="K838">
        <v>0</v>
      </c>
      <c r="L838" s="3" t="s">
        <v>1210</v>
      </c>
      <c r="M838" s="6">
        <f t="shared" si="26"/>
        <v>15.05</v>
      </c>
      <c r="N838" t="s">
        <v>1211</v>
      </c>
      <c r="O838" t="str">
        <f t="shared" si="27"/>
        <v>Desconocido</v>
      </c>
      <c r="Q838" t="s">
        <v>910</v>
      </c>
    </row>
    <row r="839" spans="1:17" x14ac:dyDescent="0.25">
      <c r="A839">
        <v>136</v>
      </c>
      <c r="B839">
        <v>0</v>
      </c>
      <c r="C839">
        <v>2</v>
      </c>
      <c r="D839" t="s">
        <v>1127</v>
      </c>
      <c r="E839" t="s">
        <v>902</v>
      </c>
      <c r="F839">
        <f>ROUNDUP(Titanic_DATASET[[#This Row],[Age Correción 2]],0)</f>
        <v>23</v>
      </c>
      <c r="G839" s="4">
        <f>VALUE(SUBSTITUTE(Titanic_DATASET[[#This Row],[Age Correción.]],".",","))</f>
        <v>23</v>
      </c>
      <c r="H839" s="5">
        <v>23</v>
      </c>
      <c r="I839">
        <v>23</v>
      </c>
      <c r="J839">
        <v>0</v>
      </c>
      <c r="K839">
        <v>0</v>
      </c>
      <c r="L839" s="3" t="s">
        <v>1128</v>
      </c>
      <c r="M839" s="6">
        <f t="shared" si="26"/>
        <v>150458</v>
      </c>
      <c r="N839" s="1">
        <v>150458</v>
      </c>
      <c r="O839" s="1" t="str">
        <f t="shared" si="27"/>
        <v>Desconocido</v>
      </c>
      <c r="Q839" t="s">
        <v>910</v>
      </c>
    </row>
    <row r="840" spans="1:17" x14ac:dyDescent="0.25">
      <c r="A840">
        <v>548</v>
      </c>
      <c r="B840">
        <v>1</v>
      </c>
      <c r="C840">
        <v>2</v>
      </c>
      <c r="D840" t="s">
        <v>1750</v>
      </c>
      <c r="E840" t="s">
        <v>902</v>
      </c>
      <c r="F840">
        <f>ROUNDUP(Titanic_DATASET[[#This Row],[Age Correción 2]],0)</f>
        <v>64</v>
      </c>
      <c r="G840" s="4">
        <f>VALUE(SUBSTITUTE(Titanic_DATASET[[#This Row],[Age Correción.]],".",","))</f>
        <v>64</v>
      </c>
      <c r="H840" s="5">
        <v>64</v>
      </c>
      <c r="J840">
        <v>0</v>
      </c>
      <c r="K840">
        <v>0</v>
      </c>
      <c r="L840" s="3" t="s">
        <v>1751</v>
      </c>
      <c r="M840" s="6">
        <f t="shared" si="26"/>
        <v>138625</v>
      </c>
      <c r="N840" s="1">
        <v>138625</v>
      </c>
      <c r="O840" s="1" t="str">
        <f t="shared" si="27"/>
        <v>Desconocido</v>
      </c>
      <c r="Q840" t="s">
        <v>910</v>
      </c>
    </row>
    <row r="841" spans="1:17" x14ac:dyDescent="0.25">
      <c r="A841">
        <v>867</v>
      </c>
      <c r="B841">
        <v>1</v>
      </c>
      <c r="C841">
        <v>2</v>
      </c>
      <c r="D841" t="s">
        <v>2166</v>
      </c>
      <c r="E841" t="s">
        <v>907</v>
      </c>
      <c r="F841">
        <f>ROUNDUP(Titanic_DATASET[[#This Row],[Age Correción 2]],0)</f>
        <v>27</v>
      </c>
      <c r="G841" s="4">
        <f>VALUE(SUBSTITUTE(Titanic_DATASET[[#This Row],[Age Correción.]],".",","))</f>
        <v>27</v>
      </c>
      <c r="H841" s="5">
        <v>27</v>
      </c>
      <c r="I841">
        <v>27</v>
      </c>
      <c r="J841">
        <v>1</v>
      </c>
      <c r="K841">
        <v>0</v>
      </c>
      <c r="L841" s="3" t="s">
        <v>2167</v>
      </c>
      <c r="M841" s="6">
        <f t="shared" si="26"/>
        <v>138583</v>
      </c>
      <c r="N841" s="1">
        <v>138583</v>
      </c>
      <c r="O841" s="1" t="str">
        <f t="shared" si="27"/>
        <v>Desconocido</v>
      </c>
      <c r="Q841" t="s">
        <v>910</v>
      </c>
    </row>
    <row r="842" spans="1:17" x14ac:dyDescent="0.25">
      <c r="A842">
        <v>293</v>
      </c>
      <c r="B842">
        <v>0</v>
      </c>
      <c r="C842">
        <v>2</v>
      </c>
      <c r="D842" t="s">
        <v>1380</v>
      </c>
      <c r="E842" t="s">
        <v>902</v>
      </c>
      <c r="F842">
        <f>ROUNDUP(Titanic_DATASET[[#This Row],[Age Correción 2]],0)</f>
        <v>36</v>
      </c>
      <c r="G842" s="4">
        <f>VALUE(SUBSTITUTE(Titanic_DATASET[[#This Row],[Age Correción.]],".",","))</f>
        <v>36</v>
      </c>
      <c r="H842" s="5">
        <v>36</v>
      </c>
      <c r="I842">
        <v>36</v>
      </c>
      <c r="J842">
        <v>0</v>
      </c>
      <c r="K842">
        <v>0</v>
      </c>
      <c r="L842" s="3" t="s">
        <v>1381</v>
      </c>
      <c r="M842" s="6">
        <f t="shared" si="26"/>
        <v>12875</v>
      </c>
      <c r="N842" s="1">
        <v>12875</v>
      </c>
      <c r="O842" s="1" t="str">
        <f t="shared" si="27"/>
        <v>D</v>
      </c>
      <c r="P842" t="s">
        <v>1382</v>
      </c>
      <c r="Q842" t="s">
        <v>910</v>
      </c>
    </row>
    <row r="843" spans="1:17" x14ac:dyDescent="0.25">
      <c r="A843">
        <v>362</v>
      </c>
      <c r="B843">
        <v>0</v>
      </c>
      <c r="C843">
        <v>2</v>
      </c>
      <c r="D843" t="s">
        <v>1487</v>
      </c>
      <c r="E843" t="s">
        <v>902</v>
      </c>
      <c r="F843">
        <f>ROUNDUP(Titanic_DATASET[[#This Row],[Age Correción 2]],0)</f>
        <v>29</v>
      </c>
      <c r="G843" s="4">
        <f>VALUE(SUBSTITUTE(Titanic_DATASET[[#This Row],[Age Correción.]],".",","))</f>
        <v>29</v>
      </c>
      <c r="H843" s="5">
        <v>29</v>
      </c>
      <c r="I843">
        <v>29</v>
      </c>
      <c r="J843">
        <v>1</v>
      </c>
      <c r="K843">
        <v>0</v>
      </c>
      <c r="L843" s="3" t="s">
        <v>1488</v>
      </c>
      <c r="M843" s="6">
        <f t="shared" si="26"/>
        <v>277208</v>
      </c>
      <c r="N843" s="1">
        <v>277208</v>
      </c>
      <c r="O843" s="1" t="str">
        <f t="shared" si="27"/>
        <v>Desconocido</v>
      </c>
      <c r="Q843" t="s">
        <v>910</v>
      </c>
    </row>
    <row r="844" spans="1:17" x14ac:dyDescent="0.25">
      <c r="A844">
        <v>240</v>
      </c>
      <c r="B844">
        <v>0</v>
      </c>
      <c r="C844">
        <v>2</v>
      </c>
      <c r="D844" t="s">
        <v>1297</v>
      </c>
      <c r="E844" t="s">
        <v>902</v>
      </c>
      <c r="F844">
        <f>ROUNDUP(Titanic_DATASET[[#This Row],[Age Correción 2]],0)</f>
        <v>33</v>
      </c>
      <c r="G844" s="4">
        <f>VALUE(SUBSTITUTE(Titanic_DATASET[[#This Row],[Age Correción.]],".",","))</f>
        <v>33</v>
      </c>
      <c r="H844" s="5">
        <v>33</v>
      </c>
      <c r="I844">
        <v>33</v>
      </c>
      <c r="J844">
        <v>0</v>
      </c>
      <c r="K844">
        <v>0</v>
      </c>
      <c r="L844" s="3" t="s">
        <v>1298</v>
      </c>
      <c r="M844" s="6">
        <f t="shared" si="26"/>
        <v>12275</v>
      </c>
      <c r="N844" s="1">
        <v>12275</v>
      </c>
      <c r="O844" s="1" t="str">
        <f t="shared" si="27"/>
        <v>Desconocido</v>
      </c>
      <c r="Q844" t="s">
        <v>905</v>
      </c>
    </row>
    <row r="845" spans="1:17" x14ac:dyDescent="0.25">
      <c r="A845">
        <v>85</v>
      </c>
      <c r="B845">
        <v>1</v>
      </c>
      <c r="C845">
        <v>2</v>
      </c>
      <c r="D845" t="s">
        <v>1048</v>
      </c>
      <c r="E845" t="s">
        <v>907</v>
      </c>
      <c r="F845">
        <f>ROUNDUP(Titanic_DATASET[[#This Row],[Age Correción 2]],0)</f>
        <v>17</v>
      </c>
      <c r="G845" s="4">
        <f>VALUE(SUBSTITUTE(Titanic_DATASET[[#This Row],[Age Correción.]],".",","))</f>
        <v>17</v>
      </c>
      <c r="H845" s="5">
        <v>17</v>
      </c>
      <c r="I845">
        <v>17</v>
      </c>
      <c r="J845">
        <v>0</v>
      </c>
      <c r="K845">
        <v>0</v>
      </c>
      <c r="L845" s="3" t="s">
        <v>1049</v>
      </c>
      <c r="M845" s="6">
        <f t="shared" si="26"/>
        <v>10.5</v>
      </c>
      <c r="N845" t="s">
        <v>964</v>
      </c>
      <c r="O845" t="str">
        <f t="shared" si="27"/>
        <v>Desconocido</v>
      </c>
      <c r="Q845" t="s">
        <v>905</v>
      </c>
    </row>
    <row r="846" spans="1:17" x14ac:dyDescent="0.25">
      <c r="A846">
        <v>612</v>
      </c>
      <c r="B846">
        <v>0</v>
      </c>
      <c r="C846">
        <v>3</v>
      </c>
      <c r="D846" t="s">
        <v>1838</v>
      </c>
      <c r="E846" t="s">
        <v>902</v>
      </c>
      <c r="F846">
        <f>ROUNDUP(Titanic_DATASET[[#This Row],[Age Correción 2]],0)</f>
        <v>36</v>
      </c>
      <c r="G846" s="4">
        <f>VALUE(SUBSTITUTE(Titanic_DATASET[[#This Row],[Age Correción.]],".",","))</f>
        <v>36</v>
      </c>
      <c r="H846" s="5">
        <v>36</v>
      </c>
      <c r="J846">
        <v>0</v>
      </c>
      <c r="K846">
        <v>0</v>
      </c>
      <c r="L846" s="3" t="s">
        <v>1839</v>
      </c>
      <c r="M846" s="6">
        <f t="shared" si="26"/>
        <v>7.05</v>
      </c>
      <c r="N846" t="s">
        <v>1121</v>
      </c>
      <c r="O846" t="str">
        <f t="shared" si="27"/>
        <v>Desconocido</v>
      </c>
      <c r="Q846" t="s">
        <v>905</v>
      </c>
    </row>
    <row r="847" spans="1:17" x14ac:dyDescent="0.25">
      <c r="A847">
        <v>466</v>
      </c>
      <c r="B847">
        <v>0</v>
      </c>
      <c r="C847">
        <v>3</v>
      </c>
      <c r="D847" t="s">
        <v>1633</v>
      </c>
      <c r="E847" t="s">
        <v>902</v>
      </c>
      <c r="F847">
        <f>ROUNDUP(Titanic_DATASET[[#This Row],[Age Correción 2]],0)</f>
        <v>38</v>
      </c>
      <c r="G847" s="4">
        <f>VALUE(SUBSTITUTE(Titanic_DATASET[[#This Row],[Age Correción.]],".",","))</f>
        <v>38</v>
      </c>
      <c r="H847" s="5">
        <v>38</v>
      </c>
      <c r="I847">
        <v>38</v>
      </c>
      <c r="J847">
        <v>0</v>
      </c>
      <c r="K847">
        <v>0</v>
      </c>
      <c r="L847" s="3" t="s">
        <v>1634</v>
      </c>
      <c r="M847" s="6">
        <f t="shared" si="26"/>
        <v>7.05</v>
      </c>
      <c r="N847" t="s">
        <v>1121</v>
      </c>
      <c r="O847" t="str">
        <f t="shared" si="27"/>
        <v>Desconocido</v>
      </c>
      <c r="Q847" t="s">
        <v>905</v>
      </c>
    </row>
    <row r="848" spans="1:17" x14ac:dyDescent="0.25">
      <c r="A848">
        <v>132</v>
      </c>
      <c r="B848">
        <v>0</v>
      </c>
      <c r="C848">
        <v>3</v>
      </c>
      <c r="D848" t="s">
        <v>1119</v>
      </c>
      <c r="E848" t="s">
        <v>902</v>
      </c>
      <c r="F848">
        <f>ROUNDUP(Titanic_DATASET[[#This Row],[Age Correción 2]],0)</f>
        <v>20</v>
      </c>
      <c r="G848" s="4">
        <f>VALUE(SUBSTITUTE(Titanic_DATASET[[#This Row],[Age Correción.]],".",","))</f>
        <v>20</v>
      </c>
      <c r="H848" s="5">
        <v>20</v>
      </c>
      <c r="I848">
        <v>20</v>
      </c>
      <c r="J848">
        <v>0</v>
      </c>
      <c r="K848">
        <v>0</v>
      </c>
      <c r="L848" s="3" t="s">
        <v>1120</v>
      </c>
      <c r="M848" s="6">
        <f t="shared" si="26"/>
        <v>7.05</v>
      </c>
      <c r="N848" t="s">
        <v>1121</v>
      </c>
      <c r="O848" t="str">
        <f t="shared" si="27"/>
        <v>Desconocido</v>
      </c>
      <c r="Q848" t="s">
        <v>905</v>
      </c>
    </row>
    <row r="849" spans="1:17" x14ac:dyDescent="0.25">
      <c r="A849">
        <v>364</v>
      </c>
      <c r="B849">
        <v>0</v>
      </c>
      <c r="C849">
        <v>3</v>
      </c>
      <c r="D849" t="s">
        <v>1490</v>
      </c>
      <c r="E849" t="s">
        <v>902</v>
      </c>
      <c r="F849">
        <f>ROUNDUP(Titanic_DATASET[[#This Row],[Age Correción 2]],0)</f>
        <v>35</v>
      </c>
      <c r="G849" s="4">
        <f>VALUE(SUBSTITUTE(Titanic_DATASET[[#This Row],[Age Correción.]],".",","))</f>
        <v>35</v>
      </c>
      <c r="H849" s="5">
        <v>35</v>
      </c>
      <c r="I849">
        <v>35</v>
      </c>
      <c r="J849">
        <v>0</v>
      </c>
      <c r="K849">
        <v>0</v>
      </c>
      <c r="L849" s="3" t="s">
        <v>1491</v>
      </c>
      <c r="M849" s="6">
        <f t="shared" si="26"/>
        <v>7.05</v>
      </c>
      <c r="N849" t="s">
        <v>1121</v>
      </c>
      <c r="O849" t="str">
        <f t="shared" si="27"/>
        <v>Desconocido</v>
      </c>
      <c r="Q849" t="s">
        <v>905</v>
      </c>
    </row>
    <row r="850" spans="1:17" x14ac:dyDescent="0.25">
      <c r="A850">
        <v>211</v>
      </c>
      <c r="B850">
        <v>0</v>
      </c>
      <c r="C850">
        <v>3</v>
      </c>
      <c r="D850" t="s">
        <v>1248</v>
      </c>
      <c r="E850" t="s">
        <v>902</v>
      </c>
      <c r="F850">
        <f>ROUNDUP(Titanic_DATASET[[#This Row],[Age Correción 2]],0)</f>
        <v>24</v>
      </c>
      <c r="G850" s="4">
        <f>VALUE(SUBSTITUTE(Titanic_DATASET[[#This Row],[Age Correción.]],".",","))</f>
        <v>24</v>
      </c>
      <c r="H850" s="5">
        <v>24</v>
      </c>
      <c r="I850">
        <v>24</v>
      </c>
      <c r="J850">
        <v>0</v>
      </c>
      <c r="K850">
        <v>0</v>
      </c>
      <c r="L850" s="3" t="s">
        <v>1249</v>
      </c>
      <c r="M850" s="6">
        <f t="shared" si="26"/>
        <v>7.05</v>
      </c>
      <c r="N850" t="s">
        <v>1121</v>
      </c>
      <c r="O850" t="str">
        <f t="shared" si="27"/>
        <v>Desconocido</v>
      </c>
      <c r="Q850" t="s">
        <v>905</v>
      </c>
    </row>
    <row r="851" spans="1:17" x14ac:dyDescent="0.25">
      <c r="A851">
        <v>785</v>
      </c>
      <c r="B851">
        <v>0</v>
      </c>
      <c r="C851">
        <v>3</v>
      </c>
      <c r="D851" t="s">
        <v>2060</v>
      </c>
      <c r="E851" t="s">
        <v>902</v>
      </c>
      <c r="F851">
        <f>ROUNDUP(Titanic_DATASET[[#This Row],[Age Correción 2]],0)</f>
        <v>25</v>
      </c>
      <c r="G851" s="4">
        <f>VALUE(SUBSTITUTE(Titanic_DATASET[[#This Row],[Age Correción.]],".",","))</f>
        <v>25</v>
      </c>
      <c r="H851" s="5">
        <v>25</v>
      </c>
      <c r="I851">
        <v>25</v>
      </c>
      <c r="J851">
        <v>0</v>
      </c>
      <c r="K851">
        <v>0</v>
      </c>
      <c r="L851" s="3" t="s">
        <v>2061</v>
      </c>
      <c r="M851" s="6">
        <f t="shared" si="26"/>
        <v>7.05</v>
      </c>
      <c r="N851" t="s">
        <v>1121</v>
      </c>
      <c r="O851" t="str">
        <f t="shared" si="27"/>
        <v>Desconocido</v>
      </c>
      <c r="Q851" t="s">
        <v>905</v>
      </c>
    </row>
    <row r="852" spans="1:17" x14ac:dyDescent="0.25">
      <c r="A852">
        <v>430</v>
      </c>
      <c r="B852">
        <v>1</v>
      </c>
      <c r="C852">
        <v>3</v>
      </c>
      <c r="D852" t="s">
        <v>1578</v>
      </c>
      <c r="E852" t="s">
        <v>902</v>
      </c>
      <c r="F852">
        <f>ROUNDUP(Titanic_DATASET[[#This Row],[Age Correción 2]],0)</f>
        <v>32</v>
      </c>
      <c r="G852" s="4">
        <f>VALUE(SUBSTITUTE(Titanic_DATASET[[#This Row],[Age Correción.]],".",","))</f>
        <v>32</v>
      </c>
      <c r="H852" s="5">
        <v>32</v>
      </c>
      <c r="I852">
        <v>32</v>
      </c>
      <c r="J852">
        <v>0</v>
      </c>
      <c r="K852">
        <v>0</v>
      </c>
      <c r="L852" s="3" t="s">
        <v>1579</v>
      </c>
      <c r="M852" s="6">
        <f t="shared" si="26"/>
        <v>8.0500000000000007</v>
      </c>
      <c r="N852" t="s">
        <v>917</v>
      </c>
      <c r="O852" t="str">
        <f t="shared" si="27"/>
        <v>E10</v>
      </c>
      <c r="P852" t="s">
        <v>1580</v>
      </c>
      <c r="Q852" t="s">
        <v>905</v>
      </c>
    </row>
    <row r="853" spans="1:17" x14ac:dyDescent="0.25">
      <c r="A853">
        <v>565</v>
      </c>
      <c r="B853">
        <v>0</v>
      </c>
      <c r="C853">
        <v>3</v>
      </c>
      <c r="D853" t="s">
        <v>1773</v>
      </c>
      <c r="E853" t="s">
        <v>907</v>
      </c>
      <c r="F853">
        <f>ROUNDUP(Titanic_DATASET[[#This Row],[Age Correción 2]],0)</f>
        <v>56</v>
      </c>
      <c r="G853" s="4">
        <f>VALUE(SUBSTITUTE(Titanic_DATASET[[#This Row],[Age Correción.]],".",","))</f>
        <v>56</v>
      </c>
      <c r="H853" s="5">
        <v>56</v>
      </c>
      <c r="J853">
        <v>0</v>
      </c>
      <c r="K853">
        <v>0</v>
      </c>
      <c r="L853" s="3" t="s">
        <v>1774</v>
      </c>
      <c r="M853" s="6">
        <f t="shared" si="26"/>
        <v>8.0500000000000007</v>
      </c>
      <c r="N853" t="s">
        <v>917</v>
      </c>
      <c r="O853" t="str">
        <f t="shared" si="27"/>
        <v>Desconocido</v>
      </c>
      <c r="Q853" t="s">
        <v>905</v>
      </c>
    </row>
    <row r="854" spans="1:17" x14ac:dyDescent="0.25">
      <c r="A854">
        <v>762</v>
      </c>
      <c r="B854">
        <v>0</v>
      </c>
      <c r="C854">
        <v>3</v>
      </c>
      <c r="D854" t="s">
        <v>2028</v>
      </c>
      <c r="E854" t="s">
        <v>902</v>
      </c>
      <c r="F854">
        <f>ROUNDUP(Titanic_DATASET[[#This Row],[Age Correción 2]],0)</f>
        <v>41</v>
      </c>
      <c r="G854" s="4">
        <f>VALUE(SUBSTITUTE(Titanic_DATASET[[#This Row],[Age Correción.]],".",","))</f>
        <v>41</v>
      </c>
      <c r="H854" s="5">
        <v>41</v>
      </c>
      <c r="I854">
        <v>41</v>
      </c>
      <c r="J854">
        <v>0</v>
      </c>
      <c r="K854">
        <v>0</v>
      </c>
      <c r="L854" s="3" t="s">
        <v>2029</v>
      </c>
      <c r="M854" s="6">
        <f t="shared" si="26"/>
        <v>7125</v>
      </c>
      <c r="N854" s="1">
        <v>7125</v>
      </c>
      <c r="O854" s="1" t="str">
        <f t="shared" si="27"/>
        <v>Desconocido</v>
      </c>
      <c r="Q854" t="s">
        <v>905</v>
      </c>
    </row>
    <row r="855" spans="1:17" x14ac:dyDescent="0.25">
      <c r="A855">
        <v>841</v>
      </c>
      <c r="B855">
        <v>0</v>
      </c>
      <c r="C855">
        <v>3</v>
      </c>
      <c r="D855" t="s">
        <v>2133</v>
      </c>
      <c r="E855" t="s">
        <v>902</v>
      </c>
      <c r="F855">
        <f>ROUNDUP(Titanic_DATASET[[#This Row],[Age Correción 2]],0)</f>
        <v>20</v>
      </c>
      <c r="G855" s="4">
        <f>VALUE(SUBSTITUTE(Titanic_DATASET[[#This Row],[Age Correción.]],".",","))</f>
        <v>20</v>
      </c>
      <c r="H855" s="5">
        <v>20</v>
      </c>
      <c r="I855">
        <v>20</v>
      </c>
      <c r="J855">
        <v>0</v>
      </c>
      <c r="K855">
        <v>0</v>
      </c>
      <c r="L855" s="3" t="s">
        <v>2134</v>
      </c>
      <c r="M855" s="6">
        <f t="shared" si="26"/>
        <v>7925</v>
      </c>
      <c r="N855" s="1">
        <v>7925</v>
      </c>
      <c r="O855" s="1" t="str">
        <f t="shared" si="27"/>
        <v>Desconocido</v>
      </c>
      <c r="Q855" t="s">
        <v>905</v>
      </c>
    </row>
    <row r="856" spans="1:17" x14ac:dyDescent="0.25">
      <c r="A856">
        <v>512</v>
      </c>
      <c r="B856">
        <v>0</v>
      </c>
      <c r="C856">
        <v>3</v>
      </c>
      <c r="D856" t="s">
        <v>1695</v>
      </c>
      <c r="E856" t="s">
        <v>902</v>
      </c>
      <c r="F856">
        <f>ROUNDUP(Titanic_DATASET[[#This Row],[Age Correción 2]],0)</f>
        <v>23</v>
      </c>
      <c r="G856" s="4">
        <f>VALUE(SUBSTITUTE(Titanic_DATASET[[#This Row],[Age Correción.]],".",","))</f>
        <v>23</v>
      </c>
      <c r="H856" s="5">
        <v>23</v>
      </c>
      <c r="J856">
        <v>0</v>
      </c>
      <c r="K856">
        <v>0</v>
      </c>
      <c r="L856" s="3" t="s">
        <v>1696</v>
      </c>
      <c r="M856" s="6">
        <f t="shared" si="26"/>
        <v>8.0500000000000007</v>
      </c>
      <c r="N856" t="s">
        <v>917</v>
      </c>
      <c r="O856" t="str">
        <f t="shared" si="27"/>
        <v>Desconocido</v>
      </c>
      <c r="Q856" t="s">
        <v>905</v>
      </c>
    </row>
    <row r="857" spans="1:17" x14ac:dyDescent="0.25">
      <c r="A857">
        <v>492</v>
      </c>
      <c r="B857">
        <v>0</v>
      </c>
      <c r="C857">
        <v>3</v>
      </c>
      <c r="D857" t="s">
        <v>1666</v>
      </c>
      <c r="E857" t="s">
        <v>902</v>
      </c>
      <c r="F857">
        <f>ROUNDUP(Titanic_DATASET[[#This Row],[Age Correción 2]],0)</f>
        <v>21</v>
      </c>
      <c r="G857" s="4">
        <f>VALUE(SUBSTITUTE(Titanic_DATASET[[#This Row],[Age Correción.]],".",","))</f>
        <v>21</v>
      </c>
      <c r="H857" s="5">
        <v>21</v>
      </c>
      <c r="I857">
        <v>21</v>
      </c>
      <c r="J857">
        <v>0</v>
      </c>
      <c r="K857">
        <v>0</v>
      </c>
      <c r="L857" s="3" t="s">
        <v>1667</v>
      </c>
      <c r="M857" s="6">
        <f t="shared" si="26"/>
        <v>7.25</v>
      </c>
      <c r="N857" t="s">
        <v>904</v>
      </c>
      <c r="O857" t="str">
        <f t="shared" si="27"/>
        <v>Desconocido</v>
      </c>
      <c r="Q857" t="s">
        <v>905</v>
      </c>
    </row>
    <row r="858" spans="1:17" x14ac:dyDescent="0.25">
      <c r="A858">
        <v>885</v>
      </c>
      <c r="B858">
        <v>0</v>
      </c>
      <c r="C858">
        <v>3</v>
      </c>
      <c r="D858" t="s">
        <v>2189</v>
      </c>
      <c r="E858" t="s">
        <v>902</v>
      </c>
      <c r="F858">
        <f>ROUNDUP(Titanic_DATASET[[#This Row],[Age Correción 2]],0)</f>
        <v>25</v>
      </c>
      <c r="G858" s="4">
        <f>VALUE(SUBSTITUTE(Titanic_DATASET[[#This Row],[Age Correción.]],".",","))</f>
        <v>25</v>
      </c>
      <c r="H858" s="5">
        <v>25</v>
      </c>
      <c r="I858">
        <v>25</v>
      </c>
      <c r="J858">
        <v>0</v>
      </c>
      <c r="K858">
        <v>0</v>
      </c>
      <c r="L858" s="3" t="s">
        <v>2190</v>
      </c>
      <c r="M858" s="6">
        <f t="shared" si="26"/>
        <v>7.05</v>
      </c>
      <c r="N858" t="s">
        <v>1121</v>
      </c>
      <c r="O858" t="str">
        <f t="shared" si="27"/>
        <v>Desconocido</v>
      </c>
      <c r="Q858" t="s">
        <v>905</v>
      </c>
    </row>
    <row r="859" spans="1:17" x14ac:dyDescent="0.25">
      <c r="A859">
        <v>564</v>
      </c>
      <c r="B859">
        <v>0</v>
      </c>
      <c r="C859">
        <v>3</v>
      </c>
      <c r="D859" t="s">
        <v>1771</v>
      </c>
      <c r="E859" t="s">
        <v>902</v>
      </c>
      <c r="F859">
        <f>ROUNDUP(Titanic_DATASET[[#This Row],[Age Correción 2]],0)</f>
        <v>47</v>
      </c>
      <c r="G859" s="4">
        <f>VALUE(SUBSTITUTE(Titanic_DATASET[[#This Row],[Age Correción.]],".",","))</f>
        <v>47</v>
      </c>
      <c r="H859" s="5">
        <v>47</v>
      </c>
      <c r="J859">
        <v>0</v>
      </c>
      <c r="K859">
        <v>0</v>
      </c>
      <c r="L859" s="3" t="s">
        <v>1772</v>
      </c>
      <c r="M859" s="6">
        <f t="shared" si="26"/>
        <v>8.0500000000000007</v>
      </c>
      <c r="N859" t="s">
        <v>917</v>
      </c>
      <c r="O859" t="str">
        <f t="shared" si="27"/>
        <v>Desconocido</v>
      </c>
      <c r="Q859" t="s">
        <v>905</v>
      </c>
    </row>
    <row r="860" spans="1:17" x14ac:dyDescent="0.25">
      <c r="A860">
        <v>88</v>
      </c>
      <c r="B860">
        <v>0</v>
      </c>
      <c r="C860">
        <v>3</v>
      </c>
      <c r="D860" t="s">
        <v>1054</v>
      </c>
      <c r="E860" t="s">
        <v>902</v>
      </c>
      <c r="F860">
        <f>ROUNDUP(Titanic_DATASET[[#This Row],[Age Correción 2]],0)</f>
        <v>6</v>
      </c>
      <c r="G860" s="4">
        <f>VALUE(SUBSTITUTE(Titanic_DATASET[[#This Row],[Age Correción.]],".",","))</f>
        <v>6</v>
      </c>
      <c r="H860" s="5">
        <v>6</v>
      </c>
      <c r="J860">
        <v>0</v>
      </c>
      <c r="K860">
        <v>0</v>
      </c>
      <c r="L860" s="3" t="s">
        <v>1055</v>
      </c>
      <c r="M860" s="6">
        <f t="shared" si="26"/>
        <v>8.0500000000000007</v>
      </c>
      <c r="N860" t="s">
        <v>917</v>
      </c>
      <c r="O860" t="str">
        <f t="shared" si="27"/>
        <v>Desconocido</v>
      </c>
      <c r="Q860" t="s">
        <v>905</v>
      </c>
    </row>
    <row r="861" spans="1:17" x14ac:dyDescent="0.25">
      <c r="A861">
        <v>221</v>
      </c>
      <c r="B861">
        <v>1</v>
      </c>
      <c r="C861">
        <v>3</v>
      </c>
      <c r="D861" t="s">
        <v>1265</v>
      </c>
      <c r="E861" t="s">
        <v>902</v>
      </c>
      <c r="F861">
        <f>ROUNDUP(Titanic_DATASET[[#This Row],[Age Correción 2]],0)</f>
        <v>16</v>
      </c>
      <c r="G861" s="4">
        <f>VALUE(SUBSTITUTE(Titanic_DATASET[[#This Row],[Age Correción.]],".",","))</f>
        <v>16</v>
      </c>
      <c r="H861" s="5">
        <v>16</v>
      </c>
      <c r="I861">
        <v>16</v>
      </c>
      <c r="J861">
        <v>0</v>
      </c>
      <c r="K861">
        <v>0</v>
      </c>
      <c r="L861" s="3" t="s">
        <v>1266</v>
      </c>
      <c r="M861" s="6">
        <f t="shared" si="26"/>
        <v>8.0500000000000007</v>
      </c>
      <c r="N861" t="s">
        <v>917</v>
      </c>
      <c r="O861" t="str">
        <f t="shared" si="27"/>
        <v>Desconocido</v>
      </c>
      <c r="Q861" t="s">
        <v>905</v>
      </c>
    </row>
    <row r="862" spans="1:17" x14ac:dyDescent="0.25">
      <c r="A862">
        <v>158</v>
      </c>
      <c r="B862">
        <v>0</v>
      </c>
      <c r="C862">
        <v>3</v>
      </c>
      <c r="D862" t="s">
        <v>1170</v>
      </c>
      <c r="E862" t="s">
        <v>902</v>
      </c>
      <c r="F862">
        <f>ROUNDUP(Titanic_DATASET[[#This Row],[Age Correción 2]],0)</f>
        <v>30</v>
      </c>
      <c r="G862" s="4">
        <f>VALUE(SUBSTITUTE(Titanic_DATASET[[#This Row],[Age Correción.]],".",","))</f>
        <v>30</v>
      </c>
      <c r="H862" s="5">
        <v>30</v>
      </c>
      <c r="I862">
        <v>30</v>
      </c>
      <c r="J862">
        <v>0</v>
      </c>
      <c r="K862">
        <v>0</v>
      </c>
      <c r="L862" s="3" t="s">
        <v>1171</v>
      </c>
      <c r="M862" s="6">
        <f t="shared" si="26"/>
        <v>8.0500000000000007</v>
      </c>
      <c r="N862" t="s">
        <v>917</v>
      </c>
      <c r="O862" t="str">
        <f t="shared" si="27"/>
        <v>Desconocido</v>
      </c>
      <c r="Q862" t="s">
        <v>905</v>
      </c>
    </row>
    <row r="863" spans="1:17" x14ac:dyDescent="0.25">
      <c r="A863">
        <v>415</v>
      </c>
      <c r="B863">
        <v>1</v>
      </c>
      <c r="C863">
        <v>3</v>
      </c>
      <c r="D863" t="s">
        <v>1559</v>
      </c>
      <c r="E863" t="s">
        <v>902</v>
      </c>
      <c r="F863">
        <f>ROUNDUP(Titanic_DATASET[[#This Row],[Age Correción 2]],0)</f>
        <v>44</v>
      </c>
      <c r="G863" s="4">
        <f>VALUE(SUBSTITUTE(Titanic_DATASET[[#This Row],[Age Correción.]],".",","))</f>
        <v>44</v>
      </c>
      <c r="H863" s="5">
        <v>44</v>
      </c>
      <c r="I863">
        <v>44</v>
      </c>
      <c r="J863">
        <v>0</v>
      </c>
      <c r="K863">
        <v>0</v>
      </c>
      <c r="L863" s="3" t="s">
        <v>1560</v>
      </c>
      <c r="M863" s="6">
        <f t="shared" si="26"/>
        <v>7925</v>
      </c>
      <c r="N863" s="1">
        <v>7925</v>
      </c>
      <c r="O863" s="1" t="str">
        <f t="shared" si="27"/>
        <v>Desconocido</v>
      </c>
      <c r="Q863" t="s">
        <v>905</v>
      </c>
    </row>
    <row r="864" spans="1:17" x14ac:dyDescent="0.25">
      <c r="A864">
        <v>591</v>
      </c>
      <c r="B864">
        <v>0</v>
      </c>
      <c r="C864">
        <v>3</v>
      </c>
      <c r="D864" t="s">
        <v>1811</v>
      </c>
      <c r="E864" t="s">
        <v>902</v>
      </c>
      <c r="F864">
        <f>ROUNDUP(Titanic_DATASET[[#This Row],[Age Correción 2]],0)</f>
        <v>35</v>
      </c>
      <c r="G864" s="4">
        <f>VALUE(SUBSTITUTE(Titanic_DATASET[[#This Row],[Age Correción.]],".",","))</f>
        <v>35</v>
      </c>
      <c r="H864" s="5">
        <v>35</v>
      </c>
      <c r="I864">
        <v>35</v>
      </c>
      <c r="J864">
        <v>0</v>
      </c>
      <c r="K864">
        <v>0</v>
      </c>
      <c r="L864" s="3" t="s">
        <v>1812</v>
      </c>
      <c r="M864" s="6">
        <f t="shared" si="26"/>
        <v>7125</v>
      </c>
      <c r="N864" s="1">
        <v>7125</v>
      </c>
      <c r="O864" s="1" t="str">
        <f t="shared" si="27"/>
        <v>Desconocido</v>
      </c>
      <c r="Q864" t="s">
        <v>905</v>
      </c>
    </row>
    <row r="865" spans="1:17" x14ac:dyDescent="0.25">
      <c r="A865">
        <v>434</v>
      </c>
      <c r="B865">
        <v>0</v>
      </c>
      <c r="C865">
        <v>3</v>
      </c>
      <c r="D865" t="s">
        <v>1585</v>
      </c>
      <c r="E865" t="s">
        <v>902</v>
      </c>
      <c r="F865">
        <f>ROUNDUP(Titanic_DATASET[[#This Row],[Age Correción 2]],0)</f>
        <v>17</v>
      </c>
      <c r="G865" s="4">
        <f>VALUE(SUBSTITUTE(Titanic_DATASET[[#This Row],[Age Correción.]],".",","))</f>
        <v>17</v>
      </c>
      <c r="H865" s="5">
        <v>17</v>
      </c>
      <c r="I865">
        <v>17</v>
      </c>
      <c r="J865">
        <v>0</v>
      </c>
      <c r="K865">
        <v>0</v>
      </c>
      <c r="L865" s="3" t="s">
        <v>1586</v>
      </c>
      <c r="M865" s="6">
        <f t="shared" si="26"/>
        <v>7125</v>
      </c>
      <c r="N865" s="1">
        <v>7125</v>
      </c>
      <c r="O865" s="1" t="str">
        <f t="shared" si="27"/>
        <v>Desconocido</v>
      </c>
      <c r="Q865" t="s">
        <v>905</v>
      </c>
    </row>
    <row r="866" spans="1:17" x14ac:dyDescent="0.25">
      <c r="A866">
        <v>244</v>
      </c>
      <c r="B866">
        <v>0</v>
      </c>
      <c r="C866">
        <v>3</v>
      </c>
      <c r="D866" t="s">
        <v>1303</v>
      </c>
      <c r="E866" t="s">
        <v>902</v>
      </c>
      <c r="F866">
        <f>ROUNDUP(Titanic_DATASET[[#This Row],[Age Correción 2]],0)</f>
        <v>22</v>
      </c>
      <c r="G866" s="4">
        <f>VALUE(SUBSTITUTE(Titanic_DATASET[[#This Row],[Age Correción.]],".",","))</f>
        <v>22</v>
      </c>
      <c r="H866" s="5">
        <v>22</v>
      </c>
      <c r="I866">
        <v>22</v>
      </c>
      <c r="J866">
        <v>0</v>
      </c>
      <c r="K866">
        <v>0</v>
      </c>
      <c r="L866" s="3" t="s">
        <v>1304</v>
      </c>
      <c r="M866" s="6">
        <f t="shared" si="26"/>
        <v>7125</v>
      </c>
      <c r="N866" s="1">
        <v>7125</v>
      </c>
      <c r="O866" s="1" t="str">
        <f t="shared" si="27"/>
        <v>Desconocido</v>
      </c>
      <c r="Q866" t="s">
        <v>905</v>
      </c>
    </row>
    <row r="867" spans="1:17" x14ac:dyDescent="0.25">
      <c r="A867">
        <v>174</v>
      </c>
      <c r="B867">
        <v>0</v>
      </c>
      <c r="C867">
        <v>3</v>
      </c>
      <c r="D867" t="s">
        <v>1196</v>
      </c>
      <c r="E867" t="s">
        <v>902</v>
      </c>
      <c r="F867">
        <f>ROUNDUP(Titanic_DATASET[[#This Row],[Age Correción 2]],0)</f>
        <v>21</v>
      </c>
      <c r="G867" s="4">
        <f>VALUE(SUBSTITUTE(Titanic_DATASET[[#This Row],[Age Correción.]],".",","))</f>
        <v>21</v>
      </c>
      <c r="H867" s="5">
        <v>21</v>
      </c>
      <c r="I867">
        <v>21</v>
      </c>
      <c r="J867">
        <v>0</v>
      </c>
      <c r="K867">
        <v>0</v>
      </c>
      <c r="L867" s="3" t="s">
        <v>1197</v>
      </c>
      <c r="M867" s="6">
        <f t="shared" si="26"/>
        <v>7925</v>
      </c>
      <c r="N867" s="1">
        <v>7925</v>
      </c>
      <c r="O867" s="1" t="str">
        <f t="shared" si="27"/>
        <v>Desconocido</v>
      </c>
      <c r="Q867" t="s">
        <v>905</v>
      </c>
    </row>
    <row r="868" spans="1:17" x14ac:dyDescent="0.25">
      <c r="A868">
        <v>665</v>
      </c>
      <c r="B868">
        <v>1</v>
      </c>
      <c r="C868">
        <v>3</v>
      </c>
      <c r="D868" t="s">
        <v>1903</v>
      </c>
      <c r="E868" t="s">
        <v>902</v>
      </c>
      <c r="F868">
        <f>ROUNDUP(Titanic_DATASET[[#This Row],[Age Correción 2]],0)</f>
        <v>20</v>
      </c>
      <c r="G868" s="4">
        <f>VALUE(SUBSTITUTE(Titanic_DATASET[[#This Row],[Age Correción.]],".",","))</f>
        <v>20</v>
      </c>
      <c r="H868" s="5">
        <v>20</v>
      </c>
      <c r="I868">
        <v>20</v>
      </c>
      <c r="J868">
        <v>1</v>
      </c>
      <c r="K868">
        <v>0</v>
      </c>
      <c r="L868" s="3" t="s">
        <v>1904</v>
      </c>
      <c r="M868" s="6">
        <f t="shared" si="26"/>
        <v>7925</v>
      </c>
      <c r="N868" s="1">
        <v>7925</v>
      </c>
      <c r="O868" s="1" t="str">
        <f t="shared" si="27"/>
        <v>Desconocido</v>
      </c>
      <c r="Q868" t="s">
        <v>905</v>
      </c>
    </row>
    <row r="869" spans="1:17" x14ac:dyDescent="0.25">
      <c r="A869">
        <v>580</v>
      </c>
      <c r="B869">
        <v>1</v>
      </c>
      <c r="C869">
        <v>3</v>
      </c>
      <c r="D869" t="s">
        <v>1794</v>
      </c>
      <c r="E869" t="s">
        <v>902</v>
      </c>
      <c r="F869">
        <f>ROUNDUP(Titanic_DATASET[[#This Row],[Age Correción 2]],0)</f>
        <v>32</v>
      </c>
      <c r="G869" s="4">
        <f>VALUE(SUBSTITUTE(Titanic_DATASET[[#This Row],[Age Correción.]],".",","))</f>
        <v>32</v>
      </c>
      <c r="H869" s="5">
        <v>32</v>
      </c>
      <c r="I869">
        <v>32</v>
      </c>
      <c r="J869">
        <v>0</v>
      </c>
      <c r="K869">
        <v>0</v>
      </c>
      <c r="L869" s="3" t="s">
        <v>1795</v>
      </c>
      <c r="M869" s="6">
        <f t="shared" si="26"/>
        <v>7925</v>
      </c>
      <c r="N869" s="1">
        <v>7925</v>
      </c>
      <c r="O869" s="1" t="str">
        <f t="shared" si="27"/>
        <v>Desconocido</v>
      </c>
      <c r="Q869" t="s">
        <v>905</v>
      </c>
    </row>
    <row r="870" spans="1:17" x14ac:dyDescent="0.25">
      <c r="A870">
        <v>745</v>
      </c>
      <c r="B870">
        <v>1</v>
      </c>
      <c r="C870">
        <v>3</v>
      </c>
      <c r="D870" t="s">
        <v>2007</v>
      </c>
      <c r="E870" t="s">
        <v>902</v>
      </c>
      <c r="F870">
        <f>ROUNDUP(Titanic_DATASET[[#This Row],[Age Correción 2]],0)</f>
        <v>31</v>
      </c>
      <c r="G870" s="4">
        <f>VALUE(SUBSTITUTE(Titanic_DATASET[[#This Row],[Age Correción.]],".",","))</f>
        <v>31</v>
      </c>
      <c r="H870" s="5">
        <v>31</v>
      </c>
      <c r="I870">
        <v>31</v>
      </c>
      <c r="J870">
        <v>0</v>
      </c>
      <c r="K870">
        <v>0</v>
      </c>
      <c r="L870" s="3" t="s">
        <v>2008</v>
      </c>
      <c r="M870" s="6">
        <f t="shared" si="26"/>
        <v>7925</v>
      </c>
      <c r="N870" s="1">
        <v>7925</v>
      </c>
      <c r="O870" s="1" t="str">
        <f t="shared" si="27"/>
        <v>Desconocido</v>
      </c>
      <c r="Q870" t="s">
        <v>905</v>
      </c>
    </row>
    <row r="871" spans="1:17" x14ac:dyDescent="0.25">
      <c r="A871">
        <v>401</v>
      </c>
      <c r="B871">
        <v>1</v>
      </c>
      <c r="C871">
        <v>3</v>
      </c>
      <c r="D871" t="s">
        <v>1543</v>
      </c>
      <c r="E871" t="s">
        <v>902</v>
      </c>
      <c r="F871">
        <f>ROUNDUP(Titanic_DATASET[[#This Row],[Age Correción 2]],0)</f>
        <v>39</v>
      </c>
      <c r="G871" s="4">
        <f>VALUE(SUBSTITUTE(Titanic_DATASET[[#This Row],[Age Correción.]],".",","))</f>
        <v>39</v>
      </c>
      <c r="H871" s="5">
        <v>39</v>
      </c>
      <c r="I871">
        <v>39</v>
      </c>
      <c r="J871">
        <v>0</v>
      </c>
      <c r="K871">
        <v>0</v>
      </c>
      <c r="L871" s="3" t="s">
        <v>1544</v>
      </c>
      <c r="M871" s="6">
        <f t="shared" si="26"/>
        <v>7925</v>
      </c>
      <c r="N871" s="1">
        <v>7925</v>
      </c>
      <c r="O871" s="1" t="str">
        <f t="shared" si="27"/>
        <v>Desconocido</v>
      </c>
      <c r="Q871" t="s">
        <v>905</v>
      </c>
    </row>
    <row r="872" spans="1:17" x14ac:dyDescent="0.25">
      <c r="A872">
        <v>637</v>
      </c>
      <c r="B872">
        <v>0</v>
      </c>
      <c r="C872">
        <v>3</v>
      </c>
      <c r="D872" t="s">
        <v>1869</v>
      </c>
      <c r="E872" t="s">
        <v>902</v>
      </c>
      <c r="F872">
        <f>ROUNDUP(Titanic_DATASET[[#This Row],[Age Correción 2]],0)</f>
        <v>32</v>
      </c>
      <c r="G872" s="4">
        <f>VALUE(SUBSTITUTE(Titanic_DATASET[[#This Row],[Age Correción.]],".",","))</f>
        <v>32</v>
      </c>
      <c r="H872" s="5">
        <v>32</v>
      </c>
      <c r="I872">
        <v>32</v>
      </c>
      <c r="J872">
        <v>0</v>
      </c>
      <c r="K872">
        <v>0</v>
      </c>
      <c r="L872" s="3" t="s">
        <v>1870</v>
      </c>
      <c r="M872" s="6">
        <f t="shared" si="26"/>
        <v>7925</v>
      </c>
      <c r="N872" s="1">
        <v>7925</v>
      </c>
      <c r="O872" s="1" t="str">
        <f t="shared" si="27"/>
        <v>Desconocido</v>
      </c>
      <c r="Q872" t="s">
        <v>905</v>
      </c>
    </row>
    <row r="873" spans="1:17" x14ac:dyDescent="0.25">
      <c r="A873">
        <v>383</v>
      </c>
      <c r="B873">
        <v>0</v>
      </c>
      <c r="C873">
        <v>3</v>
      </c>
      <c r="D873" t="s">
        <v>1521</v>
      </c>
      <c r="E873" t="s">
        <v>902</v>
      </c>
      <c r="F873">
        <f>ROUNDUP(Titanic_DATASET[[#This Row],[Age Correción 2]],0)</f>
        <v>32</v>
      </c>
      <c r="G873" s="4">
        <f>VALUE(SUBSTITUTE(Titanic_DATASET[[#This Row],[Age Correción.]],".",","))</f>
        <v>32</v>
      </c>
      <c r="H873" s="5">
        <v>32</v>
      </c>
      <c r="I873">
        <v>32</v>
      </c>
      <c r="J873">
        <v>0</v>
      </c>
      <c r="K873">
        <v>0</v>
      </c>
      <c r="L873" s="3" t="s">
        <v>1522</v>
      </c>
      <c r="M873" s="6">
        <f t="shared" si="26"/>
        <v>7925</v>
      </c>
      <c r="N873" s="1">
        <v>7925</v>
      </c>
      <c r="O873" s="1" t="str">
        <f t="shared" si="27"/>
        <v>Desconocido</v>
      </c>
      <c r="Q873" t="s">
        <v>905</v>
      </c>
    </row>
    <row r="874" spans="1:17" x14ac:dyDescent="0.25">
      <c r="A874">
        <v>116</v>
      </c>
      <c r="B874">
        <v>0</v>
      </c>
      <c r="C874">
        <v>3</v>
      </c>
      <c r="D874" t="s">
        <v>1094</v>
      </c>
      <c r="E874" t="s">
        <v>902</v>
      </c>
      <c r="F874">
        <f>ROUNDUP(Titanic_DATASET[[#This Row],[Age Correción 2]],0)</f>
        <v>21</v>
      </c>
      <c r="G874" s="4">
        <f>VALUE(SUBSTITUTE(Titanic_DATASET[[#This Row],[Age Correción.]],".",","))</f>
        <v>21</v>
      </c>
      <c r="H874" s="5">
        <v>21</v>
      </c>
      <c r="I874">
        <v>21</v>
      </c>
      <c r="J874">
        <v>0</v>
      </c>
      <c r="K874">
        <v>0</v>
      </c>
      <c r="L874" s="3" t="s">
        <v>1095</v>
      </c>
      <c r="M874" s="6">
        <f t="shared" si="26"/>
        <v>7925</v>
      </c>
      <c r="N874" s="1">
        <v>7925</v>
      </c>
      <c r="O874" s="1" t="str">
        <f t="shared" si="27"/>
        <v>Desconocido</v>
      </c>
      <c r="Q874" t="s">
        <v>905</v>
      </c>
    </row>
    <row r="875" spans="1:17" x14ac:dyDescent="0.25">
      <c r="A875">
        <v>730</v>
      </c>
      <c r="B875">
        <v>0</v>
      </c>
      <c r="C875">
        <v>3</v>
      </c>
      <c r="D875" t="s">
        <v>1988</v>
      </c>
      <c r="E875" t="s">
        <v>907</v>
      </c>
      <c r="F875">
        <f>ROUNDUP(Titanic_DATASET[[#This Row],[Age Correción 2]],0)</f>
        <v>25</v>
      </c>
      <c r="G875" s="4">
        <f>VALUE(SUBSTITUTE(Titanic_DATASET[[#This Row],[Age Correción.]],".",","))</f>
        <v>25</v>
      </c>
      <c r="H875" s="5">
        <v>25</v>
      </c>
      <c r="I875">
        <v>25</v>
      </c>
      <c r="J875">
        <v>1</v>
      </c>
      <c r="K875">
        <v>0</v>
      </c>
      <c r="L875" s="3" t="s">
        <v>1989</v>
      </c>
      <c r="M875" s="6">
        <f t="shared" si="26"/>
        <v>7925</v>
      </c>
      <c r="N875" s="1">
        <v>7925</v>
      </c>
      <c r="O875" s="1" t="str">
        <f t="shared" si="27"/>
        <v>Desconocido</v>
      </c>
      <c r="Q875" t="s">
        <v>905</v>
      </c>
    </row>
    <row r="876" spans="1:17" x14ac:dyDescent="0.25">
      <c r="A876">
        <v>143</v>
      </c>
      <c r="B876">
        <v>1</v>
      </c>
      <c r="C876">
        <v>3</v>
      </c>
      <c r="D876" t="s">
        <v>1139</v>
      </c>
      <c r="E876" t="s">
        <v>907</v>
      </c>
      <c r="F876">
        <f>ROUNDUP(Titanic_DATASET[[#This Row],[Age Correción 2]],0)</f>
        <v>24</v>
      </c>
      <c r="G876" s="4">
        <f>VALUE(SUBSTITUTE(Titanic_DATASET[[#This Row],[Age Correción.]],".",","))</f>
        <v>24</v>
      </c>
      <c r="H876" s="5">
        <v>24</v>
      </c>
      <c r="I876">
        <v>24</v>
      </c>
      <c r="J876">
        <v>1</v>
      </c>
      <c r="K876">
        <v>0</v>
      </c>
      <c r="L876" s="3" t="s">
        <v>1140</v>
      </c>
      <c r="M876" s="6">
        <f t="shared" si="26"/>
        <v>15.85</v>
      </c>
      <c r="N876" t="s">
        <v>1051</v>
      </c>
      <c r="O876" t="str">
        <f t="shared" si="27"/>
        <v>Desconocido</v>
      </c>
      <c r="Q876" t="s">
        <v>905</v>
      </c>
    </row>
    <row r="877" spans="1:17" x14ac:dyDescent="0.25">
      <c r="A877">
        <v>404</v>
      </c>
      <c r="B877">
        <v>0</v>
      </c>
      <c r="C877">
        <v>3</v>
      </c>
      <c r="D877" t="s">
        <v>1547</v>
      </c>
      <c r="E877" t="s">
        <v>902</v>
      </c>
      <c r="F877">
        <f>ROUNDUP(Titanic_DATASET[[#This Row],[Age Correción 2]],0)</f>
        <v>28</v>
      </c>
      <c r="G877" s="4">
        <f>VALUE(SUBSTITUTE(Titanic_DATASET[[#This Row],[Age Correción.]],".",","))</f>
        <v>28</v>
      </c>
      <c r="H877" s="5">
        <v>28</v>
      </c>
      <c r="I877">
        <v>28</v>
      </c>
      <c r="J877">
        <v>1</v>
      </c>
      <c r="K877">
        <v>0</v>
      </c>
      <c r="L877" s="3" t="s">
        <v>1140</v>
      </c>
      <c r="M877" s="6">
        <f t="shared" si="26"/>
        <v>15.85</v>
      </c>
      <c r="N877" t="s">
        <v>1051</v>
      </c>
      <c r="O877" t="str">
        <f t="shared" si="27"/>
        <v>Desconocido</v>
      </c>
      <c r="Q877" t="s">
        <v>905</v>
      </c>
    </row>
    <row r="878" spans="1:17" x14ac:dyDescent="0.25">
      <c r="A878">
        <v>3</v>
      </c>
      <c r="B878">
        <v>1</v>
      </c>
      <c r="C878">
        <v>3</v>
      </c>
      <c r="D878" t="s">
        <v>911</v>
      </c>
      <c r="E878" t="s">
        <v>907</v>
      </c>
      <c r="F878">
        <f>ROUNDUP(Titanic_DATASET[[#This Row],[Age Correción 2]],0)</f>
        <v>26</v>
      </c>
      <c r="G878" s="4">
        <f>VALUE(SUBSTITUTE(Titanic_DATASET[[#This Row],[Age Correción.]],".",","))</f>
        <v>26</v>
      </c>
      <c r="H878" s="5">
        <v>26</v>
      </c>
      <c r="I878">
        <v>26</v>
      </c>
      <c r="J878">
        <v>0</v>
      </c>
      <c r="K878">
        <v>0</v>
      </c>
      <c r="L878" s="3" t="s">
        <v>912</v>
      </c>
      <c r="M878" s="6">
        <f t="shared" si="26"/>
        <v>7925</v>
      </c>
      <c r="N878" s="1">
        <v>7925</v>
      </c>
      <c r="O878" s="1" t="str">
        <f t="shared" si="27"/>
        <v>Desconocido</v>
      </c>
      <c r="Q878" t="s">
        <v>905</v>
      </c>
    </row>
    <row r="879" spans="1:17" x14ac:dyDescent="0.25">
      <c r="A879">
        <v>217</v>
      </c>
      <c r="B879">
        <v>1</v>
      </c>
      <c r="C879">
        <v>3</v>
      </c>
      <c r="D879" t="s">
        <v>1258</v>
      </c>
      <c r="E879" t="s">
        <v>907</v>
      </c>
      <c r="F879">
        <f>ROUNDUP(Titanic_DATASET[[#This Row],[Age Correción 2]],0)</f>
        <v>27</v>
      </c>
      <c r="G879" s="4">
        <f>VALUE(SUBSTITUTE(Titanic_DATASET[[#This Row],[Age Correción.]],".",","))</f>
        <v>27</v>
      </c>
      <c r="H879" s="5">
        <v>27</v>
      </c>
      <c r="I879">
        <v>27</v>
      </c>
      <c r="J879">
        <v>0</v>
      </c>
      <c r="K879">
        <v>0</v>
      </c>
      <c r="L879" s="3" t="s">
        <v>1259</v>
      </c>
      <c r="M879" s="6">
        <f t="shared" si="26"/>
        <v>7925</v>
      </c>
      <c r="N879" s="1">
        <v>7925</v>
      </c>
      <c r="O879" s="1" t="str">
        <f t="shared" si="27"/>
        <v>Desconocido</v>
      </c>
      <c r="Q879" t="s">
        <v>905</v>
      </c>
    </row>
    <row r="880" spans="1:17" x14ac:dyDescent="0.25">
      <c r="A880">
        <v>817</v>
      </c>
      <c r="B880">
        <v>0</v>
      </c>
      <c r="C880">
        <v>3</v>
      </c>
      <c r="D880" t="s">
        <v>2099</v>
      </c>
      <c r="E880" t="s">
        <v>907</v>
      </c>
      <c r="F880">
        <f>ROUNDUP(Titanic_DATASET[[#This Row],[Age Correción 2]],0)</f>
        <v>23</v>
      </c>
      <c r="G880" s="4">
        <f>VALUE(SUBSTITUTE(Titanic_DATASET[[#This Row],[Age Correción.]],".",","))</f>
        <v>23</v>
      </c>
      <c r="H880" s="5">
        <v>23</v>
      </c>
      <c r="I880">
        <v>23</v>
      </c>
      <c r="J880">
        <v>0</v>
      </c>
      <c r="K880">
        <v>0</v>
      </c>
      <c r="L880" s="3" t="s">
        <v>2100</v>
      </c>
      <c r="M880" s="6">
        <f t="shared" si="26"/>
        <v>7925</v>
      </c>
      <c r="N880" s="1">
        <v>7925</v>
      </c>
      <c r="O880" s="1" t="str">
        <f t="shared" si="27"/>
        <v>Desconocido</v>
      </c>
      <c r="Q880" t="s">
        <v>905</v>
      </c>
    </row>
    <row r="881" spans="1:17" x14ac:dyDescent="0.25">
      <c r="A881">
        <v>227</v>
      </c>
      <c r="B881">
        <v>1</v>
      </c>
      <c r="C881">
        <v>2</v>
      </c>
      <c r="D881" t="s">
        <v>1275</v>
      </c>
      <c r="E881" t="s">
        <v>902</v>
      </c>
      <c r="F881">
        <f>ROUNDUP(Titanic_DATASET[[#This Row],[Age Correción 2]],0)</f>
        <v>19</v>
      </c>
      <c r="G881" s="4">
        <f>VALUE(SUBSTITUTE(Titanic_DATASET[[#This Row],[Age Correción.]],".",","))</f>
        <v>19</v>
      </c>
      <c r="H881" s="5">
        <v>19</v>
      </c>
      <c r="I881">
        <v>19</v>
      </c>
      <c r="J881">
        <v>0</v>
      </c>
      <c r="K881">
        <v>0</v>
      </c>
      <c r="L881" s="3" t="s">
        <v>1276</v>
      </c>
      <c r="M881" s="6">
        <f t="shared" si="26"/>
        <v>10.5</v>
      </c>
      <c r="N881" t="s">
        <v>964</v>
      </c>
      <c r="O881" t="str">
        <f t="shared" si="27"/>
        <v>Desconocido</v>
      </c>
      <c r="Q881" t="s">
        <v>905</v>
      </c>
    </row>
    <row r="882" spans="1:17" x14ac:dyDescent="0.25">
      <c r="A882">
        <v>527</v>
      </c>
      <c r="B882">
        <v>1</v>
      </c>
      <c r="C882">
        <v>2</v>
      </c>
      <c r="D882" t="s">
        <v>1719</v>
      </c>
      <c r="E882" t="s">
        <v>907</v>
      </c>
      <c r="F882">
        <f>ROUNDUP(Titanic_DATASET[[#This Row],[Age Correción 2]],0)</f>
        <v>50</v>
      </c>
      <c r="G882" s="4">
        <f>VALUE(SUBSTITUTE(Titanic_DATASET[[#This Row],[Age Correción.]],".",","))</f>
        <v>50</v>
      </c>
      <c r="H882" s="5">
        <v>50</v>
      </c>
      <c r="I882">
        <v>50</v>
      </c>
      <c r="J882">
        <v>0</v>
      </c>
      <c r="K882">
        <v>0</v>
      </c>
      <c r="L882" s="3" t="s">
        <v>1720</v>
      </c>
      <c r="M882" s="6">
        <f t="shared" si="26"/>
        <v>10.5</v>
      </c>
      <c r="N882" t="s">
        <v>964</v>
      </c>
      <c r="O882" t="str">
        <f t="shared" si="27"/>
        <v>Desconocido</v>
      </c>
      <c r="Q882" t="s">
        <v>905</v>
      </c>
    </row>
    <row r="883" spans="1:17" x14ac:dyDescent="0.25">
      <c r="A883">
        <v>243</v>
      </c>
      <c r="B883">
        <v>0</v>
      </c>
      <c r="C883">
        <v>2</v>
      </c>
      <c r="D883" t="s">
        <v>1301</v>
      </c>
      <c r="E883" t="s">
        <v>902</v>
      </c>
      <c r="F883">
        <f>ROUNDUP(Titanic_DATASET[[#This Row],[Age Correción 2]],0)</f>
        <v>29</v>
      </c>
      <c r="G883" s="4">
        <f>VALUE(SUBSTITUTE(Titanic_DATASET[[#This Row],[Age Correción.]],".",","))</f>
        <v>29</v>
      </c>
      <c r="H883" s="5">
        <v>29</v>
      </c>
      <c r="I883">
        <v>29</v>
      </c>
      <c r="J883">
        <v>0</v>
      </c>
      <c r="K883">
        <v>0</v>
      </c>
      <c r="L883" s="3" t="s">
        <v>1302</v>
      </c>
      <c r="M883" s="6">
        <f t="shared" si="26"/>
        <v>10.5</v>
      </c>
      <c r="N883" t="s">
        <v>964</v>
      </c>
      <c r="O883" t="str">
        <f t="shared" si="27"/>
        <v>Desconocido</v>
      </c>
      <c r="Q883" t="s">
        <v>905</v>
      </c>
    </row>
    <row r="884" spans="1:17" x14ac:dyDescent="0.25">
      <c r="A884">
        <v>784</v>
      </c>
      <c r="B884">
        <v>0</v>
      </c>
      <c r="C884">
        <v>3</v>
      </c>
      <c r="D884" t="s">
        <v>2057</v>
      </c>
      <c r="E884" t="s">
        <v>902</v>
      </c>
      <c r="F884">
        <f>ROUNDUP(Titanic_DATASET[[#This Row],[Age Correción 2]],0)</f>
        <v>24</v>
      </c>
      <c r="G884" s="4">
        <f>VALUE(SUBSTITUTE(Titanic_DATASET[[#This Row],[Age Correción.]],".",","))</f>
        <v>24</v>
      </c>
      <c r="H884" s="5">
        <v>24</v>
      </c>
      <c r="J884">
        <v>1</v>
      </c>
      <c r="K884">
        <v>2</v>
      </c>
      <c r="L884" s="3" t="s">
        <v>2058</v>
      </c>
      <c r="M884" s="6">
        <f t="shared" si="26"/>
        <v>23.45</v>
      </c>
      <c r="N884" t="s">
        <v>2059</v>
      </c>
      <c r="O884" t="str">
        <f t="shared" si="27"/>
        <v>Desconocido</v>
      </c>
      <c r="Q884" t="s">
        <v>905</v>
      </c>
    </row>
    <row r="885" spans="1:17" x14ac:dyDescent="0.25">
      <c r="A885">
        <v>889</v>
      </c>
      <c r="B885">
        <v>0</v>
      </c>
      <c r="C885">
        <v>3</v>
      </c>
      <c r="D885" t="s">
        <v>2195</v>
      </c>
      <c r="E885" t="s">
        <v>907</v>
      </c>
      <c r="F885">
        <f>ROUNDUP(Titanic_DATASET[[#This Row],[Age Correción 2]],0)</f>
        <v>56</v>
      </c>
      <c r="G885" s="4">
        <f>VALUE(SUBSTITUTE(Titanic_DATASET[[#This Row],[Age Correción.]],".",","))</f>
        <v>56</v>
      </c>
      <c r="H885" s="5">
        <v>56</v>
      </c>
      <c r="J885">
        <v>1</v>
      </c>
      <c r="K885">
        <v>2</v>
      </c>
      <c r="L885" s="3" t="s">
        <v>2058</v>
      </c>
      <c r="M885" s="6">
        <f t="shared" si="26"/>
        <v>23.45</v>
      </c>
      <c r="N885" t="s">
        <v>2059</v>
      </c>
      <c r="O885" t="str">
        <f t="shared" si="27"/>
        <v>Desconocido</v>
      </c>
      <c r="Q885" t="s">
        <v>905</v>
      </c>
    </row>
    <row r="886" spans="1:17" x14ac:dyDescent="0.25">
      <c r="A886">
        <v>87</v>
      </c>
      <c r="B886">
        <v>0</v>
      </c>
      <c r="C886">
        <v>3</v>
      </c>
      <c r="D886" t="s">
        <v>1052</v>
      </c>
      <c r="E886" t="s">
        <v>902</v>
      </c>
      <c r="F886">
        <f>ROUNDUP(Titanic_DATASET[[#This Row],[Age Correción 2]],0)</f>
        <v>16</v>
      </c>
      <c r="G886" s="4">
        <f>VALUE(SUBSTITUTE(Titanic_DATASET[[#This Row],[Age Correción.]],".",","))</f>
        <v>16</v>
      </c>
      <c r="H886" s="5">
        <v>16</v>
      </c>
      <c r="I886">
        <v>16</v>
      </c>
      <c r="J886">
        <v>1</v>
      </c>
      <c r="K886">
        <v>3</v>
      </c>
      <c r="L886" s="3" t="s">
        <v>1053</v>
      </c>
      <c r="M886" s="6">
        <f t="shared" si="26"/>
        <v>34375</v>
      </c>
      <c r="N886" s="1">
        <v>34375</v>
      </c>
      <c r="O886" s="1" t="str">
        <f t="shared" si="27"/>
        <v>Desconocido</v>
      </c>
      <c r="Q886" t="s">
        <v>905</v>
      </c>
    </row>
    <row r="887" spans="1:17" x14ac:dyDescent="0.25">
      <c r="A887">
        <v>148</v>
      </c>
      <c r="B887">
        <v>0</v>
      </c>
      <c r="C887">
        <v>3</v>
      </c>
      <c r="D887" t="s">
        <v>1149</v>
      </c>
      <c r="E887" t="s">
        <v>907</v>
      </c>
      <c r="F887">
        <f>ROUNDUP(Titanic_DATASET[[#This Row],[Age Correción 2]],0)</f>
        <v>9</v>
      </c>
      <c r="G887" s="4">
        <f>VALUE(SUBSTITUTE(Titanic_DATASET[[#This Row],[Age Correción.]],".",","))</f>
        <v>9</v>
      </c>
      <c r="H887" s="5">
        <v>9</v>
      </c>
      <c r="I887">
        <v>9</v>
      </c>
      <c r="J887">
        <v>2</v>
      </c>
      <c r="K887">
        <v>2</v>
      </c>
      <c r="L887" s="3" t="s">
        <v>1053</v>
      </c>
      <c r="M887" s="6">
        <f t="shared" si="26"/>
        <v>34375</v>
      </c>
      <c r="N887" s="1">
        <v>34375</v>
      </c>
      <c r="O887" s="1" t="str">
        <f t="shared" si="27"/>
        <v>Desconocido</v>
      </c>
      <c r="Q887" t="s">
        <v>905</v>
      </c>
    </row>
    <row r="888" spans="1:17" x14ac:dyDescent="0.25">
      <c r="A888">
        <v>437</v>
      </c>
      <c r="B888">
        <v>0</v>
      </c>
      <c r="C888">
        <v>3</v>
      </c>
      <c r="D888" t="s">
        <v>1591</v>
      </c>
      <c r="E888" t="s">
        <v>907</v>
      </c>
      <c r="F888">
        <f>ROUNDUP(Titanic_DATASET[[#This Row],[Age Correción 2]],0)</f>
        <v>21</v>
      </c>
      <c r="G888" s="4">
        <f>VALUE(SUBSTITUTE(Titanic_DATASET[[#This Row],[Age Correción.]],".",","))</f>
        <v>21</v>
      </c>
      <c r="H888" s="5">
        <v>21</v>
      </c>
      <c r="I888">
        <v>21</v>
      </c>
      <c r="J888">
        <v>2</v>
      </c>
      <c r="K888">
        <v>2</v>
      </c>
      <c r="L888" s="3" t="s">
        <v>1053</v>
      </c>
      <c r="M888" s="6">
        <f t="shared" si="26"/>
        <v>34375</v>
      </c>
      <c r="N888" s="1">
        <v>34375</v>
      </c>
      <c r="O888" s="1" t="str">
        <f t="shared" si="27"/>
        <v>Desconocido</v>
      </c>
      <c r="Q888" t="s">
        <v>905</v>
      </c>
    </row>
    <row r="889" spans="1:17" x14ac:dyDescent="0.25">
      <c r="A889">
        <v>737</v>
      </c>
      <c r="B889">
        <v>0</v>
      </c>
      <c r="C889">
        <v>3</v>
      </c>
      <c r="D889" t="s">
        <v>1996</v>
      </c>
      <c r="E889" t="s">
        <v>907</v>
      </c>
      <c r="F889">
        <f>ROUNDUP(Titanic_DATASET[[#This Row],[Age Correción 2]],0)</f>
        <v>48</v>
      </c>
      <c r="G889" s="4">
        <f>VALUE(SUBSTITUTE(Titanic_DATASET[[#This Row],[Age Correción.]],".",","))</f>
        <v>48</v>
      </c>
      <c r="H889" s="5">
        <v>48</v>
      </c>
      <c r="I889">
        <v>48</v>
      </c>
      <c r="J889">
        <v>1</v>
      </c>
      <c r="K889">
        <v>3</v>
      </c>
      <c r="L889" s="3" t="s">
        <v>1053</v>
      </c>
      <c r="M889" s="6">
        <f t="shared" si="26"/>
        <v>34375</v>
      </c>
      <c r="N889" s="1">
        <v>34375</v>
      </c>
      <c r="O889" s="1" t="str">
        <f t="shared" si="27"/>
        <v>Desconocido</v>
      </c>
      <c r="Q889" t="s">
        <v>905</v>
      </c>
    </row>
    <row r="890" spans="1:17" x14ac:dyDescent="0.25">
      <c r="A890">
        <v>236</v>
      </c>
      <c r="B890">
        <v>0</v>
      </c>
      <c r="C890">
        <v>3</v>
      </c>
      <c r="D890" t="s">
        <v>1289</v>
      </c>
      <c r="E890" t="s">
        <v>907</v>
      </c>
      <c r="F890">
        <f>ROUNDUP(Titanic_DATASET[[#This Row],[Age Correción 2]],0)</f>
        <v>38</v>
      </c>
      <c r="G890" s="4">
        <f>VALUE(SUBSTITUTE(Titanic_DATASET[[#This Row],[Age Correción.]],".",","))</f>
        <v>38</v>
      </c>
      <c r="H890" s="5">
        <v>38</v>
      </c>
      <c r="J890">
        <v>0</v>
      </c>
      <c r="K890">
        <v>0</v>
      </c>
      <c r="L890" s="3" t="s">
        <v>1290</v>
      </c>
      <c r="M890" s="6">
        <f t="shared" si="26"/>
        <v>7.55</v>
      </c>
      <c r="N890" t="s">
        <v>1291</v>
      </c>
      <c r="O890" t="str">
        <f t="shared" si="27"/>
        <v>Desconocido</v>
      </c>
      <c r="Q890" t="s">
        <v>905</v>
      </c>
    </row>
    <row r="891" spans="1:17" x14ac:dyDescent="0.25">
      <c r="A891">
        <v>93</v>
      </c>
      <c r="B891">
        <v>0</v>
      </c>
      <c r="C891">
        <v>1</v>
      </c>
      <c r="D891" t="s">
        <v>1060</v>
      </c>
      <c r="E891" t="s">
        <v>902</v>
      </c>
      <c r="F891">
        <f>ROUNDUP(Titanic_DATASET[[#This Row],[Age Correción 2]],0)</f>
        <v>46</v>
      </c>
      <c r="G891" s="4">
        <f>VALUE(SUBSTITUTE(Titanic_DATASET[[#This Row],[Age Correción.]],".",","))</f>
        <v>46</v>
      </c>
      <c r="H891" s="5">
        <v>46</v>
      </c>
      <c r="I891">
        <v>46</v>
      </c>
      <c r="J891">
        <v>1</v>
      </c>
      <c r="K891">
        <v>0</v>
      </c>
      <c r="L891" s="3" t="s">
        <v>1061</v>
      </c>
      <c r="M891" s="6">
        <f t="shared" si="26"/>
        <v>61175</v>
      </c>
      <c r="N891" s="1">
        <v>61175</v>
      </c>
      <c r="O891" s="1" t="str">
        <f t="shared" si="27"/>
        <v>E31</v>
      </c>
      <c r="P891" t="s">
        <v>1062</v>
      </c>
      <c r="Q891" t="s">
        <v>905</v>
      </c>
    </row>
    <row r="892" spans="1:17" x14ac:dyDescent="0.25">
      <c r="A892">
        <v>220</v>
      </c>
      <c r="B892">
        <v>0</v>
      </c>
      <c r="C892">
        <v>2</v>
      </c>
      <c r="D892" t="s">
        <v>1263</v>
      </c>
      <c r="E892" t="s">
        <v>902</v>
      </c>
      <c r="F892">
        <f>ROUNDUP(Titanic_DATASET[[#This Row],[Age Correción 2]],0)</f>
        <v>30</v>
      </c>
      <c r="G892" s="4">
        <f>VALUE(SUBSTITUTE(Titanic_DATASET[[#This Row],[Age Correción.]],".",","))</f>
        <v>30</v>
      </c>
      <c r="H892" s="5">
        <v>30</v>
      </c>
      <c r="I892">
        <v>30</v>
      </c>
      <c r="J892">
        <v>0</v>
      </c>
      <c r="K892">
        <v>0</v>
      </c>
      <c r="L892" s="3" t="s">
        <v>1264</v>
      </c>
      <c r="M892" s="6">
        <f t="shared" si="26"/>
        <v>10.5</v>
      </c>
      <c r="N892" t="s">
        <v>964</v>
      </c>
      <c r="O892" t="str">
        <f t="shared" si="27"/>
        <v>Desconocido</v>
      </c>
      <c r="Q892" t="s">
        <v>905</v>
      </c>
    </row>
    <row r="893" spans="1:17" x14ac:dyDescent="0.25">
      <c r="A893">
        <v>541</v>
      </c>
      <c r="B893">
        <v>1</v>
      </c>
      <c r="C893">
        <v>1</v>
      </c>
      <c r="D893" t="s">
        <v>1740</v>
      </c>
      <c r="E893" t="s">
        <v>907</v>
      </c>
      <c r="F893">
        <f>ROUNDUP(Titanic_DATASET[[#This Row],[Age Correción 2]],0)</f>
        <v>36</v>
      </c>
      <c r="G893" s="4">
        <f>VALUE(SUBSTITUTE(Titanic_DATASET[[#This Row],[Age Correción.]],".",","))</f>
        <v>36</v>
      </c>
      <c r="H893" s="5">
        <v>36</v>
      </c>
      <c r="I893">
        <v>36</v>
      </c>
      <c r="J893">
        <v>0</v>
      </c>
      <c r="K893">
        <v>2</v>
      </c>
      <c r="L893" s="3" t="s">
        <v>1741</v>
      </c>
      <c r="M893" s="6">
        <f t="shared" si="26"/>
        <v>71</v>
      </c>
      <c r="N893">
        <v>71</v>
      </c>
      <c r="O893" t="str">
        <f t="shared" si="27"/>
        <v>B22</v>
      </c>
      <c r="P893" t="s">
        <v>1742</v>
      </c>
      <c r="Q893" t="s">
        <v>905</v>
      </c>
    </row>
    <row r="894" spans="1:17" x14ac:dyDescent="0.25">
      <c r="A894">
        <v>746</v>
      </c>
      <c r="B894">
        <v>0</v>
      </c>
      <c r="C894">
        <v>1</v>
      </c>
      <c r="D894" t="s">
        <v>2009</v>
      </c>
      <c r="E894" t="s">
        <v>902</v>
      </c>
      <c r="F894">
        <f>ROUNDUP(Titanic_DATASET[[#This Row],[Age Correción 2]],0)</f>
        <v>70</v>
      </c>
      <c r="G894" s="4">
        <f>VALUE(SUBSTITUTE(Titanic_DATASET[[#This Row],[Age Correción.]],".",","))</f>
        <v>70</v>
      </c>
      <c r="H894" s="5">
        <v>70</v>
      </c>
      <c r="I894">
        <v>70</v>
      </c>
      <c r="J894">
        <v>1</v>
      </c>
      <c r="K894">
        <v>1</v>
      </c>
      <c r="L894" s="3" t="s">
        <v>1741</v>
      </c>
      <c r="M894" s="6">
        <f t="shared" si="26"/>
        <v>71</v>
      </c>
      <c r="N894">
        <v>71</v>
      </c>
      <c r="O894" t="str">
        <f t="shared" si="27"/>
        <v>B22</v>
      </c>
      <c r="P894" t="s">
        <v>1742</v>
      </c>
      <c r="Q894" t="s">
        <v>905</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866B-AB56-4EEF-A584-E5F166822022}">
  <dimension ref="A1:AA894"/>
  <sheetViews>
    <sheetView showGridLines="0" workbookViewId="0"/>
  </sheetViews>
  <sheetFormatPr baseColWidth="10" defaultRowHeight="15" x14ac:dyDescent="0.25"/>
  <cols>
    <col min="1" max="1" width="73.7109375" style="3" bestFit="1" customWidth="1"/>
    <col min="2" max="2" width="7.7109375" style="3" bestFit="1" customWidth="1"/>
    <col min="3" max="3" width="13.85546875" style="3" bestFit="1" customWidth="1"/>
    <col min="4" max="4" width="7.7109375" bestFit="1" customWidth="1"/>
    <col min="5" max="5" width="15" style="3" bestFit="1" customWidth="1"/>
    <col min="6" max="6" width="21.42578125" style="3" bestFit="1" customWidth="1"/>
    <col min="7" max="7" width="19.28515625" style="3" bestFit="1" customWidth="1"/>
    <col min="8" max="8" width="15.85546875" style="3" bestFit="1" customWidth="1"/>
    <col min="9" max="9" width="19.5703125" style="3" bestFit="1" customWidth="1"/>
    <col min="10" max="10" width="9.42578125" style="13" bestFit="1" customWidth="1"/>
    <col min="11" max="11" width="14.85546875" style="3" bestFit="1" customWidth="1"/>
    <col min="12" max="12" width="12.42578125" style="3" bestFit="1" customWidth="1"/>
    <col min="13" max="13" width="20" bestFit="1" customWidth="1"/>
  </cols>
  <sheetData>
    <row r="1" spans="1:27" x14ac:dyDescent="0.25">
      <c r="A1" s="44"/>
      <c r="B1" s="44"/>
      <c r="C1" s="44"/>
      <c r="D1" s="43"/>
      <c r="E1" s="44"/>
      <c r="F1" s="44"/>
      <c r="G1" s="44"/>
      <c r="H1" s="44"/>
      <c r="I1" s="44"/>
      <c r="J1" s="45"/>
      <c r="K1" s="44"/>
      <c r="L1" s="44"/>
      <c r="M1" s="43"/>
      <c r="N1" s="43"/>
      <c r="O1" s="43"/>
      <c r="P1" s="43"/>
      <c r="Q1" s="43"/>
      <c r="R1" s="43"/>
      <c r="S1" s="43"/>
      <c r="T1" s="43"/>
      <c r="U1" s="43"/>
      <c r="V1" s="43"/>
      <c r="W1" s="43"/>
      <c r="X1" s="43"/>
      <c r="Y1" s="43"/>
      <c r="Z1" s="43"/>
      <c r="AA1" s="43"/>
    </row>
    <row r="2" spans="1:27" x14ac:dyDescent="0.25">
      <c r="A2" s="44"/>
      <c r="B2" s="44"/>
      <c r="C2" s="44"/>
      <c r="D2" s="43"/>
      <c r="E2" s="44"/>
      <c r="F2" s="44"/>
      <c r="G2" s="44"/>
      <c r="H2" s="44"/>
      <c r="I2" s="44"/>
      <c r="J2" s="45"/>
      <c r="K2" s="44"/>
      <c r="L2" s="44"/>
      <c r="M2" s="43"/>
      <c r="N2" s="43"/>
      <c r="O2" s="43"/>
      <c r="P2" s="43"/>
      <c r="Q2" s="43"/>
      <c r="R2" s="43"/>
      <c r="S2" s="43"/>
      <c r="T2" s="43"/>
      <c r="U2" s="43"/>
      <c r="V2" s="43"/>
      <c r="W2" s="43"/>
      <c r="X2" s="43"/>
      <c r="Y2" s="43"/>
      <c r="Z2" s="43"/>
      <c r="AA2" s="43"/>
    </row>
    <row r="3" spans="1:27" x14ac:dyDescent="0.25">
      <c r="A3" s="3" t="s">
        <v>2211</v>
      </c>
      <c r="B3" s="3" t="s">
        <v>2212</v>
      </c>
      <c r="C3" s="3" t="s">
        <v>2213</v>
      </c>
      <c r="D3" t="s">
        <v>2214</v>
      </c>
      <c r="E3" s="3" t="s">
        <v>2332</v>
      </c>
      <c r="F3" s="3" t="s">
        <v>2215</v>
      </c>
      <c r="G3" s="3" t="s">
        <v>2216</v>
      </c>
      <c r="H3" s="3" t="s">
        <v>2217</v>
      </c>
      <c r="I3" s="3" t="s">
        <v>897</v>
      </c>
      <c r="J3" s="13" t="s">
        <v>2218</v>
      </c>
      <c r="K3" s="3" t="s">
        <v>2219</v>
      </c>
      <c r="L3" s="3" t="s">
        <v>2220</v>
      </c>
      <c r="M3" t="s">
        <v>2329</v>
      </c>
    </row>
    <row r="4" spans="1:27" x14ac:dyDescent="0.25">
      <c r="A4" s="3" t="s">
        <v>901</v>
      </c>
      <c r="B4" s="3" t="s">
        <v>902</v>
      </c>
      <c r="C4" s="3">
        <v>1</v>
      </c>
      <c r="D4" s="5">
        <v>64</v>
      </c>
      <c r="E4" s="3">
        <v>0</v>
      </c>
      <c r="F4" s="3">
        <v>1</v>
      </c>
      <c r="G4" s="3">
        <v>3</v>
      </c>
      <c r="H4" s="3">
        <v>0</v>
      </c>
      <c r="I4" s="3">
        <v>693</v>
      </c>
      <c r="J4" s="13">
        <v>7.25</v>
      </c>
      <c r="K4" s="3" t="s">
        <v>2210</v>
      </c>
      <c r="L4" s="3" t="s">
        <v>905</v>
      </c>
      <c r="M4" t="str" cm="1">
        <f t="array" ref="M4">_xlfn.IFS(INFO_Pasajeros[[#This Row],[Edad]]&lt;=13,"Niños",INFO_Pasajeros[[#This Row],[Edad]]&lt;=18,"Jóvenes",INFO_Pasajeros[[#This Row],[Edad]]&lt;=50,"Adultos",INFO_Pasajeros[[#This Row],[Edad]]&gt;=51,"Adultos Mayores")</f>
        <v>Adultos Mayores</v>
      </c>
    </row>
    <row r="5" spans="1:27" x14ac:dyDescent="0.25">
      <c r="A5" s="3" t="s">
        <v>906</v>
      </c>
      <c r="B5" s="3" t="s">
        <v>907</v>
      </c>
      <c r="C5" s="3">
        <v>2</v>
      </c>
      <c r="D5" s="5">
        <v>33</v>
      </c>
      <c r="E5" s="3">
        <v>0</v>
      </c>
      <c r="F5" s="3">
        <v>1</v>
      </c>
      <c r="G5" s="3">
        <v>1</v>
      </c>
      <c r="H5" s="3">
        <v>1</v>
      </c>
      <c r="I5" s="3">
        <v>695</v>
      </c>
      <c r="J5" s="13">
        <v>712.83299999999997</v>
      </c>
      <c r="K5" s="3" t="s">
        <v>1926</v>
      </c>
      <c r="L5" s="3" t="s">
        <v>905</v>
      </c>
      <c r="M5" t="str" cm="1">
        <f t="array" ref="M5">_xlfn.IFS(INFO_Pasajeros[[#This Row],[Edad]]&lt;=13,"Niños",INFO_Pasajeros[[#This Row],[Edad]]&lt;=18,"Jóvenes",INFO_Pasajeros[[#This Row],[Edad]]&lt;=50,"Adultos",INFO_Pasajeros[[#This Row],[Edad]]&gt;=51,"Adultos Mayores")</f>
        <v>Adultos</v>
      </c>
    </row>
    <row r="6" spans="1:27" x14ac:dyDescent="0.25">
      <c r="A6" s="3" t="s">
        <v>911</v>
      </c>
      <c r="B6" s="3" t="s">
        <v>907</v>
      </c>
      <c r="C6" s="3">
        <v>3</v>
      </c>
      <c r="D6" s="5">
        <v>32</v>
      </c>
      <c r="E6" s="3">
        <v>0</v>
      </c>
      <c r="F6" s="3">
        <v>0</v>
      </c>
      <c r="G6" s="3">
        <v>3</v>
      </c>
      <c r="H6" s="3">
        <v>1</v>
      </c>
      <c r="I6" s="3">
        <v>1601</v>
      </c>
      <c r="J6" s="13">
        <v>7.9249999999999998</v>
      </c>
      <c r="K6" s="3" t="s">
        <v>2210</v>
      </c>
      <c r="L6" s="3" t="s">
        <v>905</v>
      </c>
      <c r="M6" t="str" cm="1">
        <f t="array" ref="M6">_xlfn.IFS(INFO_Pasajeros[[#This Row],[Edad]]&lt;=13,"Niños",INFO_Pasajeros[[#This Row],[Edad]]&lt;=18,"Jóvenes",INFO_Pasajeros[[#This Row],[Edad]]&lt;=50,"Adultos",INFO_Pasajeros[[#This Row],[Edad]]&gt;=51,"Adultos Mayores")</f>
        <v>Adultos</v>
      </c>
    </row>
    <row r="7" spans="1:27" x14ac:dyDescent="0.25">
      <c r="A7" s="3" t="s">
        <v>913</v>
      </c>
      <c r="B7" s="3" t="s">
        <v>907</v>
      </c>
      <c r="C7" s="3">
        <v>4</v>
      </c>
      <c r="D7" s="5">
        <v>28</v>
      </c>
      <c r="E7" s="3">
        <v>0</v>
      </c>
      <c r="F7" s="3">
        <v>1</v>
      </c>
      <c r="G7" s="3">
        <v>1</v>
      </c>
      <c r="H7" s="3">
        <v>1</v>
      </c>
      <c r="I7" s="3">
        <v>1601</v>
      </c>
      <c r="J7" s="13">
        <v>53.1</v>
      </c>
      <c r="K7" s="3" t="s">
        <v>2210</v>
      </c>
      <c r="L7" s="3" t="s">
        <v>905</v>
      </c>
      <c r="M7" t="str" cm="1">
        <f t="array" ref="M7">_xlfn.IFS(INFO_Pasajeros[[#This Row],[Edad]]&lt;=13,"Niños",INFO_Pasajeros[[#This Row],[Edad]]&lt;=18,"Jóvenes",INFO_Pasajeros[[#This Row],[Edad]]&lt;=50,"Adultos",INFO_Pasajeros[[#This Row],[Edad]]&gt;=51,"Adultos Mayores")</f>
        <v>Adultos</v>
      </c>
      <c r="P7" s="5"/>
    </row>
    <row r="8" spans="1:27" x14ac:dyDescent="0.25">
      <c r="A8" s="3" t="s">
        <v>916</v>
      </c>
      <c r="B8" s="3" t="s">
        <v>902</v>
      </c>
      <c r="C8" s="3">
        <v>5</v>
      </c>
      <c r="D8" s="5">
        <v>26</v>
      </c>
      <c r="E8" s="3">
        <v>0</v>
      </c>
      <c r="F8" s="3">
        <v>0</v>
      </c>
      <c r="G8" s="3">
        <v>3</v>
      </c>
      <c r="H8" s="3">
        <v>0</v>
      </c>
      <c r="I8" s="3">
        <v>1601</v>
      </c>
      <c r="J8" s="13">
        <v>8.0500000000000007</v>
      </c>
      <c r="K8" s="3" t="s">
        <v>2210</v>
      </c>
      <c r="L8" s="3" t="s">
        <v>905</v>
      </c>
      <c r="M8" t="str" cm="1">
        <f t="array" ref="M8">_xlfn.IFS(INFO_Pasajeros[[#This Row],[Edad]]&lt;=13,"Niños",INFO_Pasajeros[[#This Row],[Edad]]&lt;=18,"Jóvenes",INFO_Pasajeros[[#This Row],[Edad]]&lt;=50,"Adultos",INFO_Pasajeros[[#This Row],[Edad]]&gt;=51,"Adultos Mayores")</f>
        <v>Adultos</v>
      </c>
    </row>
    <row r="9" spans="1:27" x14ac:dyDescent="0.25">
      <c r="A9" s="3" t="s">
        <v>918</v>
      </c>
      <c r="B9" s="3" t="s">
        <v>902</v>
      </c>
      <c r="C9" s="3">
        <v>6</v>
      </c>
      <c r="D9" s="5">
        <v>42</v>
      </c>
      <c r="E9" s="3">
        <v>0</v>
      </c>
      <c r="F9" s="3">
        <v>0</v>
      </c>
      <c r="G9" s="3">
        <v>3</v>
      </c>
      <c r="H9" s="3">
        <v>0</v>
      </c>
      <c r="I9" s="3">
        <v>1601</v>
      </c>
      <c r="J9" s="13">
        <v>84.582999999999998</v>
      </c>
      <c r="K9" s="3" t="s">
        <v>2210</v>
      </c>
      <c r="L9" s="3" t="s">
        <v>905</v>
      </c>
      <c r="M9" t="str" cm="1">
        <f t="array" ref="M9">_xlfn.IFS(INFO_Pasajeros[[#This Row],[Edad]]&lt;=13,"Niños",INFO_Pasajeros[[#This Row],[Edad]]&lt;=18,"Jóvenes",INFO_Pasajeros[[#This Row],[Edad]]&lt;=50,"Adultos",INFO_Pasajeros[[#This Row],[Edad]]&gt;=51,"Adultos Mayores")</f>
        <v>Adultos</v>
      </c>
    </row>
    <row r="10" spans="1:27" x14ac:dyDescent="0.25">
      <c r="A10" s="3" t="s">
        <v>920</v>
      </c>
      <c r="B10" s="3" t="s">
        <v>902</v>
      </c>
      <c r="C10" s="3">
        <v>7</v>
      </c>
      <c r="D10" s="5">
        <v>58</v>
      </c>
      <c r="E10" s="3">
        <v>0</v>
      </c>
      <c r="F10" s="3">
        <v>0</v>
      </c>
      <c r="G10" s="3">
        <v>1</v>
      </c>
      <c r="H10" s="3">
        <v>0</v>
      </c>
      <c r="I10" s="3">
        <v>1601</v>
      </c>
      <c r="J10" s="13">
        <v>518.625</v>
      </c>
      <c r="K10" s="3" t="s">
        <v>2210</v>
      </c>
      <c r="L10" s="3" t="s">
        <v>905</v>
      </c>
      <c r="M10" t="str" cm="1">
        <f t="array" ref="M10">_xlfn.IFS(INFO_Pasajeros[[#This Row],[Edad]]&lt;=13,"Niños",INFO_Pasajeros[[#This Row],[Edad]]&lt;=18,"Jóvenes",INFO_Pasajeros[[#This Row],[Edad]]&lt;=50,"Adultos",INFO_Pasajeros[[#This Row],[Edad]]&gt;=51,"Adultos Mayores")</f>
        <v>Adultos Mayores</v>
      </c>
    </row>
    <row r="11" spans="1:27" x14ac:dyDescent="0.25">
      <c r="A11" s="3" t="s">
        <v>922</v>
      </c>
      <c r="B11" s="3" t="s">
        <v>902</v>
      </c>
      <c r="C11" s="3">
        <v>8</v>
      </c>
      <c r="D11" s="5">
        <v>57</v>
      </c>
      <c r="E11" s="3">
        <v>1</v>
      </c>
      <c r="F11" s="3">
        <v>3</v>
      </c>
      <c r="G11" s="3">
        <v>3</v>
      </c>
      <c r="H11" s="3">
        <v>0</v>
      </c>
      <c r="I11" s="3">
        <v>1601</v>
      </c>
      <c r="J11" s="13">
        <v>21.074999999999999</v>
      </c>
      <c r="K11" s="3" t="s">
        <v>2210</v>
      </c>
      <c r="L11" s="3" t="s">
        <v>905</v>
      </c>
      <c r="M11" t="str" cm="1">
        <f t="array" ref="M11">_xlfn.IFS(INFO_Pasajeros[[#This Row],[Edad]]&lt;=13,"Niños",INFO_Pasajeros[[#This Row],[Edad]]&lt;=18,"Jóvenes",INFO_Pasajeros[[#This Row],[Edad]]&lt;=50,"Adultos",INFO_Pasajeros[[#This Row],[Edad]]&gt;=51,"Adultos Mayores")</f>
        <v>Adultos Mayores</v>
      </c>
      <c r="N11" s="3"/>
    </row>
    <row r="12" spans="1:27" x14ac:dyDescent="0.25">
      <c r="A12" s="3" t="s">
        <v>923</v>
      </c>
      <c r="B12" s="3" t="s">
        <v>907</v>
      </c>
      <c r="C12" s="3">
        <v>9</v>
      </c>
      <c r="D12" s="5">
        <v>32</v>
      </c>
      <c r="E12" s="3">
        <v>2</v>
      </c>
      <c r="F12" s="3">
        <v>0</v>
      </c>
      <c r="G12" s="3">
        <v>3</v>
      </c>
      <c r="H12" s="3">
        <v>1</v>
      </c>
      <c r="I12" s="3">
        <v>1601</v>
      </c>
      <c r="J12" s="13">
        <v>111.333</v>
      </c>
      <c r="K12" s="3" t="s">
        <v>2210</v>
      </c>
      <c r="L12" s="3" t="s">
        <v>905</v>
      </c>
      <c r="M12" t="str" cm="1">
        <f t="array" ref="M12">_xlfn.IFS(INFO_Pasajeros[[#This Row],[Edad]]&lt;=13,"Niños",INFO_Pasajeros[[#This Row],[Edad]]&lt;=18,"Jóvenes",INFO_Pasajeros[[#This Row],[Edad]]&lt;=50,"Adultos",INFO_Pasajeros[[#This Row],[Edad]]&gt;=51,"Adultos Mayores")</f>
        <v>Adultos</v>
      </c>
    </row>
    <row r="13" spans="1:27" x14ac:dyDescent="0.25">
      <c r="A13" s="3" t="s">
        <v>924</v>
      </c>
      <c r="B13" s="3" t="s">
        <v>907</v>
      </c>
      <c r="C13" s="3">
        <v>10</v>
      </c>
      <c r="D13" s="5">
        <v>28</v>
      </c>
      <c r="E13" s="3">
        <v>0</v>
      </c>
      <c r="F13" s="3">
        <v>1</v>
      </c>
      <c r="G13" s="3">
        <v>2</v>
      </c>
      <c r="H13" s="3">
        <v>1</v>
      </c>
      <c r="I13" s="3">
        <v>2003</v>
      </c>
      <c r="J13" s="13">
        <v>300.70800000000003</v>
      </c>
      <c r="K13" s="3" t="s">
        <v>2210</v>
      </c>
      <c r="L13" s="3" t="s">
        <v>905</v>
      </c>
      <c r="M13" t="str" cm="1">
        <f t="array" ref="M13">_xlfn.IFS(INFO_Pasajeros[[#This Row],[Edad]]&lt;=13,"Niños",INFO_Pasajeros[[#This Row],[Edad]]&lt;=18,"Jóvenes",INFO_Pasajeros[[#This Row],[Edad]]&lt;=50,"Adultos",INFO_Pasajeros[[#This Row],[Edad]]&gt;=51,"Adultos Mayores")</f>
        <v>Adultos</v>
      </c>
    </row>
    <row r="14" spans="1:27" x14ac:dyDescent="0.25">
      <c r="A14" s="3" t="s">
        <v>925</v>
      </c>
      <c r="B14" s="3" t="s">
        <v>907</v>
      </c>
      <c r="C14" s="3">
        <v>11</v>
      </c>
      <c r="D14" s="5">
        <v>18</v>
      </c>
      <c r="E14" s="3">
        <v>1</v>
      </c>
      <c r="F14" s="3">
        <v>1</v>
      </c>
      <c r="G14" s="3">
        <v>3</v>
      </c>
      <c r="H14" s="3">
        <v>1</v>
      </c>
      <c r="I14" s="3">
        <v>2223</v>
      </c>
      <c r="J14" s="13">
        <v>16.7</v>
      </c>
      <c r="K14" s="3" t="s">
        <v>2210</v>
      </c>
      <c r="L14" s="3" t="s">
        <v>905</v>
      </c>
      <c r="M14" t="str" cm="1">
        <f t="array" ref="M14">_xlfn.IFS(INFO_Pasajeros[[#This Row],[Edad]]&lt;=13,"Niños",INFO_Pasajeros[[#This Row],[Edad]]&lt;=18,"Jóvenes",INFO_Pasajeros[[#This Row],[Edad]]&lt;=50,"Adultos",INFO_Pasajeros[[#This Row],[Edad]]&gt;=51,"Adultos Mayores")</f>
        <v>Jóvenes</v>
      </c>
    </row>
    <row r="15" spans="1:27" x14ac:dyDescent="0.25">
      <c r="A15" s="3" t="s">
        <v>929</v>
      </c>
      <c r="B15" s="3" t="s">
        <v>907</v>
      </c>
      <c r="C15" s="3">
        <v>12</v>
      </c>
      <c r="D15" s="5">
        <v>22</v>
      </c>
      <c r="E15" s="3">
        <v>0</v>
      </c>
      <c r="F15" s="3">
        <v>0</v>
      </c>
      <c r="G15" s="3">
        <v>1</v>
      </c>
      <c r="H15" s="3">
        <v>1</v>
      </c>
      <c r="I15" s="3">
        <v>2620</v>
      </c>
      <c r="J15" s="13">
        <v>26.55</v>
      </c>
      <c r="K15" s="3" t="s">
        <v>2210</v>
      </c>
      <c r="L15" s="3" t="s">
        <v>910</v>
      </c>
      <c r="M15" t="str" cm="1">
        <f t="array" ref="M15">_xlfn.IFS(INFO_Pasajeros[[#This Row],[Edad]]&lt;=13,"Niños",INFO_Pasajeros[[#This Row],[Edad]]&lt;=18,"Jóvenes",INFO_Pasajeros[[#This Row],[Edad]]&lt;=50,"Adultos",INFO_Pasajeros[[#This Row],[Edad]]&gt;=51,"Adultos Mayores")</f>
        <v>Adultos</v>
      </c>
    </row>
    <row r="16" spans="1:27" x14ac:dyDescent="0.25">
      <c r="A16" s="3" t="s">
        <v>932</v>
      </c>
      <c r="B16" s="3" t="s">
        <v>902</v>
      </c>
      <c r="C16" s="3">
        <v>13</v>
      </c>
      <c r="D16" s="5">
        <v>40</v>
      </c>
      <c r="E16" s="3">
        <v>0</v>
      </c>
      <c r="F16" s="3">
        <v>0</v>
      </c>
      <c r="G16" s="3">
        <v>3</v>
      </c>
      <c r="H16" s="3">
        <v>0</v>
      </c>
      <c r="I16" s="3">
        <v>2623</v>
      </c>
      <c r="J16" s="13">
        <v>8.0500000000000007</v>
      </c>
      <c r="K16" s="3" t="s">
        <v>2210</v>
      </c>
      <c r="L16" s="3" t="s">
        <v>910</v>
      </c>
      <c r="M16" t="str" cm="1">
        <f t="array" ref="M16">_xlfn.IFS(INFO_Pasajeros[[#This Row],[Edad]]&lt;=13,"Niños",INFO_Pasajeros[[#This Row],[Edad]]&lt;=18,"Jóvenes",INFO_Pasajeros[[#This Row],[Edad]]&lt;=50,"Adultos",INFO_Pasajeros[[#This Row],[Edad]]&gt;=51,"Adultos Mayores")</f>
        <v>Adultos</v>
      </c>
    </row>
    <row r="17" spans="1:13" x14ac:dyDescent="0.25">
      <c r="A17" s="3" t="s">
        <v>934</v>
      </c>
      <c r="B17" s="3" t="s">
        <v>902</v>
      </c>
      <c r="C17" s="3">
        <v>14</v>
      </c>
      <c r="D17" s="5">
        <v>59</v>
      </c>
      <c r="E17" s="3">
        <v>5</v>
      </c>
      <c r="F17" s="3">
        <v>1</v>
      </c>
      <c r="G17" s="3">
        <v>3</v>
      </c>
      <c r="H17" s="3">
        <v>0</v>
      </c>
      <c r="I17" s="3">
        <v>2624</v>
      </c>
      <c r="J17" s="13">
        <v>31.274999999999999</v>
      </c>
      <c r="K17" s="3" t="s">
        <v>2210</v>
      </c>
      <c r="L17" s="3" t="s">
        <v>910</v>
      </c>
      <c r="M17" t="str" cm="1">
        <f t="array" ref="M17">_xlfn.IFS(INFO_Pasajeros[[#This Row],[Edad]]&lt;=13,"Niños",INFO_Pasajeros[[#This Row],[Edad]]&lt;=18,"Jóvenes",INFO_Pasajeros[[#This Row],[Edad]]&lt;=50,"Adultos",INFO_Pasajeros[[#This Row],[Edad]]&gt;=51,"Adultos Mayores")</f>
        <v>Adultos Mayores</v>
      </c>
    </row>
    <row r="18" spans="1:13" x14ac:dyDescent="0.25">
      <c r="A18" s="3" t="s">
        <v>935</v>
      </c>
      <c r="B18" s="3" t="s">
        <v>907</v>
      </c>
      <c r="C18" s="3">
        <v>15</v>
      </c>
      <c r="D18" s="5">
        <v>1</v>
      </c>
      <c r="E18" s="3">
        <v>0</v>
      </c>
      <c r="F18" s="3">
        <v>0</v>
      </c>
      <c r="G18" s="3">
        <v>3</v>
      </c>
      <c r="H18" s="3">
        <v>0</v>
      </c>
      <c r="I18" s="3">
        <v>2625</v>
      </c>
      <c r="J18" s="13">
        <v>78.542000000000002</v>
      </c>
      <c r="K18" s="3" t="s">
        <v>2210</v>
      </c>
      <c r="L18" s="3" t="s">
        <v>910</v>
      </c>
      <c r="M18" t="str" cm="1">
        <f t="array" ref="M18">_xlfn.IFS(INFO_Pasajeros[[#This Row],[Edad]]&lt;=13,"Niños",INFO_Pasajeros[[#This Row],[Edad]]&lt;=18,"Jóvenes",INFO_Pasajeros[[#This Row],[Edad]]&lt;=50,"Adultos",INFO_Pasajeros[[#This Row],[Edad]]&gt;=51,"Adultos Mayores")</f>
        <v>Niños</v>
      </c>
    </row>
    <row r="19" spans="1:13" x14ac:dyDescent="0.25">
      <c r="A19" s="3" t="s">
        <v>936</v>
      </c>
      <c r="B19" s="3" t="s">
        <v>907</v>
      </c>
      <c r="C19" s="3">
        <v>16</v>
      </c>
      <c r="D19" s="5">
        <v>45</v>
      </c>
      <c r="E19" s="3">
        <v>0</v>
      </c>
      <c r="F19" s="3">
        <v>0</v>
      </c>
      <c r="G19" s="3">
        <v>2</v>
      </c>
      <c r="H19" s="3">
        <v>1</v>
      </c>
      <c r="I19" s="3">
        <v>2626</v>
      </c>
      <c r="J19" s="13">
        <v>16</v>
      </c>
      <c r="K19" s="3" t="s">
        <v>2210</v>
      </c>
      <c r="L19" s="3" t="s">
        <v>910</v>
      </c>
      <c r="M19" t="str" cm="1">
        <f t="array" ref="M19">_xlfn.IFS(INFO_Pasajeros[[#This Row],[Edad]]&lt;=13,"Niños",INFO_Pasajeros[[#This Row],[Edad]]&lt;=18,"Jóvenes",INFO_Pasajeros[[#This Row],[Edad]]&lt;=50,"Adultos",INFO_Pasajeros[[#This Row],[Edad]]&gt;=51,"Adultos Mayores")</f>
        <v>Adultos</v>
      </c>
    </row>
    <row r="20" spans="1:13" x14ac:dyDescent="0.25">
      <c r="A20" s="3" t="s">
        <v>937</v>
      </c>
      <c r="B20" s="3" t="s">
        <v>902</v>
      </c>
      <c r="C20" s="3">
        <v>17</v>
      </c>
      <c r="D20" s="5">
        <v>17</v>
      </c>
      <c r="E20" s="3">
        <v>1</v>
      </c>
      <c r="F20" s="3">
        <v>4</v>
      </c>
      <c r="G20" s="3">
        <v>3</v>
      </c>
      <c r="H20" s="3">
        <v>0</v>
      </c>
      <c r="I20" s="3">
        <v>2627</v>
      </c>
      <c r="J20" s="13">
        <v>29.125</v>
      </c>
      <c r="K20" s="3" t="s">
        <v>2210</v>
      </c>
      <c r="L20" s="3" t="s">
        <v>910</v>
      </c>
      <c r="M20" t="str" cm="1">
        <f t="array" ref="M20">_xlfn.IFS(INFO_Pasajeros[[#This Row],[Edad]]&lt;=13,"Niños",INFO_Pasajeros[[#This Row],[Edad]]&lt;=18,"Jóvenes",INFO_Pasajeros[[#This Row],[Edad]]&lt;=50,"Adultos",INFO_Pasajeros[[#This Row],[Edad]]&gt;=51,"Adultos Mayores")</f>
        <v>Jóvenes</v>
      </c>
    </row>
    <row r="21" spans="1:13" x14ac:dyDescent="0.25">
      <c r="A21" s="3" t="s">
        <v>938</v>
      </c>
      <c r="B21" s="3" t="s">
        <v>902</v>
      </c>
      <c r="C21" s="3">
        <v>18</v>
      </c>
      <c r="D21" s="5">
        <v>80</v>
      </c>
      <c r="E21" s="3">
        <v>0</v>
      </c>
      <c r="F21" s="3">
        <v>0</v>
      </c>
      <c r="G21" s="3">
        <v>2</v>
      </c>
      <c r="H21" s="3">
        <v>1</v>
      </c>
      <c r="I21" s="3">
        <v>2627</v>
      </c>
      <c r="J21" s="13">
        <v>13</v>
      </c>
      <c r="K21" s="3" t="s">
        <v>2210</v>
      </c>
      <c r="L21" s="3" t="s">
        <v>910</v>
      </c>
      <c r="M21" t="str" cm="1">
        <f t="array" ref="M21">_xlfn.IFS(INFO_Pasajeros[[#This Row],[Edad]]&lt;=13,"Niños",INFO_Pasajeros[[#This Row],[Edad]]&lt;=18,"Jóvenes",INFO_Pasajeros[[#This Row],[Edad]]&lt;=50,"Adultos",INFO_Pasajeros[[#This Row],[Edad]]&gt;=51,"Adultos Mayores")</f>
        <v>Adultos Mayores</v>
      </c>
    </row>
    <row r="22" spans="1:13" x14ac:dyDescent="0.25">
      <c r="A22" s="3" t="s">
        <v>939</v>
      </c>
      <c r="B22" s="3" t="s">
        <v>907</v>
      </c>
      <c r="C22" s="3">
        <v>19</v>
      </c>
      <c r="D22" s="5">
        <v>46</v>
      </c>
      <c r="E22" s="3">
        <v>0</v>
      </c>
      <c r="F22" s="3">
        <v>1</v>
      </c>
      <c r="G22" s="3">
        <v>3</v>
      </c>
      <c r="H22" s="3">
        <v>0</v>
      </c>
      <c r="I22" s="3">
        <v>2628</v>
      </c>
      <c r="J22" s="13">
        <v>18</v>
      </c>
      <c r="K22" s="3" t="s">
        <v>2210</v>
      </c>
      <c r="L22" s="3" t="s">
        <v>910</v>
      </c>
      <c r="M22" t="str" cm="1">
        <f t="array" ref="M22">_xlfn.IFS(INFO_Pasajeros[[#This Row],[Edad]]&lt;=13,"Niños",INFO_Pasajeros[[#This Row],[Edad]]&lt;=18,"Jóvenes",INFO_Pasajeros[[#This Row],[Edad]]&lt;=50,"Adultos",INFO_Pasajeros[[#This Row],[Edad]]&gt;=51,"Adultos Mayores")</f>
        <v>Adultos</v>
      </c>
    </row>
    <row r="23" spans="1:13" x14ac:dyDescent="0.25">
      <c r="A23" s="3" t="s">
        <v>940</v>
      </c>
      <c r="B23" s="3" t="s">
        <v>907</v>
      </c>
      <c r="C23" s="3">
        <v>20</v>
      </c>
      <c r="D23" s="5">
        <v>33</v>
      </c>
      <c r="E23" s="3">
        <v>0</v>
      </c>
      <c r="F23" s="3">
        <v>0</v>
      </c>
      <c r="G23" s="3">
        <v>3</v>
      </c>
      <c r="H23" s="3">
        <v>1</v>
      </c>
      <c r="I23" s="3">
        <v>2629</v>
      </c>
      <c r="J23" s="13">
        <v>7.2249999999999996</v>
      </c>
      <c r="K23" s="3" t="s">
        <v>2210</v>
      </c>
      <c r="L23" s="3" t="s">
        <v>910</v>
      </c>
      <c r="M23" t="str" cm="1">
        <f t="array" ref="M23">_xlfn.IFS(INFO_Pasajeros[[#This Row],[Edad]]&lt;=13,"Niños",INFO_Pasajeros[[#This Row],[Edad]]&lt;=18,"Jóvenes",INFO_Pasajeros[[#This Row],[Edad]]&lt;=50,"Adultos",INFO_Pasajeros[[#This Row],[Edad]]&gt;=51,"Adultos Mayores")</f>
        <v>Adultos</v>
      </c>
    </row>
    <row r="24" spans="1:13" x14ac:dyDescent="0.25">
      <c r="A24" s="3" t="s">
        <v>941</v>
      </c>
      <c r="B24" s="3" t="s">
        <v>902</v>
      </c>
      <c r="C24" s="3">
        <v>21</v>
      </c>
      <c r="D24" s="5">
        <v>75</v>
      </c>
      <c r="E24" s="3">
        <v>0</v>
      </c>
      <c r="F24" s="3">
        <v>0</v>
      </c>
      <c r="G24" s="3">
        <v>2</v>
      </c>
      <c r="H24" s="3">
        <v>0</v>
      </c>
      <c r="I24" s="3">
        <v>2631</v>
      </c>
      <c r="J24" s="13">
        <v>26</v>
      </c>
      <c r="K24" s="3" t="s">
        <v>2210</v>
      </c>
      <c r="L24" s="3" t="s">
        <v>910</v>
      </c>
      <c r="M24" t="str" cm="1">
        <f t="array" ref="M24">_xlfn.IFS(INFO_Pasajeros[[#This Row],[Edad]]&lt;=13,"Niños",INFO_Pasajeros[[#This Row],[Edad]]&lt;=18,"Jóvenes",INFO_Pasajeros[[#This Row],[Edad]]&lt;=50,"Adultos",INFO_Pasajeros[[#This Row],[Edad]]&gt;=51,"Adultos Mayores")</f>
        <v>Adultos Mayores</v>
      </c>
    </row>
    <row r="25" spans="1:13" x14ac:dyDescent="0.25">
      <c r="A25" s="3" t="s">
        <v>942</v>
      </c>
      <c r="B25" s="3" t="s">
        <v>902</v>
      </c>
      <c r="C25" s="3">
        <v>22</v>
      </c>
      <c r="D25" s="5">
        <v>52</v>
      </c>
      <c r="E25" s="3">
        <v>0</v>
      </c>
      <c r="F25" s="3">
        <v>0</v>
      </c>
      <c r="G25" s="3">
        <v>2</v>
      </c>
      <c r="H25" s="3">
        <v>1</v>
      </c>
      <c r="I25" s="3">
        <v>2641</v>
      </c>
      <c r="J25" s="13">
        <v>13</v>
      </c>
      <c r="K25" s="3" t="s">
        <v>2210</v>
      </c>
      <c r="L25" s="3" t="s">
        <v>910</v>
      </c>
      <c r="M25" t="str" cm="1">
        <f t="array" ref="M25">_xlfn.IFS(INFO_Pasajeros[[#This Row],[Edad]]&lt;=13,"Niños",INFO_Pasajeros[[#This Row],[Edad]]&lt;=18,"Jóvenes",INFO_Pasajeros[[#This Row],[Edad]]&lt;=50,"Adultos",INFO_Pasajeros[[#This Row],[Edad]]&gt;=51,"Adultos Mayores")</f>
        <v>Adultos Mayores</v>
      </c>
    </row>
    <row r="26" spans="1:13" x14ac:dyDescent="0.25">
      <c r="A26" s="3" t="s">
        <v>944</v>
      </c>
      <c r="B26" s="3" t="s">
        <v>907</v>
      </c>
      <c r="C26" s="3">
        <v>23</v>
      </c>
      <c r="D26" s="5">
        <v>4</v>
      </c>
      <c r="E26" s="3">
        <v>0</v>
      </c>
      <c r="F26" s="3">
        <v>0</v>
      </c>
      <c r="G26" s="3">
        <v>3</v>
      </c>
      <c r="H26" s="3">
        <v>1</v>
      </c>
      <c r="I26" s="3">
        <v>2647</v>
      </c>
      <c r="J26" s="13">
        <v>80.292000000000002</v>
      </c>
      <c r="K26" s="3" t="s">
        <v>2210</v>
      </c>
      <c r="L26" s="3" t="s">
        <v>910</v>
      </c>
      <c r="M26" t="str" cm="1">
        <f t="array" ref="M26">_xlfn.IFS(INFO_Pasajeros[[#This Row],[Edad]]&lt;=13,"Niños",INFO_Pasajeros[[#This Row],[Edad]]&lt;=18,"Jóvenes",INFO_Pasajeros[[#This Row],[Edad]]&lt;=50,"Adultos",INFO_Pasajeros[[#This Row],[Edad]]&gt;=51,"Adultos Mayores")</f>
        <v>Niños</v>
      </c>
    </row>
    <row r="27" spans="1:13" x14ac:dyDescent="0.25">
      <c r="A27" s="3" t="s">
        <v>945</v>
      </c>
      <c r="B27" s="3" t="s">
        <v>902</v>
      </c>
      <c r="C27" s="3">
        <v>24</v>
      </c>
      <c r="D27" s="5">
        <v>20</v>
      </c>
      <c r="E27" s="3">
        <v>0</v>
      </c>
      <c r="F27" s="3">
        <v>0</v>
      </c>
      <c r="G27" s="3">
        <v>1</v>
      </c>
      <c r="H27" s="3">
        <v>1</v>
      </c>
      <c r="I27" s="3">
        <v>2648</v>
      </c>
      <c r="J27" s="13">
        <v>35.5</v>
      </c>
      <c r="K27" s="3" t="s">
        <v>2210</v>
      </c>
      <c r="L27" s="3" t="s">
        <v>910</v>
      </c>
      <c r="M27" t="str" cm="1">
        <f t="array" ref="M27">_xlfn.IFS(INFO_Pasajeros[[#This Row],[Edad]]&lt;=13,"Niños",INFO_Pasajeros[[#This Row],[Edad]]&lt;=18,"Jóvenes",INFO_Pasajeros[[#This Row],[Edad]]&lt;=50,"Adultos",INFO_Pasajeros[[#This Row],[Edad]]&gt;=51,"Adultos Mayores")</f>
        <v>Adultos</v>
      </c>
    </row>
    <row r="28" spans="1:13" x14ac:dyDescent="0.25">
      <c r="A28" s="3" t="s">
        <v>948</v>
      </c>
      <c r="B28" s="3" t="s">
        <v>907</v>
      </c>
      <c r="C28" s="3">
        <v>25</v>
      </c>
      <c r="D28" s="5">
        <v>38</v>
      </c>
      <c r="E28" s="3">
        <v>1</v>
      </c>
      <c r="F28" s="3">
        <v>3</v>
      </c>
      <c r="G28" s="3">
        <v>3</v>
      </c>
      <c r="H28" s="3">
        <v>0</v>
      </c>
      <c r="I28" s="3">
        <v>2649</v>
      </c>
      <c r="J28" s="13">
        <v>21.074999999999999</v>
      </c>
      <c r="K28" s="3" t="s">
        <v>2210</v>
      </c>
      <c r="L28" s="3" t="s">
        <v>910</v>
      </c>
      <c r="M28" t="str" cm="1">
        <f t="array" ref="M28">_xlfn.IFS(INFO_Pasajeros[[#This Row],[Edad]]&lt;=13,"Niños",INFO_Pasajeros[[#This Row],[Edad]]&lt;=18,"Jóvenes",INFO_Pasajeros[[#This Row],[Edad]]&lt;=50,"Adultos",INFO_Pasajeros[[#This Row],[Edad]]&gt;=51,"Adultos Mayores")</f>
        <v>Adultos</v>
      </c>
    </row>
    <row r="29" spans="1:13" x14ac:dyDescent="0.25">
      <c r="A29" s="3" t="s">
        <v>949</v>
      </c>
      <c r="B29" s="3" t="s">
        <v>907</v>
      </c>
      <c r="C29" s="3">
        <v>26</v>
      </c>
      <c r="D29" s="5">
        <v>29</v>
      </c>
      <c r="E29" s="3">
        <v>5</v>
      </c>
      <c r="F29" s="3">
        <v>1</v>
      </c>
      <c r="G29" s="3">
        <v>3</v>
      </c>
      <c r="H29" s="3">
        <v>1</v>
      </c>
      <c r="I29" s="3">
        <v>2650</v>
      </c>
      <c r="J29" s="13">
        <v>313.875</v>
      </c>
      <c r="K29" s="3" t="s">
        <v>2210</v>
      </c>
      <c r="L29" s="3" t="s">
        <v>910</v>
      </c>
      <c r="M29" t="str" cm="1">
        <f t="array" ref="M29">_xlfn.IFS(INFO_Pasajeros[[#This Row],[Edad]]&lt;=13,"Niños",INFO_Pasajeros[[#This Row],[Edad]]&lt;=18,"Jóvenes",INFO_Pasajeros[[#This Row],[Edad]]&lt;=50,"Adultos",INFO_Pasajeros[[#This Row],[Edad]]&gt;=51,"Adultos Mayores")</f>
        <v>Adultos</v>
      </c>
    </row>
    <row r="30" spans="1:13" x14ac:dyDescent="0.25">
      <c r="A30" s="3" t="s">
        <v>950</v>
      </c>
      <c r="B30" s="3" t="s">
        <v>902</v>
      </c>
      <c r="C30" s="3">
        <v>27</v>
      </c>
      <c r="D30" s="5">
        <v>14</v>
      </c>
      <c r="E30" s="3">
        <v>0</v>
      </c>
      <c r="F30" s="3">
        <v>0</v>
      </c>
      <c r="G30" s="3">
        <v>3</v>
      </c>
      <c r="H30" s="3">
        <v>0</v>
      </c>
      <c r="I30" s="3">
        <v>2651</v>
      </c>
      <c r="J30" s="13">
        <v>7.2249999999999996</v>
      </c>
      <c r="K30" s="3" t="s">
        <v>2210</v>
      </c>
      <c r="L30" s="3" t="s">
        <v>910</v>
      </c>
      <c r="M30" t="str" cm="1">
        <f t="array" ref="M30">_xlfn.IFS(INFO_Pasajeros[[#This Row],[Edad]]&lt;=13,"Niños",INFO_Pasajeros[[#This Row],[Edad]]&lt;=18,"Jóvenes",INFO_Pasajeros[[#This Row],[Edad]]&lt;=50,"Adultos",INFO_Pasajeros[[#This Row],[Edad]]&gt;=51,"Adultos Mayores")</f>
        <v>Jóvenes</v>
      </c>
    </row>
    <row r="31" spans="1:13" x14ac:dyDescent="0.25">
      <c r="A31" s="3" t="s">
        <v>951</v>
      </c>
      <c r="B31" s="3" t="s">
        <v>902</v>
      </c>
      <c r="C31" s="3">
        <v>28</v>
      </c>
      <c r="D31" s="5">
        <v>12</v>
      </c>
      <c r="E31" s="3">
        <v>2</v>
      </c>
      <c r="F31" s="3">
        <v>3</v>
      </c>
      <c r="G31" s="3">
        <v>1</v>
      </c>
      <c r="H31" s="3">
        <v>0</v>
      </c>
      <c r="I31" s="3">
        <v>2651</v>
      </c>
      <c r="J31" s="13">
        <v>263</v>
      </c>
      <c r="K31" s="3" t="s">
        <v>2210</v>
      </c>
      <c r="L31" s="3" t="s">
        <v>910</v>
      </c>
      <c r="M31" t="str" cm="1">
        <f t="array" ref="M31">_xlfn.IFS(INFO_Pasajeros[[#This Row],[Edad]]&lt;=13,"Niños",INFO_Pasajeros[[#This Row],[Edad]]&lt;=18,"Jóvenes",INFO_Pasajeros[[#This Row],[Edad]]&lt;=50,"Adultos",INFO_Pasajeros[[#This Row],[Edad]]&gt;=51,"Adultos Mayores")</f>
        <v>Niños</v>
      </c>
    </row>
    <row r="32" spans="1:13" x14ac:dyDescent="0.25">
      <c r="A32" s="3" t="s">
        <v>953</v>
      </c>
      <c r="B32" s="3" t="s">
        <v>907</v>
      </c>
      <c r="C32" s="3">
        <v>29</v>
      </c>
      <c r="D32" s="5">
        <v>1</v>
      </c>
      <c r="E32" s="3">
        <v>0</v>
      </c>
      <c r="F32" s="3">
        <v>0</v>
      </c>
      <c r="G32" s="3">
        <v>3</v>
      </c>
      <c r="H32" s="3">
        <v>1</v>
      </c>
      <c r="I32" s="3">
        <v>2653</v>
      </c>
      <c r="J32" s="13">
        <v>78.792000000000002</v>
      </c>
      <c r="K32" s="3" t="s">
        <v>2210</v>
      </c>
      <c r="L32" s="3" t="s">
        <v>910</v>
      </c>
      <c r="M32" t="str" cm="1">
        <f t="array" ref="M32">_xlfn.IFS(INFO_Pasajeros[[#This Row],[Edad]]&lt;=13,"Niños",INFO_Pasajeros[[#This Row],[Edad]]&lt;=18,"Jóvenes",INFO_Pasajeros[[#This Row],[Edad]]&lt;=50,"Adultos",INFO_Pasajeros[[#This Row],[Edad]]&gt;=51,"Adultos Mayores")</f>
        <v>Niños</v>
      </c>
    </row>
    <row r="33" spans="1:13" x14ac:dyDescent="0.25">
      <c r="A33" s="3" t="s">
        <v>954</v>
      </c>
      <c r="B33" s="3" t="s">
        <v>902</v>
      </c>
      <c r="C33" s="3">
        <v>30</v>
      </c>
      <c r="D33" s="5">
        <v>20</v>
      </c>
      <c r="E33" s="3">
        <v>0</v>
      </c>
      <c r="F33" s="3">
        <v>0</v>
      </c>
      <c r="G33" s="3">
        <v>3</v>
      </c>
      <c r="H33" s="3">
        <v>0</v>
      </c>
      <c r="I33" s="3">
        <v>2653</v>
      </c>
      <c r="J33" s="13">
        <v>78.957999999999998</v>
      </c>
      <c r="K33" s="3" t="s">
        <v>2210</v>
      </c>
      <c r="L33" s="3" t="s">
        <v>910</v>
      </c>
      <c r="M33" t="str" cm="1">
        <f t="array" ref="M33">_xlfn.IFS(INFO_Pasajeros[[#This Row],[Edad]]&lt;=13,"Niños",INFO_Pasajeros[[#This Row],[Edad]]&lt;=18,"Jóvenes",INFO_Pasajeros[[#This Row],[Edad]]&lt;=50,"Adultos",INFO_Pasajeros[[#This Row],[Edad]]&gt;=51,"Adultos Mayores")</f>
        <v>Adultos</v>
      </c>
    </row>
    <row r="34" spans="1:13" x14ac:dyDescent="0.25">
      <c r="A34" s="3" t="s">
        <v>955</v>
      </c>
      <c r="B34" s="3" t="s">
        <v>902</v>
      </c>
      <c r="C34" s="3">
        <v>31</v>
      </c>
      <c r="D34" s="5">
        <v>27</v>
      </c>
      <c r="E34" s="3">
        <v>0</v>
      </c>
      <c r="F34" s="3">
        <v>0</v>
      </c>
      <c r="G34" s="3">
        <v>1</v>
      </c>
      <c r="H34" s="3">
        <v>0</v>
      </c>
      <c r="I34" s="3">
        <v>2659</v>
      </c>
      <c r="J34" s="13">
        <v>277.20800000000003</v>
      </c>
      <c r="K34" s="3" t="s">
        <v>2210</v>
      </c>
      <c r="L34" s="3" t="s">
        <v>910</v>
      </c>
      <c r="M34" t="str" cm="1">
        <f t="array" ref="M34">_xlfn.IFS(INFO_Pasajeros[[#This Row],[Edad]]&lt;=13,"Niños",INFO_Pasajeros[[#This Row],[Edad]]&lt;=18,"Jóvenes",INFO_Pasajeros[[#This Row],[Edad]]&lt;=50,"Adultos",INFO_Pasajeros[[#This Row],[Edad]]&gt;=51,"Adultos Mayores")</f>
        <v>Adultos</v>
      </c>
    </row>
    <row r="35" spans="1:13" x14ac:dyDescent="0.25">
      <c r="A35" s="3" t="s">
        <v>2250</v>
      </c>
      <c r="B35" s="3" t="s">
        <v>907</v>
      </c>
      <c r="C35" s="3">
        <v>32</v>
      </c>
      <c r="D35" s="5">
        <v>17</v>
      </c>
      <c r="E35" s="3">
        <v>0</v>
      </c>
      <c r="F35" s="3">
        <v>1</v>
      </c>
      <c r="G35" s="3">
        <v>1</v>
      </c>
      <c r="H35" s="3">
        <v>1</v>
      </c>
      <c r="I35" s="3">
        <v>2659</v>
      </c>
      <c r="J35" s="13">
        <v>146.52080000000001</v>
      </c>
      <c r="K35" s="3" t="s">
        <v>2210</v>
      </c>
      <c r="L35" s="3" t="s">
        <v>910</v>
      </c>
      <c r="M35" t="str" cm="1">
        <f t="array" ref="M35">_xlfn.IFS(INFO_Pasajeros[[#This Row],[Edad]]&lt;=13,"Niños",INFO_Pasajeros[[#This Row],[Edad]]&lt;=18,"Jóvenes",INFO_Pasajeros[[#This Row],[Edad]]&lt;=50,"Adultos",INFO_Pasajeros[[#This Row],[Edad]]&gt;=51,"Adultos Mayores")</f>
        <v>Jóvenes</v>
      </c>
    </row>
    <row r="36" spans="1:13" x14ac:dyDescent="0.25">
      <c r="A36" s="3" t="s">
        <v>960</v>
      </c>
      <c r="B36" s="3" t="s">
        <v>907</v>
      </c>
      <c r="C36" s="3">
        <v>33</v>
      </c>
      <c r="D36" s="5">
        <v>38</v>
      </c>
      <c r="E36" s="3">
        <v>0</v>
      </c>
      <c r="F36" s="3">
        <v>0</v>
      </c>
      <c r="G36" s="3">
        <v>3</v>
      </c>
      <c r="H36" s="3">
        <v>1</v>
      </c>
      <c r="I36" s="3">
        <v>2661</v>
      </c>
      <c r="J36" s="13">
        <v>7.75</v>
      </c>
      <c r="K36" s="3" t="s">
        <v>2210</v>
      </c>
      <c r="L36" s="3" t="s">
        <v>910</v>
      </c>
      <c r="M36" t="str" cm="1">
        <f t="array" ref="M36">_xlfn.IFS(INFO_Pasajeros[[#This Row],[Edad]]&lt;=13,"Niños",INFO_Pasajeros[[#This Row],[Edad]]&lt;=18,"Jóvenes",INFO_Pasajeros[[#This Row],[Edad]]&lt;=50,"Adultos",INFO_Pasajeros[[#This Row],[Edad]]&gt;=51,"Adultos Mayores")</f>
        <v>Adultos</v>
      </c>
    </row>
    <row r="37" spans="1:13" x14ac:dyDescent="0.25">
      <c r="A37" s="3" t="s">
        <v>962</v>
      </c>
      <c r="B37" s="3" t="s">
        <v>902</v>
      </c>
      <c r="C37" s="3">
        <v>34</v>
      </c>
      <c r="D37" s="5">
        <v>36</v>
      </c>
      <c r="E37" s="3">
        <v>0</v>
      </c>
      <c r="F37" s="3">
        <v>0</v>
      </c>
      <c r="G37" s="3">
        <v>2</v>
      </c>
      <c r="H37" s="3">
        <v>0</v>
      </c>
      <c r="I37" s="3">
        <v>2661</v>
      </c>
      <c r="J37" s="13">
        <v>10.5</v>
      </c>
      <c r="K37" s="3" t="s">
        <v>2210</v>
      </c>
      <c r="L37" s="3" t="s">
        <v>910</v>
      </c>
      <c r="M37" t="str" cm="1">
        <f t="array" ref="M37">_xlfn.IFS(INFO_Pasajeros[[#This Row],[Edad]]&lt;=13,"Niños",INFO_Pasajeros[[#This Row],[Edad]]&lt;=18,"Jóvenes",INFO_Pasajeros[[#This Row],[Edad]]&lt;=50,"Adultos",INFO_Pasajeros[[#This Row],[Edad]]&gt;=51,"Adultos Mayores")</f>
        <v>Adultos</v>
      </c>
    </row>
    <row r="38" spans="1:13" x14ac:dyDescent="0.25">
      <c r="A38" s="3" t="s">
        <v>965</v>
      </c>
      <c r="B38" s="3" t="s">
        <v>902</v>
      </c>
      <c r="C38" s="3">
        <v>35</v>
      </c>
      <c r="D38" s="5">
        <v>78</v>
      </c>
      <c r="E38" s="3">
        <v>0</v>
      </c>
      <c r="F38" s="3">
        <v>1</v>
      </c>
      <c r="G38" s="3">
        <v>1</v>
      </c>
      <c r="H38" s="3">
        <v>0</v>
      </c>
      <c r="I38" s="3">
        <v>2662</v>
      </c>
      <c r="J38" s="13">
        <v>821.70799999999997</v>
      </c>
      <c r="K38" s="3" t="s">
        <v>2210</v>
      </c>
      <c r="L38" s="3" t="s">
        <v>910</v>
      </c>
      <c r="M38" t="str" cm="1">
        <f t="array" ref="M38">_xlfn.IFS(INFO_Pasajeros[[#This Row],[Edad]]&lt;=13,"Niños",INFO_Pasajeros[[#This Row],[Edad]]&lt;=18,"Jóvenes",INFO_Pasajeros[[#This Row],[Edad]]&lt;=50,"Adultos",INFO_Pasajeros[[#This Row],[Edad]]&gt;=51,"Adultos Mayores")</f>
        <v>Adultos Mayores</v>
      </c>
    </row>
    <row r="39" spans="1:13" x14ac:dyDescent="0.25">
      <c r="A39" s="3" t="s">
        <v>967</v>
      </c>
      <c r="B39" s="3" t="s">
        <v>902</v>
      </c>
      <c r="C39" s="3">
        <v>36</v>
      </c>
      <c r="D39" s="5">
        <v>20</v>
      </c>
      <c r="E39" s="3">
        <v>0</v>
      </c>
      <c r="F39" s="3">
        <v>1</v>
      </c>
      <c r="G39" s="3">
        <v>1</v>
      </c>
      <c r="H39" s="3">
        <v>0</v>
      </c>
      <c r="I39" s="3">
        <v>2663</v>
      </c>
      <c r="J39" s="13">
        <v>52</v>
      </c>
      <c r="K39" s="3" t="s">
        <v>2210</v>
      </c>
      <c r="L39" s="3" t="s">
        <v>910</v>
      </c>
      <c r="M39" t="str" cm="1">
        <f t="array" ref="M39">_xlfn.IFS(INFO_Pasajeros[[#This Row],[Edad]]&lt;=13,"Niños",INFO_Pasajeros[[#This Row],[Edad]]&lt;=18,"Jóvenes",INFO_Pasajeros[[#This Row],[Edad]]&lt;=50,"Adultos",INFO_Pasajeros[[#This Row],[Edad]]&gt;=51,"Adultos Mayores")</f>
        <v>Adultos</v>
      </c>
    </row>
    <row r="40" spans="1:13" x14ac:dyDescent="0.25">
      <c r="A40" s="3" t="s">
        <v>968</v>
      </c>
      <c r="B40" s="3" t="s">
        <v>902</v>
      </c>
      <c r="C40" s="3">
        <v>37</v>
      </c>
      <c r="D40" s="5">
        <v>5</v>
      </c>
      <c r="E40" s="3">
        <v>0</v>
      </c>
      <c r="F40" s="3">
        <v>0</v>
      </c>
      <c r="G40" s="3">
        <v>3</v>
      </c>
      <c r="H40" s="3">
        <v>1</v>
      </c>
      <c r="I40" s="3">
        <v>2664</v>
      </c>
      <c r="J40" s="13">
        <v>72.292000000000002</v>
      </c>
      <c r="K40" s="3" t="s">
        <v>2210</v>
      </c>
      <c r="L40" s="3" t="s">
        <v>910</v>
      </c>
      <c r="M40" t="str" cm="1">
        <f t="array" ref="M40">_xlfn.IFS(INFO_Pasajeros[[#This Row],[Edad]]&lt;=13,"Niños",INFO_Pasajeros[[#This Row],[Edad]]&lt;=18,"Jóvenes",INFO_Pasajeros[[#This Row],[Edad]]&lt;=50,"Adultos",INFO_Pasajeros[[#This Row],[Edad]]&gt;=51,"Adultos Mayores")</f>
        <v>Niños</v>
      </c>
    </row>
    <row r="41" spans="1:13" x14ac:dyDescent="0.25">
      <c r="A41" s="3" t="s">
        <v>969</v>
      </c>
      <c r="B41" s="3" t="s">
        <v>902</v>
      </c>
      <c r="C41" s="3">
        <v>38</v>
      </c>
      <c r="D41" s="5">
        <v>15</v>
      </c>
      <c r="E41" s="3">
        <v>0</v>
      </c>
      <c r="F41" s="3">
        <v>0</v>
      </c>
      <c r="G41" s="3">
        <v>3</v>
      </c>
      <c r="H41" s="3">
        <v>0</v>
      </c>
      <c r="I41" s="3">
        <v>2665</v>
      </c>
      <c r="J41" s="13">
        <v>8.0500000000000007</v>
      </c>
      <c r="K41" s="3" t="s">
        <v>2210</v>
      </c>
      <c r="L41" s="3" t="s">
        <v>910</v>
      </c>
      <c r="M41" t="str" cm="1">
        <f t="array" ref="M41">_xlfn.IFS(INFO_Pasajeros[[#This Row],[Edad]]&lt;=13,"Niños",INFO_Pasajeros[[#This Row],[Edad]]&lt;=18,"Jóvenes",INFO_Pasajeros[[#This Row],[Edad]]&lt;=50,"Adultos",INFO_Pasajeros[[#This Row],[Edad]]&gt;=51,"Adultos Mayores")</f>
        <v>Jóvenes</v>
      </c>
    </row>
    <row r="42" spans="1:13" x14ac:dyDescent="0.25">
      <c r="A42" s="3" t="s">
        <v>971</v>
      </c>
      <c r="B42" s="3" t="s">
        <v>907</v>
      </c>
      <c r="C42" s="3">
        <v>39</v>
      </c>
      <c r="D42" s="5">
        <v>29</v>
      </c>
      <c r="E42" s="3">
        <v>0</v>
      </c>
      <c r="F42" s="3">
        <v>2</v>
      </c>
      <c r="G42" s="3">
        <v>3</v>
      </c>
      <c r="H42" s="3">
        <v>0</v>
      </c>
      <c r="I42" s="3">
        <v>2665</v>
      </c>
      <c r="J42" s="13">
        <v>18</v>
      </c>
      <c r="K42" s="3" t="s">
        <v>2210</v>
      </c>
      <c r="L42" s="3" t="s">
        <v>910</v>
      </c>
      <c r="M42" t="str" cm="1">
        <f t="array" ref="M42">_xlfn.IFS(INFO_Pasajeros[[#This Row],[Edad]]&lt;=13,"Niños",INFO_Pasajeros[[#This Row],[Edad]]&lt;=18,"Jóvenes",INFO_Pasajeros[[#This Row],[Edad]]&lt;=50,"Adultos",INFO_Pasajeros[[#This Row],[Edad]]&gt;=51,"Adultos Mayores")</f>
        <v>Adultos</v>
      </c>
    </row>
    <row r="43" spans="1:13" x14ac:dyDescent="0.25">
      <c r="A43" s="3" t="s">
        <v>972</v>
      </c>
      <c r="B43" s="3" t="s">
        <v>907</v>
      </c>
      <c r="C43" s="3">
        <v>40</v>
      </c>
      <c r="D43" s="5">
        <v>5</v>
      </c>
      <c r="E43" s="3">
        <v>0</v>
      </c>
      <c r="F43" s="3">
        <v>1</v>
      </c>
      <c r="G43" s="3">
        <v>3</v>
      </c>
      <c r="H43" s="3">
        <v>1</v>
      </c>
      <c r="I43" s="3">
        <v>2666</v>
      </c>
      <c r="J43" s="13">
        <v>112.417</v>
      </c>
      <c r="K43" s="3" t="s">
        <v>2210</v>
      </c>
      <c r="L43" s="3" t="s">
        <v>910</v>
      </c>
      <c r="M43" t="str" cm="1">
        <f t="array" ref="M43">_xlfn.IFS(INFO_Pasajeros[[#This Row],[Edad]]&lt;=13,"Niños",INFO_Pasajeros[[#This Row],[Edad]]&lt;=18,"Jóvenes",INFO_Pasajeros[[#This Row],[Edad]]&lt;=50,"Adultos",INFO_Pasajeros[[#This Row],[Edad]]&gt;=51,"Adultos Mayores")</f>
        <v>Niños</v>
      </c>
    </row>
    <row r="44" spans="1:13" x14ac:dyDescent="0.25">
      <c r="A44" s="3" t="s">
        <v>973</v>
      </c>
      <c r="B44" s="3" t="s">
        <v>907</v>
      </c>
      <c r="C44" s="3">
        <v>41</v>
      </c>
      <c r="D44" s="5">
        <v>1</v>
      </c>
      <c r="E44" s="3">
        <v>0</v>
      </c>
      <c r="F44" s="3">
        <v>1</v>
      </c>
      <c r="G44" s="3">
        <v>3</v>
      </c>
      <c r="H44" s="3">
        <v>0</v>
      </c>
      <c r="I44" s="3">
        <v>2666</v>
      </c>
      <c r="J44" s="13">
        <v>9.4749999999999996</v>
      </c>
      <c r="K44" s="3" t="s">
        <v>2210</v>
      </c>
      <c r="L44" s="3" t="s">
        <v>910</v>
      </c>
      <c r="M44" t="str" cm="1">
        <f t="array" ref="M44">_xlfn.IFS(INFO_Pasajeros[[#This Row],[Edad]]&lt;=13,"Niños",INFO_Pasajeros[[#This Row],[Edad]]&lt;=18,"Jóvenes",INFO_Pasajeros[[#This Row],[Edad]]&lt;=50,"Adultos",INFO_Pasajeros[[#This Row],[Edad]]&gt;=51,"Adultos Mayores")</f>
        <v>Niños</v>
      </c>
    </row>
    <row r="45" spans="1:13" x14ac:dyDescent="0.25">
      <c r="A45" s="3" t="s">
        <v>974</v>
      </c>
      <c r="B45" s="3" t="s">
        <v>907</v>
      </c>
      <c r="C45" s="3">
        <v>42</v>
      </c>
      <c r="D45" s="5">
        <v>1</v>
      </c>
      <c r="E45" s="3">
        <v>0</v>
      </c>
      <c r="F45" s="3">
        <v>1</v>
      </c>
      <c r="G45" s="3">
        <v>2</v>
      </c>
      <c r="H45" s="3">
        <v>0</v>
      </c>
      <c r="I45" s="3">
        <v>2666</v>
      </c>
      <c r="J45" s="13">
        <v>21</v>
      </c>
      <c r="K45" s="3" t="s">
        <v>2210</v>
      </c>
      <c r="L45" s="3" t="s">
        <v>910</v>
      </c>
      <c r="M45" t="str" cm="1">
        <f t="array" ref="M45">_xlfn.IFS(INFO_Pasajeros[[#This Row],[Edad]]&lt;=13,"Niños",INFO_Pasajeros[[#This Row],[Edad]]&lt;=18,"Jóvenes",INFO_Pasajeros[[#This Row],[Edad]]&lt;=50,"Adultos",INFO_Pasajeros[[#This Row],[Edad]]&gt;=51,"Adultos Mayores")</f>
        <v>Niños</v>
      </c>
    </row>
    <row r="46" spans="1:13" x14ac:dyDescent="0.25">
      <c r="A46" s="3" t="s">
        <v>975</v>
      </c>
      <c r="B46" s="3" t="s">
        <v>902</v>
      </c>
      <c r="C46" s="3">
        <v>43</v>
      </c>
      <c r="D46" s="5">
        <v>24</v>
      </c>
      <c r="E46" s="3">
        <v>0</v>
      </c>
      <c r="F46" s="3">
        <v>0</v>
      </c>
      <c r="G46" s="3">
        <v>3</v>
      </c>
      <c r="H46" s="3">
        <v>0</v>
      </c>
      <c r="I46" s="3">
        <v>2666</v>
      </c>
      <c r="J46" s="13">
        <v>78.957999999999998</v>
      </c>
      <c r="K46" s="3" t="s">
        <v>2210</v>
      </c>
      <c r="L46" s="3" t="s">
        <v>910</v>
      </c>
      <c r="M46" t="str" cm="1">
        <f t="array" ref="M46">_xlfn.IFS(INFO_Pasajeros[[#This Row],[Edad]]&lt;=13,"Niños",INFO_Pasajeros[[#This Row],[Edad]]&lt;=18,"Jóvenes",INFO_Pasajeros[[#This Row],[Edad]]&lt;=50,"Adultos",INFO_Pasajeros[[#This Row],[Edad]]&gt;=51,"Adultos Mayores")</f>
        <v>Adultos</v>
      </c>
    </row>
    <row r="47" spans="1:13" x14ac:dyDescent="0.25">
      <c r="A47" s="3" t="s">
        <v>976</v>
      </c>
      <c r="B47" s="3" t="s">
        <v>907</v>
      </c>
      <c r="C47" s="3">
        <v>44</v>
      </c>
      <c r="D47" s="5">
        <v>15</v>
      </c>
      <c r="E47" s="3">
        <v>2</v>
      </c>
      <c r="F47" s="3">
        <v>1</v>
      </c>
      <c r="G47" s="3">
        <v>2</v>
      </c>
      <c r="H47" s="3">
        <v>1</v>
      </c>
      <c r="I47" s="3">
        <v>2667</v>
      </c>
      <c r="J47" s="13">
        <v>415.79199999999997</v>
      </c>
      <c r="K47" s="3" t="s">
        <v>2210</v>
      </c>
      <c r="L47" s="3" t="s">
        <v>910</v>
      </c>
      <c r="M47" t="str" cm="1">
        <f t="array" ref="M47">_xlfn.IFS(INFO_Pasajeros[[#This Row],[Edad]]&lt;=13,"Niños",INFO_Pasajeros[[#This Row],[Edad]]&lt;=18,"Jóvenes",INFO_Pasajeros[[#This Row],[Edad]]&lt;=50,"Adultos",INFO_Pasajeros[[#This Row],[Edad]]&gt;=51,"Adultos Mayores")</f>
        <v>Jóvenes</v>
      </c>
    </row>
    <row r="48" spans="1:13" x14ac:dyDescent="0.25">
      <c r="A48" s="3" t="s">
        <v>978</v>
      </c>
      <c r="B48" s="3" t="s">
        <v>907</v>
      </c>
      <c r="C48" s="3">
        <v>45</v>
      </c>
      <c r="D48" s="5">
        <v>8</v>
      </c>
      <c r="E48" s="3">
        <v>0</v>
      </c>
      <c r="F48" s="3">
        <v>0</v>
      </c>
      <c r="G48" s="3">
        <v>3</v>
      </c>
      <c r="H48" s="3">
        <v>1</v>
      </c>
      <c r="I48" s="3">
        <v>2668</v>
      </c>
      <c r="J48" s="13">
        <v>78.792000000000002</v>
      </c>
      <c r="K48" s="3" t="s">
        <v>1116</v>
      </c>
      <c r="L48" s="3" t="s">
        <v>910</v>
      </c>
      <c r="M48" t="str" cm="1">
        <f t="array" ref="M48">_xlfn.IFS(INFO_Pasajeros[[#This Row],[Edad]]&lt;=13,"Niños",INFO_Pasajeros[[#This Row],[Edad]]&lt;=18,"Jóvenes",INFO_Pasajeros[[#This Row],[Edad]]&lt;=50,"Adultos",INFO_Pasajeros[[#This Row],[Edad]]&gt;=51,"Adultos Mayores")</f>
        <v>Niños</v>
      </c>
    </row>
    <row r="49" spans="1:13" x14ac:dyDescent="0.25">
      <c r="A49" s="3" t="s">
        <v>979</v>
      </c>
      <c r="B49" s="3" t="s">
        <v>902</v>
      </c>
      <c r="C49" s="3">
        <v>46</v>
      </c>
      <c r="D49" s="5">
        <v>7</v>
      </c>
      <c r="E49" s="3">
        <v>0</v>
      </c>
      <c r="F49" s="3">
        <v>0</v>
      </c>
      <c r="G49" s="3">
        <v>3</v>
      </c>
      <c r="H49" s="3">
        <v>0</v>
      </c>
      <c r="I49" s="3">
        <v>2668</v>
      </c>
      <c r="J49" s="13">
        <v>8.0500000000000007</v>
      </c>
      <c r="K49" s="3" t="s">
        <v>2210</v>
      </c>
      <c r="L49" s="3" t="s">
        <v>910</v>
      </c>
      <c r="M49" t="str" cm="1">
        <f t="array" ref="M49">_xlfn.IFS(INFO_Pasajeros[[#This Row],[Edad]]&lt;=13,"Niños",INFO_Pasajeros[[#This Row],[Edad]]&lt;=18,"Jóvenes",INFO_Pasajeros[[#This Row],[Edad]]&lt;=50,"Adultos",INFO_Pasajeros[[#This Row],[Edad]]&gt;=51,"Adultos Mayores")</f>
        <v>Niños</v>
      </c>
    </row>
    <row r="50" spans="1:13" x14ac:dyDescent="0.25">
      <c r="A50" s="3" t="s">
        <v>981</v>
      </c>
      <c r="B50" s="3" t="s">
        <v>902</v>
      </c>
      <c r="C50" s="3">
        <v>47</v>
      </c>
      <c r="D50" s="5">
        <v>22</v>
      </c>
      <c r="E50" s="3">
        <v>0</v>
      </c>
      <c r="F50" s="3">
        <v>1</v>
      </c>
      <c r="G50" s="3">
        <v>3</v>
      </c>
      <c r="H50" s="3">
        <v>0</v>
      </c>
      <c r="I50" s="3">
        <v>2669</v>
      </c>
      <c r="J50" s="13">
        <v>15.5</v>
      </c>
      <c r="K50" s="3" t="s">
        <v>2210</v>
      </c>
      <c r="L50" s="3" t="s">
        <v>910</v>
      </c>
      <c r="M50" t="str" cm="1">
        <f t="array" ref="M50">_xlfn.IFS(INFO_Pasajeros[[#This Row],[Edad]]&lt;=13,"Niños",INFO_Pasajeros[[#This Row],[Edad]]&lt;=18,"Jóvenes",INFO_Pasajeros[[#This Row],[Edad]]&lt;=50,"Adultos",INFO_Pasajeros[[#This Row],[Edad]]&gt;=51,"Adultos Mayores")</f>
        <v>Adultos</v>
      </c>
    </row>
    <row r="51" spans="1:13" x14ac:dyDescent="0.25">
      <c r="A51" s="3" t="s">
        <v>983</v>
      </c>
      <c r="B51" s="3" t="s">
        <v>907</v>
      </c>
      <c r="C51" s="3">
        <v>48</v>
      </c>
      <c r="D51" s="5">
        <v>38</v>
      </c>
      <c r="E51" s="3">
        <v>0</v>
      </c>
      <c r="F51" s="3">
        <v>0</v>
      </c>
      <c r="G51" s="3">
        <v>3</v>
      </c>
      <c r="H51" s="3">
        <v>1</v>
      </c>
      <c r="I51" s="3">
        <v>2671</v>
      </c>
      <c r="J51" s="13">
        <v>7.75</v>
      </c>
      <c r="K51" s="3" t="s">
        <v>2210</v>
      </c>
      <c r="L51" s="3" t="s">
        <v>910</v>
      </c>
      <c r="M51" t="str" cm="1">
        <f t="array" ref="M51">_xlfn.IFS(INFO_Pasajeros[[#This Row],[Edad]]&lt;=13,"Niños",INFO_Pasajeros[[#This Row],[Edad]]&lt;=18,"Jóvenes",INFO_Pasajeros[[#This Row],[Edad]]&lt;=50,"Adultos",INFO_Pasajeros[[#This Row],[Edad]]&gt;=51,"Adultos Mayores")</f>
        <v>Adultos</v>
      </c>
    </row>
    <row r="52" spans="1:13" x14ac:dyDescent="0.25">
      <c r="A52" s="3" t="s">
        <v>984</v>
      </c>
      <c r="B52" s="3" t="s">
        <v>902</v>
      </c>
      <c r="C52" s="3">
        <v>49</v>
      </c>
      <c r="D52" s="5">
        <v>25</v>
      </c>
      <c r="E52" s="3">
        <v>0</v>
      </c>
      <c r="F52" s="3">
        <v>2</v>
      </c>
      <c r="G52" s="3">
        <v>3</v>
      </c>
      <c r="H52" s="3">
        <v>0</v>
      </c>
      <c r="I52" s="3">
        <v>2672</v>
      </c>
      <c r="J52" s="13">
        <v>216.792</v>
      </c>
      <c r="K52" s="3" t="s">
        <v>2210</v>
      </c>
      <c r="L52" s="3" t="s">
        <v>910</v>
      </c>
      <c r="M52" t="str" cm="1">
        <f t="array" ref="M52">_xlfn.IFS(INFO_Pasajeros[[#This Row],[Edad]]&lt;=13,"Niños",INFO_Pasajeros[[#This Row],[Edad]]&lt;=18,"Jóvenes",INFO_Pasajeros[[#This Row],[Edad]]&lt;=50,"Adultos",INFO_Pasajeros[[#This Row],[Edad]]&gt;=51,"Adultos Mayores")</f>
        <v>Adultos</v>
      </c>
    </row>
    <row r="53" spans="1:13" x14ac:dyDescent="0.25">
      <c r="A53" s="3" t="s">
        <v>985</v>
      </c>
      <c r="B53" s="3" t="s">
        <v>907</v>
      </c>
      <c r="C53" s="3">
        <v>50</v>
      </c>
      <c r="D53" s="5">
        <v>51</v>
      </c>
      <c r="E53" s="3">
        <v>0</v>
      </c>
      <c r="F53" s="3">
        <v>1</v>
      </c>
      <c r="G53" s="3">
        <v>3</v>
      </c>
      <c r="H53" s="3">
        <v>0</v>
      </c>
      <c r="I53" s="3">
        <v>2674</v>
      </c>
      <c r="J53" s="13">
        <v>17.8</v>
      </c>
      <c r="K53" s="3" t="s">
        <v>2210</v>
      </c>
      <c r="L53" s="3" t="s">
        <v>910</v>
      </c>
      <c r="M53" t="str" cm="1">
        <f t="array" ref="M53">_xlfn.IFS(INFO_Pasajeros[[#This Row],[Edad]]&lt;=13,"Niños",INFO_Pasajeros[[#This Row],[Edad]]&lt;=18,"Jóvenes",INFO_Pasajeros[[#This Row],[Edad]]&lt;=50,"Adultos",INFO_Pasajeros[[#This Row],[Edad]]&gt;=51,"Adultos Mayores")</f>
        <v>Adultos Mayores</v>
      </c>
    </row>
    <row r="54" spans="1:13" x14ac:dyDescent="0.25">
      <c r="A54" s="3" t="s">
        <v>987</v>
      </c>
      <c r="B54" s="3" t="s">
        <v>902</v>
      </c>
      <c r="C54" s="3">
        <v>51</v>
      </c>
      <c r="D54" s="5">
        <v>69</v>
      </c>
      <c r="E54" s="3">
        <v>1</v>
      </c>
      <c r="F54" s="3">
        <v>4</v>
      </c>
      <c r="G54" s="3">
        <v>3</v>
      </c>
      <c r="H54" s="3">
        <v>0</v>
      </c>
      <c r="I54" s="3">
        <v>2677</v>
      </c>
      <c r="J54" s="13">
        <v>396.875</v>
      </c>
      <c r="K54" s="3" t="s">
        <v>2210</v>
      </c>
      <c r="L54" s="3" t="s">
        <v>910</v>
      </c>
      <c r="M54" t="str" cm="1">
        <f t="array" ref="M54">_xlfn.IFS(INFO_Pasajeros[[#This Row],[Edad]]&lt;=13,"Niños",INFO_Pasajeros[[#This Row],[Edad]]&lt;=18,"Jóvenes",INFO_Pasajeros[[#This Row],[Edad]]&lt;=50,"Adultos",INFO_Pasajeros[[#This Row],[Edad]]&gt;=51,"Adultos Mayores")</f>
        <v>Adultos Mayores</v>
      </c>
    </row>
    <row r="55" spans="1:13" x14ac:dyDescent="0.25">
      <c r="A55" s="3" t="s">
        <v>988</v>
      </c>
      <c r="B55" s="3" t="s">
        <v>902</v>
      </c>
      <c r="C55" s="3">
        <v>52</v>
      </c>
      <c r="D55" s="5">
        <v>74</v>
      </c>
      <c r="E55" s="3">
        <v>0</v>
      </c>
      <c r="F55" s="3">
        <v>0</v>
      </c>
      <c r="G55" s="3">
        <v>3</v>
      </c>
      <c r="H55" s="3">
        <v>0</v>
      </c>
      <c r="I55" s="3">
        <v>2678</v>
      </c>
      <c r="J55" s="13">
        <v>7.8</v>
      </c>
      <c r="K55" s="3" t="s">
        <v>2210</v>
      </c>
      <c r="L55" s="3" t="s">
        <v>910</v>
      </c>
      <c r="M55" t="str" cm="1">
        <f t="array" ref="M55">_xlfn.IFS(INFO_Pasajeros[[#This Row],[Edad]]&lt;=13,"Niños",INFO_Pasajeros[[#This Row],[Edad]]&lt;=18,"Jóvenes",INFO_Pasajeros[[#This Row],[Edad]]&lt;=50,"Adultos",INFO_Pasajeros[[#This Row],[Edad]]&gt;=51,"Adultos Mayores")</f>
        <v>Adultos Mayores</v>
      </c>
    </row>
    <row r="56" spans="1:13" x14ac:dyDescent="0.25">
      <c r="A56" s="3" t="s">
        <v>991</v>
      </c>
      <c r="B56" s="3" t="s">
        <v>907</v>
      </c>
      <c r="C56" s="3">
        <v>53</v>
      </c>
      <c r="D56" s="5">
        <v>9</v>
      </c>
      <c r="E56" s="3">
        <v>0</v>
      </c>
      <c r="F56" s="3">
        <v>1</v>
      </c>
      <c r="G56" s="3">
        <v>1</v>
      </c>
      <c r="H56" s="3">
        <v>1</v>
      </c>
      <c r="I56" s="3">
        <v>2678</v>
      </c>
      <c r="J56" s="13">
        <v>767.29200000000003</v>
      </c>
      <c r="K56" s="3" t="s">
        <v>2210</v>
      </c>
      <c r="L56" s="3" t="s">
        <v>910</v>
      </c>
      <c r="M56" t="str" cm="1">
        <f t="array" ref="M56">_xlfn.IFS(INFO_Pasajeros[[#This Row],[Edad]]&lt;=13,"Niños",INFO_Pasajeros[[#This Row],[Edad]]&lt;=18,"Jóvenes",INFO_Pasajeros[[#This Row],[Edad]]&lt;=50,"Adultos",INFO_Pasajeros[[#This Row],[Edad]]&gt;=51,"Adultos Mayores")</f>
        <v>Niños</v>
      </c>
    </row>
    <row r="57" spans="1:13" x14ac:dyDescent="0.25">
      <c r="A57" s="3" t="s">
        <v>994</v>
      </c>
      <c r="B57" s="3" t="s">
        <v>907</v>
      </c>
      <c r="C57" s="3">
        <v>54</v>
      </c>
      <c r="D57" s="5">
        <v>26</v>
      </c>
      <c r="E57" s="3">
        <v>0</v>
      </c>
      <c r="F57" s="3">
        <v>1</v>
      </c>
      <c r="G57" s="3">
        <v>2</v>
      </c>
      <c r="H57" s="3">
        <v>1</v>
      </c>
      <c r="I57" s="3">
        <v>2680</v>
      </c>
      <c r="J57" s="13">
        <v>26</v>
      </c>
      <c r="K57" s="3" t="s">
        <v>2210</v>
      </c>
      <c r="L57" s="3" t="s">
        <v>910</v>
      </c>
      <c r="M57" t="str" cm="1">
        <f t="array" ref="M57">_xlfn.IFS(INFO_Pasajeros[[#This Row],[Edad]]&lt;=13,"Niños",INFO_Pasajeros[[#This Row],[Edad]]&lt;=18,"Jóvenes",INFO_Pasajeros[[#This Row],[Edad]]&lt;=50,"Adultos",INFO_Pasajeros[[#This Row],[Edad]]&gt;=51,"Adultos Mayores")</f>
        <v>Adultos</v>
      </c>
    </row>
    <row r="58" spans="1:13" x14ac:dyDescent="0.25">
      <c r="A58" s="3" t="s">
        <v>995</v>
      </c>
      <c r="B58" s="3" t="s">
        <v>902</v>
      </c>
      <c r="C58" s="3">
        <v>55</v>
      </c>
      <c r="D58" s="5">
        <v>35</v>
      </c>
      <c r="E58" s="3">
        <v>1</v>
      </c>
      <c r="F58" s="3">
        <v>0</v>
      </c>
      <c r="G58" s="3">
        <v>1</v>
      </c>
      <c r="H58" s="3">
        <v>0</v>
      </c>
      <c r="I58" s="3">
        <v>2683</v>
      </c>
      <c r="J58" s="13">
        <v>619.79200000000003</v>
      </c>
      <c r="K58" s="3" t="s">
        <v>2210</v>
      </c>
      <c r="L58" s="3" t="s">
        <v>910</v>
      </c>
      <c r="M58" t="str" cm="1">
        <f t="array" ref="M58">_xlfn.IFS(INFO_Pasajeros[[#This Row],[Edad]]&lt;=13,"Niños",INFO_Pasajeros[[#This Row],[Edad]]&lt;=18,"Jóvenes",INFO_Pasajeros[[#This Row],[Edad]]&lt;=50,"Adultos",INFO_Pasajeros[[#This Row],[Edad]]&gt;=51,"Adultos Mayores")</f>
        <v>Adultos</v>
      </c>
    </row>
    <row r="59" spans="1:13" x14ac:dyDescent="0.25">
      <c r="A59" s="3" t="s">
        <v>997</v>
      </c>
      <c r="B59" s="3" t="s">
        <v>902</v>
      </c>
      <c r="C59" s="3">
        <v>56</v>
      </c>
      <c r="D59" s="5">
        <v>30</v>
      </c>
      <c r="E59" s="3">
        <v>0</v>
      </c>
      <c r="F59" s="3">
        <v>0</v>
      </c>
      <c r="G59" s="3">
        <v>1</v>
      </c>
      <c r="H59" s="3">
        <v>1</v>
      </c>
      <c r="I59" s="3">
        <v>2685</v>
      </c>
      <c r="J59" s="13">
        <v>35.5</v>
      </c>
      <c r="K59" s="3" t="s">
        <v>2210</v>
      </c>
      <c r="L59" s="3" t="s">
        <v>910</v>
      </c>
      <c r="M59" t="str" cm="1">
        <f t="array" ref="M59">_xlfn.IFS(INFO_Pasajeros[[#This Row],[Edad]]&lt;=13,"Niños",INFO_Pasajeros[[#This Row],[Edad]]&lt;=18,"Jóvenes",INFO_Pasajeros[[#This Row],[Edad]]&lt;=50,"Adultos",INFO_Pasajeros[[#This Row],[Edad]]&gt;=51,"Adultos Mayores")</f>
        <v>Adultos</v>
      </c>
    </row>
    <row r="60" spans="1:13" x14ac:dyDescent="0.25">
      <c r="A60" s="3" t="s">
        <v>999</v>
      </c>
      <c r="B60" s="3" t="s">
        <v>907</v>
      </c>
      <c r="C60" s="3">
        <v>57</v>
      </c>
      <c r="D60" s="5">
        <v>11</v>
      </c>
      <c r="E60" s="3">
        <v>0</v>
      </c>
      <c r="F60" s="3">
        <v>0</v>
      </c>
      <c r="G60" s="3">
        <v>2</v>
      </c>
      <c r="H60" s="3">
        <v>1</v>
      </c>
      <c r="I60" s="3">
        <v>2686</v>
      </c>
      <c r="J60" s="13">
        <v>10.5</v>
      </c>
      <c r="K60" s="3" t="s">
        <v>2210</v>
      </c>
      <c r="L60" s="3" t="s">
        <v>910</v>
      </c>
      <c r="M60" t="str" cm="1">
        <f t="array" ref="M60">_xlfn.IFS(INFO_Pasajeros[[#This Row],[Edad]]&lt;=13,"Niños",INFO_Pasajeros[[#This Row],[Edad]]&lt;=18,"Jóvenes",INFO_Pasajeros[[#This Row],[Edad]]&lt;=50,"Adultos",INFO_Pasajeros[[#This Row],[Edad]]&gt;=51,"Adultos Mayores")</f>
        <v>Niños</v>
      </c>
    </row>
    <row r="61" spans="1:13" x14ac:dyDescent="0.25">
      <c r="A61" s="3" t="s">
        <v>1001</v>
      </c>
      <c r="B61" s="3" t="s">
        <v>902</v>
      </c>
      <c r="C61" s="3">
        <v>58</v>
      </c>
      <c r="D61" s="5">
        <v>13</v>
      </c>
      <c r="E61" s="3">
        <v>0</v>
      </c>
      <c r="F61" s="3">
        <v>0</v>
      </c>
      <c r="G61" s="3">
        <v>3</v>
      </c>
      <c r="H61" s="3">
        <v>0</v>
      </c>
      <c r="I61" s="3">
        <v>2687</v>
      </c>
      <c r="J61" s="13">
        <v>72.292000000000002</v>
      </c>
      <c r="K61" s="3" t="s">
        <v>2210</v>
      </c>
      <c r="L61" s="3" t="s">
        <v>910</v>
      </c>
      <c r="M61" t="str" cm="1">
        <f t="array" ref="M61">_xlfn.IFS(INFO_Pasajeros[[#This Row],[Edad]]&lt;=13,"Niños",INFO_Pasajeros[[#This Row],[Edad]]&lt;=18,"Jóvenes",INFO_Pasajeros[[#This Row],[Edad]]&lt;=50,"Adultos",INFO_Pasajeros[[#This Row],[Edad]]&gt;=51,"Adultos Mayores")</f>
        <v>Niños</v>
      </c>
    </row>
    <row r="62" spans="1:13" x14ac:dyDescent="0.25">
      <c r="A62" s="3" t="s">
        <v>1003</v>
      </c>
      <c r="B62" s="3" t="s">
        <v>907</v>
      </c>
      <c r="C62" s="3">
        <v>59</v>
      </c>
      <c r="D62" s="5">
        <v>13</v>
      </c>
      <c r="E62" s="3">
        <v>2</v>
      </c>
      <c r="F62" s="3">
        <v>1</v>
      </c>
      <c r="G62" s="3">
        <v>2</v>
      </c>
      <c r="H62" s="3">
        <v>1</v>
      </c>
      <c r="I62" s="3">
        <v>2689</v>
      </c>
      <c r="J62" s="13">
        <v>27.75</v>
      </c>
      <c r="K62" s="3" t="s">
        <v>2210</v>
      </c>
      <c r="L62" s="3" t="s">
        <v>910</v>
      </c>
      <c r="M62" t="str" cm="1">
        <f t="array" ref="M62">_xlfn.IFS(INFO_Pasajeros[[#This Row],[Edad]]&lt;=13,"Niños",INFO_Pasajeros[[#This Row],[Edad]]&lt;=18,"Jóvenes",INFO_Pasajeros[[#This Row],[Edad]]&lt;=50,"Adultos",INFO_Pasajeros[[#This Row],[Edad]]&gt;=51,"Adultos Mayores")</f>
        <v>Niños</v>
      </c>
    </row>
    <row r="63" spans="1:13" x14ac:dyDescent="0.25">
      <c r="A63" s="3" t="s">
        <v>1006</v>
      </c>
      <c r="B63" s="3" t="s">
        <v>902</v>
      </c>
      <c r="C63" s="3">
        <v>60</v>
      </c>
      <c r="D63" s="5">
        <v>17</v>
      </c>
      <c r="E63" s="3">
        <v>2</v>
      </c>
      <c r="F63" s="3">
        <v>5</v>
      </c>
      <c r="G63" s="3">
        <v>3</v>
      </c>
      <c r="H63" s="3">
        <v>0</v>
      </c>
      <c r="I63" s="3">
        <v>2690</v>
      </c>
      <c r="J63" s="13">
        <v>46.9</v>
      </c>
      <c r="K63" s="3" t="s">
        <v>2210</v>
      </c>
      <c r="L63" s="3" t="s">
        <v>910</v>
      </c>
      <c r="M63" t="str" cm="1">
        <f t="array" ref="M63">_xlfn.IFS(INFO_Pasajeros[[#This Row],[Edad]]&lt;=13,"Niños",INFO_Pasajeros[[#This Row],[Edad]]&lt;=18,"Jóvenes",INFO_Pasajeros[[#This Row],[Edad]]&lt;=50,"Adultos",INFO_Pasajeros[[#This Row],[Edad]]&gt;=51,"Adultos Mayores")</f>
        <v>Jóvenes</v>
      </c>
    </row>
    <row r="64" spans="1:13" x14ac:dyDescent="0.25">
      <c r="A64" s="3" t="s">
        <v>1009</v>
      </c>
      <c r="B64" s="3" t="s">
        <v>902</v>
      </c>
      <c r="C64" s="3">
        <v>61</v>
      </c>
      <c r="D64" s="5">
        <v>45</v>
      </c>
      <c r="E64" s="3">
        <v>0</v>
      </c>
      <c r="F64" s="3">
        <v>0</v>
      </c>
      <c r="G64" s="3">
        <v>3</v>
      </c>
      <c r="H64" s="3">
        <v>0</v>
      </c>
      <c r="I64" s="3">
        <v>2691</v>
      </c>
      <c r="J64" s="13">
        <v>72.292000000000002</v>
      </c>
      <c r="K64" s="3" t="s">
        <v>2210</v>
      </c>
      <c r="L64" s="3" t="s">
        <v>910</v>
      </c>
      <c r="M64" t="str" cm="1">
        <f t="array" ref="M64">_xlfn.IFS(INFO_Pasajeros[[#This Row],[Edad]]&lt;=13,"Niños",INFO_Pasajeros[[#This Row],[Edad]]&lt;=18,"Jóvenes",INFO_Pasajeros[[#This Row],[Edad]]&lt;=50,"Adultos",INFO_Pasajeros[[#This Row],[Edad]]&gt;=51,"Adultos Mayores")</f>
        <v>Adultos</v>
      </c>
    </row>
    <row r="65" spans="1:13" x14ac:dyDescent="0.25">
      <c r="A65" s="3" t="s">
        <v>1010</v>
      </c>
      <c r="B65" s="3" t="s">
        <v>907</v>
      </c>
      <c r="C65" s="3">
        <v>62</v>
      </c>
      <c r="D65" s="5">
        <v>18</v>
      </c>
      <c r="E65" s="3">
        <v>0</v>
      </c>
      <c r="F65" s="3">
        <v>0</v>
      </c>
      <c r="G65" s="3">
        <v>1</v>
      </c>
      <c r="H65" s="3">
        <v>1</v>
      </c>
      <c r="I65" s="3">
        <v>2691</v>
      </c>
      <c r="J65" s="13">
        <v>80</v>
      </c>
      <c r="K65" s="3" t="s">
        <v>2210</v>
      </c>
      <c r="L65" s="3" t="s">
        <v>910</v>
      </c>
      <c r="M65" t="str" cm="1">
        <f t="array" ref="M65">_xlfn.IFS(INFO_Pasajeros[[#This Row],[Edad]]&lt;=13,"Niños",INFO_Pasajeros[[#This Row],[Edad]]&lt;=18,"Jóvenes",INFO_Pasajeros[[#This Row],[Edad]]&lt;=50,"Adultos",INFO_Pasajeros[[#This Row],[Edad]]&gt;=51,"Adultos Mayores")</f>
        <v>Jóvenes</v>
      </c>
    </row>
    <row r="66" spans="1:13" x14ac:dyDescent="0.25">
      <c r="A66" s="3" t="s">
        <v>1012</v>
      </c>
      <c r="B66" s="3" t="s">
        <v>902</v>
      </c>
      <c r="C66" s="3">
        <v>63</v>
      </c>
      <c r="D66" s="5">
        <v>24</v>
      </c>
      <c r="E66" s="3">
        <v>0</v>
      </c>
      <c r="F66" s="3">
        <v>1</v>
      </c>
      <c r="G66" s="3">
        <v>1</v>
      </c>
      <c r="H66" s="3">
        <v>0</v>
      </c>
      <c r="I66" s="3">
        <v>2693</v>
      </c>
      <c r="J66" s="13">
        <v>83.474999999999994</v>
      </c>
      <c r="K66" s="3" t="s">
        <v>2210</v>
      </c>
      <c r="L66" s="3" t="s">
        <v>910</v>
      </c>
      <c r="M66" t="str" cm="1">
        <f t="array" ref="M66">_xlfn.IFS(INFO_Pasajeros[[#This Row],[Edad]]&lt;=13,"Niños",INFO_Pasajeros[[#This Row],[Edad]]&lt;=18,"Jóvenes",INFO_Pasajeros[[#This Row],[Edad]]&lt;=50,"Adultos",INFO_Pasajeros[[#This Row],[Edad]]&gt;=51,"Adultos Mayores")</f>
        <v>Adultos</v>
      </c>
    </row>
    <row r="67" spans="1:13" x14ac:dyDescent="0.25">
      <c r="A67" s="3" t="s">
        <v>1014</v>
      </c>
      <c r="B67" s="3" t="s">
        <v>902</v>
      </c>
      <c r="C67" s="3">
        <v>64</v>
      </c>
      <c r="D67" s="5">
        <v>30</v>
      </c>
      <c r="E67" s="3">
        <v>2</v>
      </c>
      <c r="F67" s="3">
        <v>3</v>
      </c>
      <c r="G67" s="3">
        <v>3</v>
      </c>
      <c r="H67" s="3">
        <v>0</v>
      </c>
      <c r="I67" s="3">
        <v>2694</v>
      </c>
      <c r="J67" s="13">
        <v>27.9</v>
      </c>
      <c r="K67" s="3" t="s">
        <v>2210</v>
      </c>
      <c r="L67" s="3" t="s">
        <v>910</v>
      </c>
      <c r="M67" t="str" cm="1">
        <f t="array" ref="M67">_xlfn.IFS(INFO_Pasajeros[[#This Row],[Edad]]&lt;=13,"Niños",INFO_Pasajeros[[#This Row],[Edad]]&lt;=18,"Jóvenes",INFO_Pasajeros[[#This Row],[Edad]]&lt;=50,"Adultos",INFO_Pasajeros[[#This Row],[Edad]]&gt;=51,"Adultos Mayores")</f>
        <v>Adultos</v>
      </c>
    </row>
    <row r="68" spans="1:13" x14ac:dyDescent="0.25">
      <c r="A68" s="3" t="s">
        <v>1016</v>
      </c>
      <c r="B68" s="3" t="s">
        <v>902</v>
      </c>
      <c r="C68" s="3">
        <v>65</v>
      </c>
      <c r="D68" s="5">
        <v>15</v>
      </c>
      <c r="E68" s="3">
        <v>0</v>
      </c>
      <c r="F68" s="3">
        <v>0</v>
      </c>
      <c r="G68" s="3">
        <v>1</v>
      </c>
      <c r="H68" s="3">
        <v>0</v>
      </c>
      <c r="I68" s="3">
        <v>2695</v>
      </c>
      <c r="J68" s="13">
        <v>277.20800000000003</v>
      </c>
      <c r="K68" s="3" t="s">
        <v>2210</v>
      </c>
      <c r="L68" s="3" t="s">
        <v>910</v>
      </c>
      <c r="M68" t="str" cm="1">
        <f t="array" ref="M68">_xlfn.IFS(INFO_Pasajeros[[#This Row],[Edad]]&lt;=13,"Niños",INFO_Pasajeros[[#This Row],[Edad]]&lt;=18,"Jóvenes",INFO_Pasajeros[[#This Row],[Edad]]&lt;=50,"Adultos",INFO_Pasajeros[[#This Row],[Edad]]&gt;=51,"Adultos Mayores")</f>
        <v>Jóvenes</v>
      </c>
    </row>
    <row r="69" spans="1:13" x14ac:dyDescent="0.25">
      <c r="A69" s="3" t="s">
        <v>1018</v>
      </c>
      <c r="B69" s="3" t="s">
        <v>902</v>
      </c>
      <c r="C69" s="3">
        <v>66</v>
      </c>
      <c r="D69" s="5">
        <v>29</v>
      </c>
      <c r="E69" s="3">
        <v>1</v>
      </c>
      <c r="F69" s="3">
        <v>1</v>
      </c>
      <c r="G69" s="3">
        <v>3</v>
      </c>
      <c r="H69" s="3">
        <v>1</v>
      </c>
      <c r="I69" s="3">
        <v>2697</v>
      </c>
      <c r="J69" s="13">
        <v>152.458</v>
      </c>
      <c r="K69" s="3" t="s">
        <v>2210</v>
      </c>
      <c r="L69" s="3" t="s">
        <v>910</v>
      </c>
      <c r="M69" t="str" cm="1">
        <f t="array" ref="M69">_xlfn.IFS(INFO_Pasajeros[[#This Row],[Edad]]&lt;=13,"Niños",INFO_Pasajeros[[#This Row],[Edad]]&lt;=18,"Jóvenes",INFO_Pasajeros[[#This Row],[Edad]]&lt;=50,"Adultos",INFO_Pasajeros[[#This Row],[Edad]]&gt;=51,"Adultos Mayores")</f>
        <v>Adultos</v>
      </c>
    </row>
    <row r="70" spans="1:13" x14ac:dyDescent="0.25">
      <c r="A70" s="3" t="s">
        <v>1019</v>
      </c>
      <c r="B70" s="3" t="s">
        <v>907</v>
      </c>
      <c r="C70" s="3">
        <v>67</v>
      </c>
      <c r="D70" s="5">
        <v>26</v>
      </c>
      <c r="E70" s="3">
        <v>0</v>
      </c>
      <c r="F70" s="3">
        <v>0</v>
      </c>
      <c r="G70" s="3">
        <v>2</v>
      </c>
      <c r="H70" s="3">
        <v>1</v>
      </c>
      <c r="I70" s="3">
        <v>2699</v>
      </c>
      <c r="J70" s="13">
        <v>10.5</v>
      </c>
      <c r="K70" s="3" t="s">
        <v>2210</v>
      </c>
      <c r="L70" s="3" t="s">
        <v>910</v>
      </c>
      <c r="M70" t="str" cm="1">
        <f t="array" ref="M70">_xlfn.IFS(INFO_Pasajeros[[#This Row],[Edad]]&lt;=13,"Niños",INFO_Pasajeros[[#This Row],[Edad]]&lt;=18,"Jóvenes",INFO_Pasajeros[[#This Row],[Edad]]&lt;=50,"Adultos",INFO_Pasajeros[[#This Row],[Edad]]&gt;=51,"Adultos Mayores")</f>
        <v>Adultos</v>
      </c>
    </row>
    <row r="71" spans="1:13" x14ac:dyDescent="0.25">
      <c r="A71" s="3" t="s">
        <v>1022</v>
      </c>
      <c r="B71" s="3" t="s">
        <v>902</v>
      </c>
      <c r="C71" s="3">
        <v>68</v>
      </c>
      <c r="D71" s="5">
        <v>11</v>
      </c>
      <c r="E71" s="3">
        <v>0</v>
      </c>
      <c r="F71" s="3">
        <v>0</v>
      </c>
      <c r="G71" s="3">
        <v>3</v>
      </c>
      <c r="H71" s="3">
        <v>0</v>
      </c>
      <c r="I71" s="3">
        <v>2699</v>
      </c>
      <c r="J71" s="13">
        <v>81.582999999999998</v>
      </c>
      <c r="K71" s="3" t="s">
        <v>2210</v>
      </c>
      <c r="L71" s="3" t="s">
        <v>910</v>
      </c>
      <c r="M71" t="str" cm="1">
        <f t="array" ref="M71">_xlfn.IFS(INFO_Pasajeros[[#This Row],[Edad]]&lt;=13,"Niños",INFO_Pasajeros[[#This Row],[Edad]]&lt;=18,"Jóvenes",INFO_Pasajeros[[#This Row],[Edad]]&lt;=50,"Adultos",INFO_Pasajeros[[#This Row],[Edad]]&gt;=51,"Adultos Mayores")</f>
        <v>Niños</v>
      </c>
    </row>
    <row r="72" spans="1:13" x14ac:dyDescent="0.25">
      <c r="A72" s="3" t="s">
        <v>1024</v>
      </c>
      <c r="B72" s="3" t="s">
        <v>907</v>
      </c>
      <c r="C72" s="3">
        <v>69</v>
      </c>
      <c r="D72" s="5">
        <v>41</v>
      </c>
      <c r="E72" s="3">
        <v>2</v>
      </c>
      <c r="F72" s="3">
        <v>4</v>
      </c>
      <c r="G72" s="3">
        <v>3</v>
      </c>
      <c r="H72" s="3">
        <v>1</v>
      </c>
      <c r="I72" s="3">
        <v>2700</v>
      </c>
      <c r="J72" s="13">
        <v>7.9249999999999998</v>
      </c>
      <c r="K72" s="3" t="s">
        <v>2210</v>
      </c>
      <c r="L72" s="3" t="s">
        <v>910</v>
      </c>
      <c r="M72" t="str" cm="1">
        <f t="array" ref="M72">_xlfn.IFS(INFO_Pasajeros[[#This Row],[Edad]]&lt;=13,"Niños",INFO_Pasajeros[[#This Row],[Edad]]&lt;=18,"Jóvenes",INFO_Pasajeros[[#This Row],[Edad]]&lt;=50,"Adultos",INFO_Pasajeros[[#This Row],[Edad]]&gt;=51,"Adultos Mayores")</f>
        <v>Adultos</v>
      </c>
    </row>
    <row r="73" spans="1:13" x14ac:dyDescent="0.25">
      <c r="A73" s="3" t="s">
        <v>1025</v>
      </c>
      <c r="B73" s="3" t="s">
        <v>902</v>
      </c>
      <c r="C73" s="3">
        <v>70</v>
      </c>
      <c r="D73" s="5">
        <v>32</v>
      </c>
      <c r="E73" s="3">
        <v>0</v>
      </c>
      <c r="F73" s="3">
        <v>2</v>
      </c>
      <c r="G73" s="3">
        <v>3</v>
      </c>
      <c r="H73" s="3">
        <v>0</v>
      </c>
      <c r="I73" s="3">
        <v>2908</v>
      </c>
      <c r="J73" s="13">
        <v>86.625</v>
      </c>
      <c r="K73" s="3" t="s">
        <v>2210</v>
      </c>
      <c r="L73" s="3" t="s">
        <v>905</v>
      </c>
      <c r="M73" t="str" cm="1">
        <f t="array" ref="M73">_xlfn.IFS(INFO_Pasajeros[[#This Row],[Edad]]&lt;=13,"Niños",INFO_Pasajeros[[#This Row],[Edad]]&lt;=18,"Jóvenes",INFO_Pasajeros[[#This Row],[Edad]]&lt;=50,"Adultos",INFO_Pasajeros[[#This Row],[Edad]]&gt;=51,"Adultos Mayores")</f>
        <v>Adultos</v>
      </c>
    </row>
    <row r="74" spans="1:13" x14ac:dyDescent="0.25">
      <c r="A74" s="3" t="s">
        <v>1026</v>
      </c>
      <c r="B74" s="3" t="s">
        <v>902</v>
      </c>
      <c r="C74" s="3">
        <v>71</v>
      </c>
      <c r="D74" s="5">
        <v>19</v>
      </c>
      <c r="E74" s="3">
        <v>0</v>
      </c>
      <c r="F74" s="3">
        <v>0</v>
      </c>
      <c r="G74" s="3">
        <v>2</v>
      </c>
      <c r="H74" s="3">
        <v>0</v>
      </c>
      <c r="I74" s="3">
        <v>2908</v>
      </c>
      <c r="J74" s="13">
        <v>10.5</v>
      </c>
      <c r="K74" s="3" t="s">
        <v>2210</v>
      </c>
      <c r="L74" s="3" t="s">
        <v>905</v>
      </c>
      <c r="M74" t="str" cm="1">
        <f t="array" ref="M74">_xlfn.IFS(INFO_Pasajeros[[#This Row],[Edad]]&lt;=13,"Niños",INFO_Pasajeros[[#This Row],[Edad]]&lt;=18,"Jóvenes",INFO_Pasajeros[[#This Row],[Edad]]&lt;=50,"Adultos",INFO_Pasajeros[[#This Row],[Edad]]&gt;=51,"Adultos Mayores")</f>
        <v>Adultos</v>
      </c>
    </row>
    <row r="75" spans="1:13" x14ac:dyDescent="0.25">
      <c r="A75" s="3" t="s">
        <v>1028</v>
      </c>
      <c r="B75" s="3" t="s">
        <v>907</v>
      </c>
      <c r="C75" s="3">
        <v>72</v>
      </c>
      <c r="D75" s="5">
        <v>29</v>
      </c>
      <c r="E75" s="3">
        <v>2</v>
      </c>
      <c r="F75" s="3">
        <v>5</v>
      </c>
      <c r="G75" s="3">
        <v>3</v>
      </c>
      <c r="H75" s="3">
        <v>0</v>
      </c>
      <c r="I75" s="3">
        <v>2926</v>
      </c>
      <c r="J75" s="13">
        <v>46.9</v>
      </c>
      <c r="K75" s="3" t="s">
        <v>2210</v>
      </c>
      <c r="L75" s="3" t="s">
        <v>905</v>
      </c>
      <c r="M75" t="str" cm="1">
        <f t="array" ref="M75">_xlfn.IFS(INFO_Pasajeros[[#This Row],[Edad]]&lt;=13,"Niños",INFO_Pasajeros[[#This Row],[Edad]]&lt;=18,"Jóvenes",INFO_Pasajeros[[#This Row],[Edad]]&lt;=50,"Adultos",INFO_Pasajeros[[#This Row],[Edad]]&gt;=51,"Adultos Mayores")</f>
        <v>Adultos</v>
      </c>
    </row>
    <row r="76" spans="1:13" x14ac:dyDescent="0.25">
      <c r="A76" s="3" t="s">
        <v>1029</v>
      </c>
      <c r="B76" s="3" t="s">
        <v>902</v>
      </c>
      <c r="C76" s="3">
        <v>73</v>
      </c>
      <c r="D76" s="5">
        <v>41</v>
      </c>
      <c r="E76" s="3">
        <v>0</v>
      </c>
      <c r="F76" s="3">
        <v>0</v>
      </c>
      <c r="G76" s="3">
        <v>2</v>
      </c>
      <c r="H76" s="3">
        <v>0</v>
      </c>
      <c r="I76" s="3">
        <v>3411</v>
      </c>
      <c r="J76" s="13">
        <v>73.5</v>
      </c>
      <c r="K76" s="3" t="s">
        <v>2210</v>
      </c>
      <c r="L76" s="3" t="s">
        <v>910</v>
      </c>
      <c r="M76" t="str" cm="1">
        <f t="array" ref="M76">_xlfn.IFS(INFO_Pasajeros[[#This Row],[Edad]]&lt;=13,"Niños",INFO_Pasajeros[[#This Row],[Edad]]&lt;=18,"Jóvenes",INFO_Pasajeros[[#This Row],[Edad]]&lt;=50,"Adultos",INFO_Pasajeros[[#This Row],[Edad]]&gt;=51,"Adultos Mayores")</f>
        <v>Adultos</v>
      </c>
    </row>
    <row r="77" spans="1:13" x14ac:dyDescent="0.25">
      <c r="A77" s="3" t="s">
        <v>1032</v>
      </c>
      <c r="B77" s="3" t="s">
        <v>902</v>
      </c>
      <c r="C77" s="3">
        <v>74</v>
      </c>
      <c r="D77" s="5">
        <v>29</v>
      </c>
      <c r="E77" s="3">
        <v>0</v>
      </c>
      <c r="F77" s="3">
        <v>1</v>
      </c>
      <c r="G77" s="3">
        <v>3</v>
      </c>
      <c r="H77" s="3">
        <v>0</v>
      </c>
      <c r="I77" s="3">
        <v>3460</v>
      </c>
      <c r="J77" s="13">
        <v>144.542</v>
      </c>
      <c r="K77" s="3" t="s">
        <v>2210</v>
      </c>
      <c r="L77" s="3" t="s">
        <v>905</v>
      </c>
      <c r="M77" t="str" cm="1">
        <f t="array" ref="M77">_xlfn.IFS(INFO_Pasajeros[[#This Row],[Edad]]&lt;=13,"Niños",INFO_Pasajeros[[#This Row],[Edad]]&lt;=18,"Jóvenes",INFO_Pasajeros[[#This Row],[Edad]]&lt;=50,"Adultos",INFO_Pasajeros[[#This Row],[Edad]]&gt;=51,"Adultos Mayores")</f>
        <v>Adultos</v>
      </c>
    </row>
    <row r="78" spans="1:13" x14ac:dyDescent="0.25">
      <c r="A78" s="3" t="s">
        <v>1033</v>
      </c>
      <c r="B78" s="3" t="s">
        <v>902</v>
      </c>
      <c r="C78" s="3">
        <v>75</v>
      </c>
      <c r="D78" s="5">
        <v>26</v>
      </c>
      <c r="E78" s="3">
        <v>0</v>
      </c>
      <c r="F78" s="3">
        <v>0</v>
      </c>
      <c r="G78" s="3">
        <v>3</v>
      </c>
      <c r="H78" s="3">
        <v>1</v>
      </c>
      <c r="I78" s="3">
        <v>3474</v>
      </c>
      <c r="J78" s="13">
        <v>564.95799999999997</v>
      </c>
      <c r="K78" s="3" t="s">
        <v>2210</v>
      </c>
      <c r="L78" s="3" t="s">
        <v>905</v>
      </c>
      <c r="M78" t="str" cm="1">
        <f t="array" ref="M78">_xlfn.IFS(INFO_Pasajeros[[#This Row],[Edad]]&lt;=13,"Niños",INFO_Pasajeros[[#This Row],[Edad]]&lt;=18,"Jóvenes",INFO_Pasajeros[[#This Row],[Edad]]&lt;=50,"Adultos",INFO_Pasajeros[[#This Row],[Edad]]&gt;=51,"Adultos Mayores")</f>
        <v>Adultos</v>
      </c>
    </row>
    <row r="79" spans="1:13" x14ac:dyDescent="0.25">
      <c r="A79" s="3" t="s">
        <v>1034</v>
      </c>
      <c r="B79" s="3" t="s">
        <v>902</v>
      </c>
      <c r="C79" s="3">
        <v>76</v>
      </c>
      <c r="D79" s="5">
        <v>36</v>
      </c>
      <c r="E79" s="3">
        <v>0</v>
      </c>
      <c r="F79" s="3">
        <v>0</v>
      </c>
      <c r="G79" s="3">
        <v>3</v>
      </c>
      <c r="H79" s="3">
        <v>0</v>
      </c>
      <c r="I79" s="3">
        <v>4133</v>
      </c>
      <c r="J79" s="13">
        <v>7.65</v>
      </c>
      <c r="K79" s="3" t="s">
        <v>2210</v>
      </c>
      <c r="L79" s="3" t="s">
        <v>905</v>
      </c>
      <c r="M79" t="str" cm="1">
        <f t="array" ref="M79">_xlfn.IFS(INFO_Pasajeros[[#This Row],[Edad]]&lt;=13,"Niños",INFO_Pasajeros[[#This Row],[Edad]]&lt;=18,"Jóvenes",INFO_Pasajeros[[#This Row],[Edad]]&lt;=50,"Adultos",INFO_Pasajeros[[#This Row],[Edad]]&gt;=51,"Adultos Mayores")</f>
        <v>Adultos</v>
      </c>
    </row>
    <row r="80" spans="1:13" x14ac:dyDescent="0.25">
      <c r="A80" s="3" t="s">
        <v>1037</v>
      </c>
      <c r="B80" s="3" t="s">
        <v>902</v>
      </c>
      <c r="C80" s="3">
        <v>77</v>
      </c>
      <c r="D80" s="5">
        <v>45</v>
      </c>
      <c r="E80" s="3">
        <v>0</v>
      </c>
      <c r="F80" s="3">
        <v>0</v>
      </c>
      <c r="G80" s="3">
        <v>3</v>
      </c>
      <c r="H80" s="3">
        <v>0</v>
      </c>
      <c r="I80" s="3">
        <v>4133</v>
      </c>
      <c r="J80" s="13">
        <v>78.957999999999998</v>
      </c>
      <c r="K80" s="3" t="s">
        <v>2210</v>
      </c>
      <c r="L80" s="3" t="s">
        <v>905</v>
      </c>
      <c r="M80" t="str" cm="1">
        <f t="array" ref="M80">_xlfn.IFS(INFO_Pasajeros[[#This Row],[Edad]]&lt;=13,"Niños",INFO_Pasajeros[[#This Row],[Edad]]&lt;=18,"Jóvenes",INFO_Pasajeros[[#This Row],[Edad]]&lt;=50,"Adultos",INFO_Pasajeros[[#This Row],[Edad]]&gt;=51,"Adultos Mayores")</f>
        <v>Adultos</v>
      </c>
    </row>
    <row r="81" spans="1:13" x14ac:dyDescent="0.25">
      <c r="A81" s="3" t="s">
        <v>1038</v>
      </c>
      <c r="B81" s="3" t="s">
        <v>902</v>
      </c>
      <c r="C81" s="3">
        <v>78</v>
      </c>
      <c r="D81" s="5">
        <v>65</v>
      </c>
      <c r="E81" s="3">
        <v>0</v>
      </c>
      <c r="F81" s="3">
        <v>0</v>
      </c>
      <c r="G81" s="3">
        <v>3</v>
      </c>
      <c r="H81" s="3">
        <v>0</v>
      </c>
      <c r="I81" s="3">
        <v>4133</v>
      </c>
      <c r="J81" s="13">
        <v>8.0500000000000007</v>
      </c>
      <c r="K81" s="3" t="s">
        <v>2210</v>
      </c>
      <c r="L81" s="3" t="s">
        <v>905</v>
      </c>
      <c r="M81" t="str" cm="1">
        <f t="array" ref="M81">_xlfn.IFS(INFO_Pasajeros[[#This Row],[Edad]]&lt;=13,"Niños",INFO_Pasajeros[[#This Row],[Edad]]&lt;=18,"Jóvenes",INFO_Pasajeros[[#This Row],[Edad]]&lt;=50,"Adultos",INFO_Pasajeros[[#This Row],[Edad]]&gt;=51,"Adultos Mayores")</f>
        <v>Adultos Mayores</v>
      </c>
    </row>
    <row r="82" spans="1:13" x14ac:dyDescent="0.25">
      <c r="A82" s="3" t="s">
        <v>1039</v>
      </c>
      <c r="B82" s="3" t="s">
        <v>902</v>
      </c>
      <c r="C82" s="3">
        <v>79</v>
      </c>
      <c r="D82" s="5">
        <v>60</v>
      </c>
      <c r="E82" s="3">
        <v>2</v>
      </c>
      <c r="F82" s="3">
        <v>0</v>
      </c>
      <c r="G82" s="3">
        <v>2</v>
      </c>
      <c r="H82" s="3">
        <v>1</v>
      </c>
      <c r="I82" s="3">
        <v>4133</v>
      </c>
      <c r="J82" s="13">
        <v>29</v>
      </c>
      <c r="K82" s="3" t="s">
        <v>2210</v>
      </c>
      <c r="L82" s="3" t="s">
        <v>905</v>
      </c>
      <c r="M82" t="str" cm="1">
        <f t="array" ref="M82">_xlfn.IFS(INFO_Pasajeros[[#This Row],[Edad]]&lt;=13,"Niños",INFO_Pasajeros[[#This Row],[Edad]]&lt;=18,"Jóvenes",INFO_Pasajeros[[#This Row],[Edad]]&lt;=50,"Adultos",INFO_Pasajeros[[#This Row],[Edad]]&gt;=51,"Adultos Mayores")</f>
        <v>Adultos Mayores</v>
      </c>
    </row>
    <row r="83" spans="1:13" x14ac:dyDescent="0.25">
      <c r="A83" s="3" t="s">
        <v>1041</v>
      </c>
      <c r="B83" s="3" t="s">
        <v>907</v>
      </c>
      <c r="C83" s="3">
        <v>80</v>
      </c>
      <c r="D83" s="5">
        <v>63</v>
      </c>
      <c r="E83" s="3">
        <v>0</v>
      </c>
      <c r="F83" s="3">
        <v>0</v>
      </c>
      <c r="G83" s="3">
        <v>3</v>
      </c>
      <c r="H83" s="3">
        <v>1</v>
      </c>
      <c r="I83" s="3">
        <v>4134</v>
      </c>
      <c r="J83" s="13">
        <v>12.475</v>
      </c>
      <c r="K83" s="3" t="s">
        <v>2210</v>
      </c>
      <c r="L83" s="3" t="s">
        <v>905</v>
      </c>
      <c r="M83" t="str" cm="1">
        <f t="array" ref="M83">_xlfn.IFS(INFO_Pasajeros[[#This Row],[Edad]]&lt;=13,"Niños",INFO_Pasajeros[[#This Row],[Edad]]&lt;=18,"Jóvenes",INFO_Pasajeros[[#This Row],[Edad]]&lt;=50,"Adultos",INFO_Pasajeros[[#This Row],[Edad]]&gt;=51,"Adultos Mayores")</f>
        <v>Adultos Mayores</v>
      </c>
    </row>
    <row r="84" spans="1:13" x14ac:dyDescent="0.25">
      <c r="A84" s="3" t="s">
        <v>1042</v>
      </c>
      <c r="B84" s="3" t="s">
        <v>902</v>
      </c>
      <c r="C84" s="3">
        <v>81</v>
      </c>
      <c r="D84" s="5">
        <v>37</v>
      </c>
      <c r="E84" s="3">
        <v>0</v>
      </c>
      <c r="F84" s="3">
        <v>0</v>
      </c>
      <c r="G84" s="3">
        <v>3</v>
      </c>
      <c r="H84" s="3">
        <v>0</v>
      </c>
      <c r="I84" s="3">
        <v>4135</v>
      </c>
      <c r="J84" s="13">
        <v>9</v>
      </c>
      <c r="K84" s="3" t="s">
        <v>2210</v>
      </c>
      <c r="L84" s="3" t="s">
        <v>905</v>
      </c>
      <c r="M84" t="str" cm="1">
        <f t="array" ref="M84">_xlfn.IFS(INFO_Pasajeros[[#This Row],[Edad]]&lt;=13,"Niños",INFO_Pasajeros[[#This Row],[Edad]]&lt;=18,"Jóvenes",INFO_Pasajeros[[#This Row],[Edad]]&lt;=50,"Adultos",INFO_Pasajeros[[#This Row],[Edad]]&gt;=51,"Adultos Mayores")</f>
        <v>Adultos</v>
      </c>
    </row>
    <row r="85" spans="1:13" x14ac:dyDescent="0.25">
      <c r="A85" s="3" t="s">
        <v>1043</v>
      </c>
      <c r="B85" s="3" t="s">
        <v>902</v>
      </c>
      <c r="C85" s="3">
        <v>82</v>
      </c>
      <c r="D85" s="5">
        <v>20</v>
      </c>
      <c r="E85" s="3">
        <v>0</v>
      </c>
      <c r="F85" s="3">
        <v>0</v>
      </c>
      <c r="G85" s="3">
        <v>3</v>
      </c>
      <c r="H85" s="3">
        <v>1</v>
      </c>
      <c r="I85" s="3">
        <v>4136</v>
      </c>
      <c r="J85" s="13">
        <v>9.5</v>
      </c>
      <c r="K85" s="3" t="s">
        <v>2210</v>
      </c>
      <c r="L85" s="3" t="s">
        <v>905</v>
      </c>
      <c r="M85" t="str" cm="1">
        <f t="array" ref="M85">_xlfn.IFS(INFO_Pasajeros[[#This Row],[Edad]]&lt;=13,"Niños",INFO_Pasajeros[[#This Row],[Edad]]&lt;=18,"Jóvenes",INFO_Pasajeros[[#This Row],[Edad]]&lt;=50,"Adultos",INFO_Pasajeros[[#This Row],[Edad]]&gt;=51,"Adultos Mayores")</f>
        <v>Adultos</v>
      </c>
    </row>
    <row r="86" spans="1:13" x14ac:dyDescent="0.25">
      <c r="A86" s="3" t="s">
        <v>1045</v>
      </c>
      <c r="B86" s="3" t="s">
        <v>907</v>
      </c>
      <c r="C86" s="3">
        <v>83</v>
      </c>
      <c r="D86" s="5">
        <v>21</v>
      </c>
      <c r="E86" s="3">
        <v>0</v>
      </c>
      <c r="F86" s="3">
        <v>0</v>
      </c>
      <c r="G86" s="3">
        <v>3</v>
      </c>
      <c r="H86" s="3">
        <v>1</v>
      </c>
      <c r="I86" s="3">
        <v>4137</v>
      </c>
      <c r="J86" s="13">
        <v>77.875</v>
      </c>
      <c r="K86" s="3" t="s">
        <v>2210</v>
      </c>
      <c r="L86" s="3" t="s">
        <v>905</v>
      </c>
      <c r="M86" t="str" cm="1">
        <f t="array" ref="M86">_xlfn.IFS(INFO_Pasajeros[[#This Row],[Edad]]&lt;=13,"Niños",INFO_Pasajeros[[#This Row],[Edad]]&lt;=18,"Jóvenes",INFO_Pasajeros[[#This Row],[Edad]]&lt;=50,"Adultos",INFO_Pasajeros[[#This Row],[Edad]]&gt;=51,"Adultos Mayores")</f>
        <v>Adultos</v>
      </c>
    </row>
    <row r="87" spans="1:13" x14ac:dyDescent="0.25">
      <c r="A87" s="3" t="s">
        <v>1046</v>
      </c>
      <c r="B87" s="3" t="s">
        <v>902</v>
      </c>
      <c r="C87" s="3">
        <v>84</v>
      </c>
      <c r="D87" s="5">
        <v>18</v>
      </c>
      <c r="E87" s="3">
        <v>0</v>
      </c>
      <c r="F87" s="3">
        <v>0</v>
      </c>
      <c r="G87" s="3">
        <v>1</v>
      </c>
      <c r="H87" s="3">
        <v>0</v>
      </c>
      <c r="I87" s="3">
        <v>4138</v>
      </c>
      <c r="J87" s="13">
        <v>47.1</v>
      </c>
      <c r="K87" s="3" t="s">
        <v>2210</v>
      </c>
      <c r="L87" s="3" t="s">
        <v>905</v>
      </c>
      <c r="M87" t="str" cm="1">
        <f t="array" ref="M87">_xlfn.IFS(INFO_Pasajeros[[#This Row],[Edad]]&lt;=13,"Niños",INFO_Pasajeros[[#This Row],[Edad]]&lt;=18,"Jóvenes",INFO_Pasajeros[[#This Row],[Edad]]&lt;=50,"Adultos",INFO_Pasajeros[[#This Row],[Edad]]&gt;=51,"Adultos Mayores")</f>
        <v>Jóvenes</v>
      </c>
    </row>
    <row r="88" spans="1:13" x14ac:dyDescent="0.25">
      <c r="A88" s="3" t="s">
        <v>1048</v>
      </c>
      <c r="B88" s="3" t="s">
        <v>907</v>
      </c>
      <c r="C88" s="3">
        <v>85</v>
      </c>
      <c r="D88" s="5">
        <v>42</v>
      </c>
      <c r="E88" s="3">
        <v>0</v>
      </c>
      <c r="F88" s="3">
        <v>0</v>
      </c>
      <c r="G88" s="3">
        <v>2</v>
      </c>
      <c r="H88" s="3">
        <v>1</v>
      </c>
      <c r="I88" s="3">
        <v>4579</v>
      </c>
      <c r="J88" s="13">
        <v>10.5</v>
      </c>
      <c r="K88" s="3" t="s">
        <v>2210</v>
      </c>
      <c r="L88" s="3" t="s">
        <v>905</v>
      </c>
      <c r="M88" t="str" cm="1">
        <f t="array" ref="M88">_xlfn.IFS(INFO_Pasajeros[[#This Row],[Edad]]&lt;=13,"Niños",INFO_Pasajeros[[#This Row],[Edad]]&lt;=18,"Jóvenes",INFO_Pasajeros[[#This Row],[Edad]]&lt;=50,"Adultos",INFO_Pasajeros[[#This Row],[Edad]]&gt;=51,"Adultos Mayores")</f>
        <v>Adultos</v>
      </c>
    </row>
    <row r="89" spans="1:13" x14ac:dyDescent="0.25">
      <c r="A89" s="3" t="s">
        <v>1050</v>
      </c>
      <c r="B89" s="3" t="s">
        <v>907</v>
      </c>
      <c r="C89" s="3">
        <v>86</v>
      </c>
      <c r="D89" s="5">
        <v>47</v>
      </c>
      <c r="E89" s="3">
        <v>0</v>
      </c>
      <c r="F89" s="3">
        <v>3</v>
      </c>
      <c r="G89" s="3">
        <v>3</v>
      </c>
      <c r="H89" s="3">
        <v>1</v>
      </c>
      <c r="I89" s="3">
        <v>5727</v>
      </c>
      <c r="J89" s="13">
        <v>15.85</v>
      </c>
      <c r="K89" s="3" t="s">
        <v>1901</v>
      </c>
      <c r="L89" s="3" t="s">
        <v>905</v>
      </c>
      <c r="M89" t="str" cm="1">
        <f t="array" ref="M89">_xlfn.IFS(INFO_Pasajeros[[#This Row],[Edad]]&lt;=13,"Niños",INFO_Pasajeros[[#This Row],[Edad]]&lt;=18,"Jóvenes",INFO_Pasajeros[[#This Row],[Edad]]&lt;=50,"Adultos",INFO_Pasajeros[[#This Row],[Edad]]&gt;=51,"Adultos Mayores")</f>
        <v>Adultos</v>
      </c>
    </row>
    <row r="90" spans="1:13" x14ac:dyDescent="0.25">
      <c r="A90" s="3" t="s">
        <v>1052</v>
      </c>
      <c r="B90" s="3" t="s">
        <v>902</v>
      </c>
      <c r="C90" s="3">
        <v>87</v>
      </c>
      <c r="D90" s="5">
        <v>20</v>
      </c>
      <c r="E90" s="3">
        <v>3</v>
      </c>
      <c r="F90" s="3">
        <v>1</v>
      </c>
      <c r="G90" s="3">
        <v>3</v>
      </c>
      <c r="H90" s="3">
        <v>0</v>
      </c>
      <c r="I90" s="3">
        <v>6563</v>
      </c>
      <c r="J90" s="13">
        <v>34.375</v>
      </c>
      <c r="K90" s="3" t="s">
        <v>2210</v>
      </c>
      <c r="L90" s="3" t="s">
        <v>905</v>
      </c>
      <c r="M90" t="str" cm="1">
        <f t="array" ref="M90">_xlfn.IFS(INFO_Pasajeros[[#This Row],[Edad]]&lt;=13,"Niños",INFO_Pasajeros[[#This Row],[Edad]]&lt;=18,"Jóvenes",INFO_Pasajeros[[#This Row],[Edad]]&lt;=50,"Adultos",INFO_Pasajeros[[#This Row],[Edad]]&gt;=51,"Adultos Mayores")</f>
        <v>Adultos</v>
      </c>
    </row>
    <row r="91" spans="1:13" x14ac:dyDescent="0.25">
      <c r="A91" s="3" t="s">
        <v>1054</v>
      </c>
      <c r="B91" s="3" t="s">
        <v>902</v>
      </c>
      <c r="C91" s="3">
        <v>88</v>
      </c>
      <c r="D91" s="5">
        <v>23</v>
      </c>
      <c r="E91" s="3">
        <v>0</v>
      </c>
      <c r="F91" s="3">
        <v>0</v>
      </c>
      <c r="G91" s="3">
        <v>3</v>
      </c>
      <c r="H91" s="3">
        <v>0</v>
      </c>
      <c r="I91" s="3">
        <v>7267</v>
      </c>
      <c r="J91" s="13">
        <v>8.0500000000000007</v>
      </c>
      <c r="K91" s="3" t="s">
        <v>2210</v>
      </c>
      <c r="L91" s="3" t="s">
        <v>905</v>
      </c>
      <c r="M91" t="str" cm="1">
        <f t="array" ref="M91">_xlfn.IFS(INFO_Pasajeros[[#This Row],[Edad]]&lt;=13,"Niños",INFO_Pasajeros[[#This Row],[Edad]]&lt;=18,"Jóvenes",INFO_Pasajeros[[#This Row],[Edad]]&lt;=50,"Adultos",INFO_Pasajeros[[#This Row],[Edad]]&gt;=51,"Adultos Mayores")</f>
        <v>Adultos</v>
      </c>
    </row>
    <row r="92" spans="1:13" x14ac:dyDescent="0.25">
      <c r="A92" s="3" t="s">
        <v>1056</v>
      </c>
      <c r="B92" s="3" t="s">
        <v>907</v>
      </c>
      <c r="C92" s="3">
        <v>89</v>
      </c>
      <c r="D92" s="5">
        <v>16</v>
      </c>
      <c r="E92" s="3">
        <v>2</v>
      </c>
      <c r="F92" s="3">
        <v>3</v>
      </c>
      <c r="G92" s="3">
        <v>1</v>
      </c>
      <c r="H92" s="3">
        <v>1</v>
      </c>
      <c r="I92" s="3">
        <v>7534</v>
      </c>
      <c r="J92" s="13">
        <v>263</v>
      </c>
      <c r="K92" s="3" t="s">
        <v>2210</v>
      </c>
      <c r="L92" s="3" t="s">
        <v>905</v>
      </c>
      <c r="M92" t="str" cm="1">
        <f t="array" ref="M92">_xlfn.IFS(INFO_Pasajeros[[#This Row],[Edad]]&lt;=13,"Niños",INFO_Pasajeros[[#This Row],[Edad]]&lt;=18,"Jóvenes",INFO_Pasajeros[[#This Row],[Edad]]&lt;=50,"Adultos",INFO_Pasajeros[[#This Row],[Edad]]&gt;=51,"Adultos Mayores")</f>
        <v>Jóvenes</v>
      </c>
    </row>
    <row r="93" spans="1:13" x14ac:dyDescent="0.25">
      <c r="A93" s="3" t="s">
        <v>1057</v>
      </c>
      <c r="B93" s="3" t="s">
        <v>902</v>
      </c>
      <c r="C93" s="3">
        <v>90</v>
      </c>
      <c r="D93" s="5">
        <v>20</v>
      </c>
      <c r="E93" s="3">
        <v>0</v>
      </c>
      <c r="F93" s="3">
        <v>0</v>
      </c>
      <c r="G93" s="3">
        <v>3</v>
      </c>
      <c r="H93" s="3">
        <v>0</v>
      </c>
      <c r="I93" s="3">
        <v>7534</v>
      </c>
      <c r="J93" s="13">
        <v>8.0500000000000007</v>
      </c>
      <c r="K93" s="3" t="s">
        <v>2210</v>
      </c>
      <c r="L93" s="3" t="s">
        <v>905</v>
      </c>
      <c r="M93" t="str" cm="1">
        <f t="array" ref="M93">_xlfn.IFS(INFO_Pasajeros[[#This Row],[Edad]]&lt;=13,"Niños",INFO_Pasajeros[[#This Row],[Edad]]&lt;=18,"Jóvenes",INFO_Pasajeros[[#This Row],[Edad]]&lt;=50,"Adultos",INFO_Pasajeros[[#This Row],[Edad]]&gt;=51,"Adultos Mayores")</f>
        <v>Adultos</v>
      </c>
    </row>
    <row r="94" spans="1:13" x14ac:dyDescent="0.25">
      <c r="A94" s="3" t="s">
        <v>1058</v>
      </c>
      <c r="B94" s="3" t="s">
        <v>902</v>
      </c>
      <c r="C94" s="3">
        <v>91</v>
      </c>
      <c r="D94" s="5">
        <v>33</v>
      </c>
      <c r="E94" s="3">
        <v>0</v>
      </c>
      <c r="F94" s="3">
        <v>0</v>
      </c>
      <c r="G94" s="3">
        <v>3</v>
      </c>
      <c r="H94" s="3">
        <v>0</v>
      </c>
      <c r="I94" s="3">
        <v>7540</v>
      </c>
      <c r="J94" s="13">
        <v>8.0500000000000007</v>
      </c>
      <c r="K94" s="3" t="s">
        <v>2210</v>
      </c>
      <c r="L94" s="3" t="s">
        <v>905</v>
      </c>
      <c r="M94" t="str" cm="1">
        <f t="array" ref="M94">_xlfn.IFS(INFO_Pasajeros[[#This Row],[Edad]]&lt;=13,"Niños",INFO_Pasajeros[[#This Row],[Edad]]&lt;=18,"Jóvenes",INFO_Pasajeros[[#This Row],[Edad]]&lt;=50,"Adultos",INFO_Pasajeros[[#This Row],[Edad]]&gt;=51,"Adultos Mayores")</f>
        <v>Adultos</v>
      </c>
    </row>
    <row r="95" spans="1:13" x14ac:dyDescent="0.25">
      <c r="A95" s="3" t="s">
        <v>1059</v>
      </c>
      <c r="B95" s="3" t="s">
        <v>902</v>
      </c>
      <c r="C95" s="3">
        <v>92</v>
      </c>
      <c r="D95" s="5">
        <v>29</v>
      </c>
      <c r="E95" s="3">
        <v>0</v>
      </c>
      <c r="F95" s="3">
        <v>0</v>
      </c>
      <c r="G95" s="3">
        <v>3</v>
      </c>
      <c r="H95" s="3">
        <v>0</v>
      </c>
      <c r="I95" s="3">
        <v>7545</v>
      </c>
      <c r="J95" s="13">
        <v>78.542000000000002</v>
      </c>
      <c r="K95" s="3" t="s">
        <v>2210</v>
      </c>
      <c r="L95" s="3" t="s">
        <v>905</v>
      </c>
      <c r="M95" t="str" cm="1">
        <f t="array" ref="M95">_xlfn.IFS(INFO_Pasajeros[[#This Row],[Edad]]&lt;=13,"Niños",INFO_Pasajeros[[#This Row],[Edad]]&lt;=18,"Jóvenes",INFO_Pasajeros[[#This Row],[Edad]]&lt;=50,"Adultos",INFO_Pasajeros[[#This Row],[Edad]]&gt;=51,"Adultos Mayores")</f>
        <v>Adultos</v>
      </c>
    </row>
    <row r="96" spans="1:13" x14ac:dyDescent="0.25">
      <c r="A96" s="3" t="s">
        <v>1060</v>
      </c>
      <c r="B96" s="3" t="s">
        <v>902</v>
      </c>
      <c r="C96" s="3">
        <v>93</v>
      </c>
      <c r="D96" s="5">
        <v>40</v>
      </c>
      <c r="E96" s="3">
        <v>0</v>
      </c>
      <c r="F96" s="3">
        <v>1</v>
      </c>
      <c r="G96" s="3">
        <v>1</v>
      </c>
      <c r="H96" s="3">
        <v>0</v>
      </c>
      <c r="I96" s="3">
        <v>7546</v>
      </c>
      <c r="J96" s="13">
        <v>61.174999999999997</v>
      </c>
      <c r="K96" s="3" t="s">
        <v>2210</v>
      </c>
      <c r="L96" s="3" t="s">
        <v>905</v>
      </c>
      <c r="M96" t="str" cm="1">
        <f t="array" ref="M96">_xlfn.IFS(INFO_Pasajeros[[#This Row],[Edad]]&lt;=13,"Niños",INFO_Pasajeros[[#This Row],[Edad]]&lt;=18,"Jóvenes",INFO_Pasajeros[[#This Row],[Edad]]&lt;=50,"Adultos",INFO_Pasajeros[[#This Row],[Edad]]&gt;=51,"Adultos Mayores")</f>
        <v>Adultos</v>
      </c>
    </row>
    <row r="97" spans="1:13" x14ac:dyDescent="0.25">
      <c r="A97" s="3" t="s">
        <v>1063</v>
      </c>
      <c r="B97" s="3" t="s">
        <v>902</v>
      </c>
      <c r="C97" s="3">
        <v>94</v>
      </c>
      <c r="D97" s="5">
        <v>22</v>
      </c>
      <c r="E97" s="3">
        <v>2</v>
      </c>
      <c r="F97" s="3">
        <v>1</v>
      </c>
      <c r="G97" s="3">
        <v>3</v>
      </c>
      <c r="H97" s="3">
        <v>0</v>
      </c>
      <c r="I97" s="3">
        <v>7552</v>
      </c>
      <c r="J97" s="13">
        <v>20.574999999999999</v>
      </c>
      <c r="K97" s="3" t="s">
        <v>2210</v>
      </c>
      <c r="L97" s="3" t="s">
        <v>905</v>
      </c>
      <c r="M97" t="str" cm="1">
        <f t="array" ref="M97">_xlfn.IFS(INFO_Pasajeros[[#This Row],[Edad]]&lt;=13,"Niños",INFO_Pasajeros[[#This Row],[Edad]]&lt;=18,"Jóvenes",INFO_Pasajeros[[#This Row],[Edad]]&lt;=50,"Adultos",INFO_Pasajeros[[#This Row],[Edad]]&gt;=51,"Adultos Mayores")</f>
        <v>Adultos</v>
      </c>
    </row>
    <row r="98" spans="1:13" x14ac:dyDescent="0.25">
      <c r="A98" s="3" t="s">
        <v>1065</v>
      </c>
      <c r="B98" s="3" t="s">
        <v>902</v>
      </c>
      <c r="C98" s="3">
        <v>95</v>
      </c>
      <c r="D98" s="5">
        <v>22</v>
      </c>
      <c r="E98" s="3">
        <v>0</v>
      </c>
      <c r="F98" s="3">
        <v>0</v>
      </c>
      <c r="G98" s="3">
        <v>3</v>
      </c>
      <c r="H98" s="3">
        <v>0</v>
      </c>
      <c r="I98" s="3">
        <v>7553</v>
      </c>
      <c r="J98" s="13">
        <v>7.25</v>
      </c>
      <c r="K98" s="3" t="s">
        <v>2210</v>
      </c>
      <c r="L98" s="3" t="s">
        <v>905</v>
      </c>
      <c r="M98" t="str" cm="1">
        <f t="array" ref="M98">_xlfn.IFS(INFO_Pasajeros[[#This Row],[Edad]]&lt;=13,"Niños",INFO_Pasajeros[[#This Row],[Edad]]&lt;=18,"Jóvenes",INFO_Pasajeros[[#This Row],[Edad]]&lt;=50,"Adultos",INFO_Pasajeros[[#This Row],[Edad]]&gt;=51,"Adultos Mayores")</f>
        <v>Adultos</v>
      </c>
    </row>
    <row r="99" spans="1:13" x14ac:dyDescent="0.25">
      <c r="A99" s="3" t="s">
        <v>1066</v>
      </c>
      <c r="B99" s="3" t="s">
        <v>902</v>
      </c>
      <c r="C99" s="3">
        <v>96</v>
      </c>
      <c r="D99" s="5">
        <v>45</v>
      </c>
      <c r="E99" s="3">
        <v>0</v>
      </c>
      <c r="F99" s="3">
        <v>0</v>
      </c>
      <c r="G99" s="3">
        <v>3</v>
      </c>
      <c r="H99" s="3">
        <v>0</v>
      </c>
      <c r="I99" s="3">
        <v>7598</v>
      </c>
      <c r="J99" s="13">
        <v>8.0500000000000007</v>
      </c>
      <c r="K99" s="3" t="s">
        <v>2210</v>
      </c>
      <c r="L99" s="3" t="s">
        <v>905</v>
      </c>
      <c r="M99" t="str" cm="1">
        <f t="array" ref="M99">_xlfn.IFS(INFO_Pasajeros[[#This Row],[Edad]]&lt;=13,"Niños",INFO_Pasajeros[[#This Row],[Edad]]&lt;=18,"Jóvenes",INFO_Pasajeros[[#This Row],[Edad]]&lt;=50,"Adultos",INFO_Pasajeros[[#This Row],[Edad]]&gt;=51,"Adultos Mayores")</f>
        <v>Adultos</v>
      </c>
    </row>
    <row r="100" spans="1:13" x14ac:dyDescent="0.25">
      <c r="A100" s="3" t="s">
        <v>1067</v>
      </c>
      <c r="B100" s="3" t="s">
        <v>902</v>
      </c>
      <c r="C100" s="3">
        <v>97</v>
      </c>
      <c r="D100" s="5">
        <v>32</v>
      </c>
      <c r="E100" s="3">
        <v>0</v>
      </c>
      <c r="F100" s="3">
        <v>0</v>
      </c>
      <c r="G100" s="3">
        <v>1</v>
      </c>
      <c r="H100" s="3">
        <v>0</v>
      </c>
      <c r="I100" s="3">
        <v>8471</v>
      </c>
      <c r="J100" s="13">
        <v>346.54199999999997</v>
      </c>
      <c r="K100" s="3" t="s">
        <v>2210</v>
      </c>
      <c r="L100" s="3" t="s">
        <v>905</v>
      </c>
      <c r="M100" t="str" cm="1">
        <f t="array" ref="M100">_xlfn.IFS(INFO_Pasajeros[[#This Row],[Edad]]&lt;=13,"Niños",INFO_Pasajeros[[#This Row],[Edad]]&lt;=18,"Jóvenes",INFO_Pasajeros[[#This Row],[Edad]]&lt;=50,"Adultos",INFO_Pasajeros[[#This Row],[Edad]]&gt;=51,"Adultos Mayores")</f>
        <v>Adultos</v>
      </c>
    </row>
    <row r="101" spans="1:13" x14ac:dyDescent="0.25">
      <c r="A101" s="3" t="s">
        <v>1070</v>
      </c>
      <c r="B101" s="3" t="s">
        <v>902</v>
      </c>
      <c r="C101" s="3">
        <v>98</v>
      </c>
      <c r="D101" s="5">
        <v>21</v>
      </c>
      <c r="E101" s="3">
        <v>1</v>
      </c>
      <c r="F101" s="3">
        <v>0</v>
      </c>
      <c r="G101" s="3">
        <v>1</v>
      </c>
      <c r="H101" s="3">
        <v>1</v>
      </c>
      <c r="I101" s="3">
        <v>8475</v>
      </c>
      <c r="J101" s="13">
        <v>633.58299999999997</v>
      </c>
      <c r="K101" s="3" t="s">
        <v>2210</v>
      </c>
      <c r="L101" s="3" t="s">
        <v>905</v>
      </c>
      <c r="M101" t="str" cm="1">
        <f t="array" ref="M101">_xlfn.IFS(INFO_Pasajeros[[#This Row],[Edad]]&lt;=13,"Niños",INFO_Pasajeros[[#This Row],[Edad]]&lt;=18,"Jóvenes",INFO_Pasajeros[[#This Row],[Edad]]&lt;=50,"Adultos",INFO_Pasajeros[[#This Row],[Edad]]&gt;=51,"Adultos Mayores")</f>
        <v>Adultos</v>
      </c>
    </row>
    <row r="102" spans="1:13" x14ac:dyDescent="0.25">
      <c r="A102" s="3" t="s">
        <v>1073</v>
      </c>
      <c r="B102" s="3" t="s">
        <v>907</v>
      </c>
      <c r="C102" s="3">
        <v>99</v>
      </c>
      <c r="D102" s="5">
        <v>43</v>
      </c>
      <c r="E102" s="3">
        <v>1</v>
      </c>
      <c r="F102" s="3">
        <v>0</v>
      </c>
      <c r="G102" s="3">
        <v>2</v>
      </c>
      <c r="H102" s="3">
        <v>1</v>
      </c>
      <c r="I102" s="3">
        <v>9234</v>
      </c>
      <c r="J102" s="13">
        <v>23</v>
      </c>
      <c r="K102" s="3" t="s">
        <v>2210</v>
      </c>
      <c r="L102" s="3" t="s">
        <v>919</v>
      </c>
      <c r="M102" t="str" cm="1">
        <f t="array" ref="M102">_xlfn.IFS(INFO_Pasajeros[[#This Row],[Edad]]&lt;=13,"Niños",INFO_Pasajeros[[#This Row],[Edad]]&lt;=18,"Jóvenes",INFO_Pasajeros[[#This Row],[Edad]]&lt;=50,"Adultos",INFO_Pasajeros[[#This Row],[Edad]]&gt;=51,"Adultos Mayores")</f>
        <v>Adultos</v>
      </c>
    </row>
    <row r="103" spans="1:13" x14ac:dyDescent="0.25">
      <c r="A103" s="3" t="s">
        <v>1074</v>
      </c>
      <c r="B103" s="3" t="s">
        <v>902</v>
      </c>
      <c r="C103" s="3">
        <v>100</v>
      </c>
      <c r="D103" s="5">
        <v>27</v>
      </c>
      <c r="E103" s="3">
        <v>0</v>
      </c>
      <c r="F103" s="3">
        <v>1</v>
      </c>
      <c r="G103" s="3">
        <v>2</v>
      </c>
      <c r="H103" s="3">
        <v>0</v>
      </c>
      <c r="I103" s="3">
        <v>11668</v>
      </c>
      <c r="J103" s="13">
        <v>26</v>
      </c>
      <c r="K103" s="3" t="s">
        <v>2210</v>
      </c>
      <c r="L103" s="3" t="s">
        <v>905</v>
      </c>
      <c r="M103" t="str" cm="1">
        <f t="array" ref="M103">_xlfn.IFS(INFO_Pasajeros[[#This Row],[Edad]]&lt;=13,"Niños",INFO_Pasajeros[[#This Row],[Edad]]&lt;=18,"Jóvenes",INFO_Pasajeros[[#This Row],[Edad]]&lt;=50,"Adultos",INFO_Pasajeros[[#This Row],[Edad]]&gt;=51,"Adultos Mayores")</f>
        <v>Adultos</v>
      </c>
    </row>
    <row r="104" spans="1:13" x14ac:dyDescent="0.25">
      <c r="A104" s="3" t="s">
        <v>1075</v>
      </c>
      <c r="B104" s="3" t="s">
        <v>907</v>
      </c>
      <c r="C104" s="3">
        <v>101</v>
      </c>
      <c r="D104" s="5">
        <v>29</v>
      </c>
      <c r="E104" s="3">
        <v>0</v>
      </c>
      <c r="F104" s="3">
        <v>0</v>
      </c>
      <c r="G104" s="3">
        <v>3</v>
      </c>
      <c r="H104" s="3">
        <v>0</v>
      </c>
      <c r="I104" s="3">
        <v>11668</v>
      </c>
      <c r="J104" s="13">
        <v>78.957999999999998</v>
      </c>
      <c r="K104" s="3" t="s">
        <v>2210</v>
      </c>
      <c r="L104" s="3" t="s">
        <v>905</v>
      </c>
      <c r="M104" t="str" cm="1">
        <f t="array" ref="M104">_xlfn.IFS(INFO_Pasajeros[[#This Row],[Edad]]&lt;=13,"Niños",INFO_Pasajeros[[#This Row],[Edad]]&lt;=18,"Jóvenes",INFO_Pasajeros[[#This Row],[Edad]]&lt;=50,"Adultos",INFO_Pasajeros[[#This Row],[Edad]]&gt;=51,"Adultos Mayores")</f>
        <v>Adultos</v>
      </c>
    </row>
    <row r="105" spans="1:13" x14ac:dyDescent="0.25">
      <c r="A105" s="3" t="s">
        <v>1076</v>
      </c>
      <c r="B105" s="3" t="s">
        <v>902</v>
      </c>
      <c r="C105" s="3">
        <v>102</v>
      </c>
      <c r="D105" s="5">
        <v>37</v>
      </c>
      <c r="E105" s="3">
        <v>0</v>
      </c>
      <c r="F105" s="3">
        <v>0</v>
      </c>
      <c r="G105" s="3">
        <v>3</v>
      </c>
      <c r="H105" s="3">
        <v>0</v>
      </c>
      <c r="I105" s="3">
        <v>11751</v>
      </c>
      <c r="J105" s="13">
        <v>78.957999999999998</v>
      </c>
      <c r="K105" s="3" t="s">
        <v>1311</v>
      </c>
      <c r="L105" s="3" t="s">
        <v>905</v>
      </c>
      <c r="M105" t="str" cm="1">
        <f t="array" ref="M105">_xlfn.IFS(INFO_Pasajeros[[#This Row],[Edad]]&lt;=13,"Niños",INFO_Pasajeros[[#This Row],[Edad]]&lt;=18,"Jóvenes",INFO_Pasajeros[[#This Row],[Edad]]&lt;=50,"Adultos",INFO_Pasajeros[[#This Row],[Edad]]&gt;=51,"Adultos Mayores")</f>
        <v>Adultos</v>
      </c>
    </row>
    <row r="106" spans="1:13" x14ac:dyDescent="0.25">
      <c r="A106" s="3" t="s">
        <v>1077</v>
      </c>
      <c r="B106" s="3" t="s">
        <v>902</v>
      </c>
      <c r="C106" s="3">
        <v>103</v>
      </c>
      <c r="D106" s="5">
        <v>47</v>
      </c>
      <c r="E106" s="3">
        <v>1</v>
      </c>
      <c r="F106" s="3">
        <v>0</v>
      </c>
      <c r="G106" s="3">
        <v>1</v>
      </c>
      <c r="H106" s="3">
        <v>0</v>
      </c>
      <c r="I106" s="3">
        <v>11751</v>
      </c>
      <c r="J106" s="13">
        <v>772.875</v>
      </c>
      <c r="K106" s="3" t="s">
        <v>1311</v>
      </c>
      <c r="L106" s="3" t="s">
        <v>905</v>
      </c>
      <c r="M106" t="str" cm="1">
        <f t="array" ref="M106">_xlfn.IFS(INFO_Pasajeros[[#This Row],[Edad]]&lt;=13,"Niños",INFO_Pasajeros[[#This Row],[Edad]]&lt;=18,"Jóvenes",INFO_Pasajeros[[#This Row],[Edad]]&lt;=50,"Adultos",INFO_Pasajeros[[#This Row],[Edad]]&gt;=51,"Adultos Mayores")</f>
        <v>Adultos</v>
      </c>
    </row>
    <row r="107" spans="1:13" x14ac:dyDescent="0.25">
      <c r="A107" s="3" t="s">
        <v>1079</v>
      </c>
      <c r="B107" s="3" t="s">
        <v>902</v>
      </c>
      <c r="C107" s="3">
        <v>104</v>
      </c>
      <c r="D107" s="5">
        <v>19</v>
      </c>
      <c r="E107" s="3">
        <v>0</v>
      </c>
      <c r="F107" s="3">
        <v>0</v>
      </c>
      <c r="G107" s="3">
        <v>3</v>
      </c>
      <c r="H107" s="3">
        <v>0</v>
      </c>
      <c r="I107" s="3">
        <v>11752</v>
      </c>
      <c r="J107" s="13">
        <v>86.542000000000002</v>
      </c>
      <c r="K107" s="3" t="s">
        <v>1130</v>
      </c>
      <c r="L107" s="3" t="s">
        <v>905</v>
      </c>
      <c r="M107" t="str" cm="1">
        <f t="array" ref="M107">_xlfn.IFS(INFO_Pasajeros[[#This Row],[Edad]]&lt;=13,"Niños",INFO_Pasajeros[[#This Row],[Edad]]&lt;=18,"Jóvenes",INFO_Pasajeros[[#This Row],[Edad]]&lt;=50,"Adultos",INFO_Pasajeros[[#This Row],[Edad]]&gt;=51,"Adultos Mayores")</f>
        <v>Adultos</v>
      </c>
    </row>
    <row r="108" spans="1:13" x14ac:dyDescent="0.25">
      <c r="A108" s="3" t="s">
        <v>1080</v>
      </c>
      <c r="B108" s="3" t="s">
        <v>902</v>
      </c>
      <c r="C108" s="3">
        <v>105</v>
      </c>
      <c r="D108" s="5">
        <v>42</v>
      </c>
      <c r="E108" s="3">
        <v>0</v>
      </c>
      <c r="F108" s="3">
        <v>2</v>
      </c>
      <c r="G108" s="3">
        <v>3</v>
      </c>
      <c r="H108" s="3">
        <v>0</v>
      </c>
      <c r="I108" s="3">
        <v>11753</v>
      </c>
      <c r="J108" s="13">
        <v>7.9249999999999998</v>
      </c>
      <c r="K108" s="3" t="s">
        <v>1850</v>
      </c>
      <c r="L108" s="3" t="s">
        <v>905</v>
      </c>
      <c r="M108" t="str" cm="1">
        <f t="array" ref="M108">_xlfn.IFS(INFO_Pasajeros[[#This Row],[Edad]]&lt;=13,"Niños",INFO_Pasajeros[[#This Row],[Edad]]&lt;=18,"Jóvenes",INFO_Pasajeros[[#This Row],[Edad]]&lt;=50,"Adultos",INFO_Pasajeros[[#This Row],[Edad]]&gt;=51,"Adultos Mayores")</f>
        <v>Adultos</v>
      </c>
    </row>
    <row r="109" spans="1:13" x14ac:dyDescent="0.25">
      <c r="A109" s="3" t="s">
        <v>1081</v>
      </c>
      <c r="B109" s="3" t="s">
        <v>902</v>
      </c>
      <c r="C109" s="3">
        <v>106</v>
      </c>
      <c r="D109" s="5">
        <v>48</v>
      </c>
      <c r="E109" s="3">
        <v>0</v>
      </c>
      <c r="F109" s="3">
        <v>0</v>
      </c>
      <c r="G109" s="3">
        <v>3</v>
      </c>
      <c r="H109" s="3">
        <v>0</v>
      </c>
      <c r="I109" s="3">
        <v>11755</v>
      </c>
      <c r="J109" s="13">
        <v>78.957999999999998</v>
      </c>
      <c r="K109" s="3" t="s">
        <v>1763</v>
      </c>
      <c r="L109" s="3" t="s">
        <v>910</v>
      </c>
      <c r="M109" t="str" cm="1">
        <f t="array" ref="M109">_xlfn.IFS(INFO_Pasajeros[[#This Row],[Edad]]&lt;=13,"Niños",INFO_Pasajeros[[#This Row],[Edad]]&lt;=18,"Jóvenes",INFO_Pasajeros[[#This Row],[Edad]]&lt;=50,"Adultos",INFO_Pasajeros[[#This Row],[Edad]]&gt;=51,"Adultos Mayores")</f>
        <v>Adultos</v>
      </c>
    </row>
    <row r="110" spans="1:13" x14ac:dyDescent="0.25">
      <c r="A110" s="3" t="s">
        <v>1082</v>
      </c>
      <c r="B110" s="3" t="s">
        <v>907</v>
      </c>
      <c r="C110" s="3">
        <v>107</v>
      </c>
      <c r="D110" s="5">
        <v>25</v>
      </c>
      <c r="E110" s="3">
        <v>0</v>
      </c>
      <c r="F110" s="3">
        <v>0</v>
      </c>
      <c r="G110" s="3">
        <v>3</v>
      </c>
      <c r="H110" s="3">
        <v>1</v>
      </c>
      <c r="I110" s="3">
        <v>11765</v>
      </c>
      <c r="J110" s="13">
        <v>7.65</v>
      </c>
      <c r="K110" s="3" t="s">
        <v>1505</v>
      </c>
      <c r="L110" s="3" t="s">
        <v>910</v>
      </c>
      <c r="M110" t="str" cm="1">
        <f t="array" ref="M110">_xlfn.IFS(INFO_Pasajeros[[#This Row],[Edad]]&lt;=13,"Niños",INFO_Pasajeros[[#This Row],[Edad]]&lt;=18,"Jóvenes",INFO_Pasajeros[[#This Row],[Edad]]&lt;=50,"Adultos",INFO_Pasajeros[[#This Row],[Edad]]&gt;=51,"Adultos Mayores")</f>
        <v>Adultos</v>
      </c>
    </row>
    <row r="111" spans="1:13" x14ac:dyDescent="0.25">
      <c r="A111" s="3" t="s">
        <v>1083</v>
      </c>
      <c r="B111" s="3" t="s">
        <v>902</v>
      </c>
      <c r="C111" s="3">
        <v>108</v>
      </c>
      <c r="D111" s="5">
        <v>24</v>
      </c>
      <c r="E111" s="3">
        <v>0</v>
      </c>
      <c r="F111" s="3">
        <v>0</v>
      </c>
      <c r="G111" s="3">
        <v>3</v>
      </c>
      <c r="H111" s="3">
        <v>1</v>
      </c>
      <c r="I111" s="3">
        <v>11767</v>
      </c>
      <c r="J111" s="13">
        <v>7.7750000000000004</v>
      </c>
      <c r="K111" s="3" t="s">
        <v>1418</v>
      </c>
      <c r="L111" s="3" t="s">
        <v>910</v>
      </c>
      <c r="M111" t="str" cm="1">
        <f t="array" ref="M111">_xlfn.IFS(INFO_Pasajeros[[#This Row],[Edad]]&lt;=13,"Niños",INFO_Pasajeros[[#This Row],[Edad]]&lt;=18,"Jóvenes",INFO_Pasajeros[[#This Row],[Edad]]&lt;=50,"Adultos",INFO_Pasajeros[[#This Row],[Edad]]&gt;=51,"Adultos Mayores")</f>
        <v>Adultos</v>
      </c>
    </row>
    <row r="112" spans="1:13" x14ac:dyDescent="0.25">
      <c r="A112" s="3" t="s">
        <v>1084</v>
      </c>
      <c r="B112" s="3" t="s">
        <v>902</v>
      </c>
      <c r="C112" s="3">
        <v>109</v>
      </c>
      <c r="D112" s="5">
        <v>56</v>
      </c>
      <c r="E112" s="3">
        <v>0</v>
      </c>
      <c r="F112" s="3">
        <v>0</v>
      </c>
      <c r="G112" s="3">
        <v>3</v>
      </c>
      <c r="H112" s="3">
        <v>0</v>
      </c>
      <c r="I112" s="3">
        <v>11767</v>
      </c>
      <c r="J112" s="13">
        <v>78.957999999999998</v>
      </c>
      <c r="K112" s="3" t="s">
        <v>2183</v>
      </c>
      <c r="L112" s="3" t="s">
        <v>910</v>
      </c>
      <c r="M112" t="str" cm="1">
        <f t="array" ref="M112">_xlfn.IFS(INFO_Pasajeros[[#This Row],[Edad]]&lt;=13,"Niños",INFO_Pasajeros[[#This Row],[Edad]]&lt;=18,"Jóvenes",INFO_Pasajeros[[#This Row],[Edad]]&lt;=50,"Adultos",INFO_Pasajeros[[#This Row],[Edad]]&gt;=51,"Adultos Mayores")</f>
        <v>Adultos Mayores</v>
      </c>
    </row>
    <row r="113" spans="1:13" x14ac:dyDescent="0.25">
      <c r="A113" s="3" t="s">
        <v>1085</v>
      </c>
      <c r="B113" s="3" t="s">
        <v>907</v>
      </c>
      <c r="C113" s="3">
        <v>110</v>
      </c>
      <c r="D113" s="5">
        <v>53</v>
      </c>
      <c r="E113" s="3">
        <v>0</v>
      </c>
      <c r="F113" s="3">
        <v>1</v>
      </c>
      <c r="G113" s="3">
        <v>3</v>
      </c>
      <c r="H113" s="3">
        <v>1</v>
      </c>
      <c r="I113" s="3">
        <v>11769</v>
      </c>
      <c r="J113" s="13">
        <v>24.15</v>
      </c>
      <c r="K113" s="3" t="s">
        <v>1784</v>
      </c>
      <c r="L113" s="3" t="s">
        <v>905</v>
      </c>
      <c r="M113" t="str" cm="1">
        <f t="array" ref="M113">_xlfn.IFS(INFO_Pasajeros[[#This Row],[Edad]]&lt;=13,"Niños",INFO_Pasajeros[[#This Row],[Edad]]&lt;=18,"Jóvenes",INFO_Pasajeros[[#This Row],[Edad]]&lt;=50,"Adultos",INFO_Pasajeros[[#This Row],[Edad]]&gt;=51,"Adultos Mayores")</f>
        <v>Adultos Mayores</v>
      </c>
    </row>
    <row r="114" spans="1:13" x14ac:dyDescent="0.25">
      <c r="A114" s="3" t="s">
        <v>1087</v>
      </c>
      <c r="B114" s="3" t="s">
        <v>902</v>
      </c>
      <c r="C114" s="3">
        <v>111</v>
      </c>
      <c r="D114" s="5">
        <v>58</v>
      </c>
      <c r="E114" s="3">
        <v>0</v>
      </c>
      <c r="F114" s="3">
        <v>0</v>
      </c>
      <c r="G114" s="3">
        <v>1</v>
      </c>
      <c r="H114" s="3">
        <v>0</v>
      </c>
      <c r="I114" s="3">
        <v>11771</v>
      </c>
      <c r="J114" s="13">
        <v>52</v>
      </c>
      <c r="K114" s="3" t="s">
        <v>1661</v>
      </c>
      <c r="L114" s="3" t="s">
        <v>910</v>
      </c>
      <c r="M114" t="str" cm="1">
        <f t="array" ref="M114">_xlfn.IFS(INFO_Pasajeros[[#This Row],[Edad]]&lt;=13,"Niños",INFO_Pasajeros[[#This Row],[Edad]]&lt;=18,"Jóvenes",INFO_Pasajeros[[#This Row],[Edad]]&lt;=50,"Adultos",INFO_Pasajeros[[#This Row],[Edad]]&gt;=51,"Adultos Mayores")</f>
        <v>Adultos Mayores</v>
      </c>
    </row>
    <row r="115" spans="1:13" x14ac:dyDescent="0.25">
      <c r="A115" s="3" t="s">
        <v>1089</v>
      </c>
      <c r="B115" s="3" t="s">
        <v>907</v>
      </c>
      <c r="C115" s="3">
        <v>112</v>
      </c>
      <c r="D115" s="5">
        <v>48</v>
      </c>
      <c r="E115" s="3">
        <v>0</v>
      </c>
      <c r="F115" s="3">
        <v>1</v>
      </c>
      <c r="G115" s="3">
        <v>3</v>
      </c>
      <c r="H115" s="3">
        <v>0</v>
      </c>
      <c r="I115" s="3">
        <v>11774</v>
      </c>
      <c r="J115" s="13">
        <v>144.542</v>
      </c>
      <c r="K115" s="3" t="s">
        <v>2132</v>
      </c>
      <c r="L115" s="3" t="s">
        <v>910</v>
      </c>
      <c r="M115" t="str" cm="1">
        <f t="array" ref="M115">_xlfn.IFS(INFO_Pasajeros[[#This Row],[Edad]]&lt;=13,"Niños",INFO_Pasajeros[[#This Row],[Edad]]&lt;=18,"Jóvenes",INFO_Pasajeros[[#This Row],[Edad]]&lt;=50,"Adultos",INFO_Pasajeros[[#This Row],[Edad]]&gt;=51,"Adultos Mayores")</f>
        <v>Adultos</v>
      </c>
    </row>
    <row r="116" spans="1:13" x14ac:dyDescent="0.25">
      <c r="A116" s="3" t="s">
        <v>1091</v>
      </c>
      <c r="B116" s="3" t="s">
        <v>902</v>
      </c>
      <c r="C116" s="3">
        <v>113</v>
      </c>
      <c r="D116" s="5">
        <v>32</v>
      </c>
      <c r="E116" s="3">
        <v>0</v>
      </c>
      <c r="F116" s="3">
        <v>0</v>
      </c>
      <c r="G116" s="3">
        <v>3</v>
      </c>
      <c r="H116" s="3">
        <v>0</v>
      </c>
      <c r="I116" s="3">
        <v>11813</v>
      </c>
      <c r="J116" s="13">
        <v>8.0500000000000007</v>
      </c>
      <c r="K116" s="3" t="s">
        <v>1262</v>
      </c>
      <c r="L116" s="3" t="s">
        <v>910</v>
      </c>
      <c r="M116" t="str" cm="1">
        <f t="array" ref="M116">_xlfn.IFS(INFO_Pasajeros[[#This Row],[Edad]]&lt;=13,"Niños",INFO_Pasajeros[[#This Row],[Edad]]&lt;=18,"Jóvenes",INFO_Pasajeros[[#This Row],[Edad]]&lt;=50,"Adultos",INFO_Pasajeros[[#This Row],[Edad]]&gt;=51,"Adultos Mayores")</f>
        <v>Adultos</v>
      </c>
    </row>
    <row r="117" spans="1:13" x14ac:dyDescent="0.25">
      <c r="A117" s="3" t="s">
        <v>1092</v>
      </c>
      <c r="B117" s="3" t="s">
        <v>907</v>
      </c>
      <c r="C117" s="3">
        <v>114</v>
      </c>
      <c r="D117" s="5">
        <v>19</v>
      </c>
      <c r="E117" s="3">
        <v>0</v>
      </c>
      <c r="F117" s="3">
        <v>1</v>
      </c>
      <c r="G117" s="3">
        <v>3</v>
      </c>
      <c r="H117" s="3">
        <v>0</v>
      </c>
      <c r="I117" s="3">
        <v>11967</v>
      </c>
      <c r="J117" s="13">
        <v>9.8249999999999993</v>
      </c>
      <c r="K117" s="3" t="s">
        <v>1379</v>
      </c>
      <c r="L117" s="3" t="s">
        <v>910</v>
      </c>
      <c r="M117" t="str" cm="1">
        <f t="array" ref="M117">_xlfn.IFS(INFO_Pasajeros[[#This Row],[Edad]]&lt;=13,"Niños",INFO_Pasajeros[[#This Row],[Edad]]&lt;=18,"Jóvenes",INFO_Pasajeros[[#This Row],[Edad]]&lt;=50,"Adultos",INFO_Pasajeros[[#This Row],[Edad]]&gt;=51,"Adultos Mayores")</f>
        <v>Adultos</v>
      </c>
    </row>
    <row r="118" spans="1:13" x14ac:dyDescent="0.25">
      <c r="A118" s="3" t="s">
        <v>1093</v>
      </c>
      <c r="B118" s="3" t="s">
        <v>907</v>
      </c>
      <c r="C118" s="3">
        <v>115</v>
      </c>
      <c r="D118" s="5">
        <v>25</v>
      </c>
      <c r="E118" s="3">
        <v>0</v>
      </c>
      <c r="F118" s="3">
        <v>0</v>
      </c>
      <c r="G118" s="3">
        <v>3</v>
      </c>
      <c r="H118" s="3">
        <v>0</v>
      </c>
      <c r="I118" s="3">
        <v>11967</v>
      </c>
      <c r="J118" s="13">
        <v>144.583</v>
      </c>
      <c r="K118" s="3" t="s">
        <v>1379</v>
      </c>
      <c r="L118" s="3" t="s">
        <v>910</v>
      </c>
      <c r="M118" t="str" cm="1">
        <f t="array" ref="M118">_xlfn.IFS(INFO_Pasajeros[[#This Row],[Edad]]&lt;=13,"Niños",INFO_Pasajeros[[#This Row],[Edad]]&lt;=18,"Jóvenes",INFO_Pasajeros[[#This Row],[Edad]]&lt;=50,"Adultos",INFO_Pasajeros[[#This Row],[Edad]]&gt;=51,"Adultos Mayores")</f>
        <v>Adultos</v>
      </c>
    </row>
    <row r="119" spans="1:13" x14ac:dyDescent="0.25">
      <c r="A119" s="3" t="s">
        <v>1094</v>
      </c>
      <c r="B119" s="3" t="s">
        <v>902</v>
      </c>
      <c r="C119" s="3">
        <v>116</v>
      </c>
      <c r="D119" s="5">
        <v>34</v>
      </c>
      <c r="E119" s="3">
        <v>0</v>
      </c>
      <c r="F119" s="3">
        <v>0</v>
      </c>
      <c r="G119" s="3">
        <v>3</v>
      </c>
      <c r="H119" s="3">
        <v>0</v>
      </c>
      <c r="I119" s="3">
        <v>12233</v>
      </c>
      <c r="J119" s="13">
        <v>7.9249999999999998</v>
      </c>
      <c r="K119" s="3" t="s">
        <v>2210</v>
      </c>
      <c r="L119" s="3" t="s">
        <v>905</v>
      </c>
      <c r="M119" t="str" cm="1">
        <f t="array" ref="M119">_xlfn.IFS(INFO_Pasajeros[[#This Row],[Edad]]&lt;=13,"Niños",INFO_Pasajeros[[#This Row],[Edad]]&lt;=18,"Jóvenes",INFO_Pasajeros[[#This Row],[Edad]]&lt;=50,"Adultos",INFO_Pasajeros[[#This Row],[Edad]]&gt;=51,"Adultos Mayores")</f>
        <v>Adultos</v>
      </c>
    </row>
    <row r="120" spans="1:13" x14ac:dyDescent="0.25">
      <c r="A120" s="3" t="s">
        <v>1096</v>
      </c>
      <c r="B120" s="3" t="s">
        <v>902</v>
      </c>
      <c r="C120" s="3">
        <v>117</v>
      </c>
      <c r="D120" s="5">
        <v>79</v>
      </c>
      <c r="E120" s="3">
        <v>0</v>
      </c>
      <c r="F120" s="3">
        <v>0</v>
      </c>
      <c r="G120" s="3">
        <v>3</v>
      </c>
      <c r="H120" s="3">
        <v>0</v>
      </c>
      <c r="I120" s="3">
        <v>12460</v>
      </c>
      <c r="J120" s="13">
        <v>7.75</v>
      </c>
      <c r="K120" s="3" t="s">
        <v>2210</v>
      </c>
      <c r="L120" s="3" t="s">
        <v>919</v>
      </c>
      <c r="M120" t="str" cm="1">
        <f t="array" ref="M120">_xlfn.IFS(INFO_Pasajeros[[#This Row],[Edad]]&lt;=13,"Niños",INFO_Pasajeros[[#This Row],[Edad]]&lt;=18,"Jóvenes",INFO_Pasajeros[[#This Row],[Edad]]&lt;=50,"Adultos",INFO_Pasajeros[[#This Row],[Edad]]&gt;=51,"Adultos Mayores")</f>
        <v>Adultos Mayores</v>
      </c>
    </row>
    <row r="121" spans="1:13" x14ac:dyDescent="0.25">
      <c r="A121" s="3" t="s">
        <v>1098</v>
      </c>
      <c r="B121" s="3" t="s">
        <v>902</v>
      </c>
      <c r="C121" s="3">
        <v>118</v>
      </c>
      <c r="D121" s="5">
        <v>30</v>
      </c>
      <c r="E121" s="3">
        <v>0</v>
      </c>
      <c r="F121" s="3">
        <v>1</v>
      </c>
      <c r="G121" s="3">
        <v>2</v>
      </c>
      <c r="H121" s="3">
        <v>0</v>
      </c>
      <c r="I121" s="3">
        <v>12749</v>
      </c>
      <c r="J121" s="13">
        <v>21</v>
      </c>
      <c r="K121" s="3" t="s">
        <v>1713</v>
      </c>
      <c r="L121" s="3" t="s">
        <v>905</v>
      </c>
      <c r="M121" t="str" cm="1">
        <f t="array" ref="M121">_xlfn.IFS(INFO_Pasajeros[[#This Row],[Edad]]&lt;=13,"Niños",INFO_Pasajeros[[#This Row],[Edad]]&lt;=18,"Jóvenes",INFO_Pasajeros[[#This Row],[Edad]]&lt;=50,"Adultos",INFO_Pasajeros[[#This Row],[Edad]]&gt;=51,"Adultos Mayores")</f>
        <v>Adultos</v>
      </c>
    </row>
    <row r="122" spans="1:13" x14ac:dyDescent="0.25">
      <c r="A122" s="3" t="s">
        <v>1099</v>
      </c>
      <c r="B122" s="3" t="s">
        <v>902</v>
      </c>
      <c r="C122" s="3">
        <v>119</v>
      </c>
      <c r="D122" s="5">
        <v>52</v>
      </c>
      <c r="E122" s="3">
        <v>1</v>
      </c>
      <c r="F122" s="3">
        <v>0</v>
      </c>
      <c r="G122" s="3">
        <v>1</v>
      </c>
      <c r="H122" s="3">
        <v>0</v>
      </c>
      <c r="I122" s="3">
        <v>12749</v>
      </c>
      <c r="J122" s="13">
        <v>247.52080000000001</v>
      </c>
      <c r="K122" s="3" t="s">
        <v>2108</v>
      </c>
      <c r="L122" s="3" t="s">
        <v>905</v>
      </c>
      <c r="M122" t="str" cm="1">
        <f t="array" ref="M122">_xlfn.IFS(INFO_Pasajeros[[#This Row],[Edad]]&lt;=13,"Niños",INFO_Pasajeros[[#This Row],[Edad]]&lt;=18,"Jóvenes",INFO_Pasajeros[[#This Row],[Edad]]&lt;=50,"Adultos",INFO_Pasajeros[[#This Row],[Edad]]&gt;=51,"Adultos Mayores")</f>
        <v>Adultos Mayores</v>
      </c>
    </row>
    <row r="123" spans="1:13" x14ac:dyDescent="0.25">
      <c r="A123" s="3" t="s">
        <v>1102</v>
      </c>
      <c r="B123" s="3" t="s">
        <v>907</v>
      </c>
      <c r="C123" s="3">
        <v>120</v>
      </c>
      <c r="D123" s="5">
        <v>36</v>
      </c>
      <c r="E123" s="3">
        <v>2</v>
      </c>
      <c r="F123" s="3">
        <v>4</v>
      </c>
      <c r="G123" s="3">
        <v>3</v>
      </c>
      <c r="H123" s="3">
        <v>0</v>
      </c>
      <c r="I123" s="3">
        <v>13049</v>
      </c>
      <c r="J123" s="13">
        <v>31.274999999999999</v>
      </c>
      <c r="K123" s="3" t="s">
        <v>1801</v>
      </c>
      <c r="L123" s="3" t="s">
        <v>910</v>
      </c>
      <c r="M123" t="str" cm="1">
        <f t="array" ref="M123">_xlfn.IFS(INFO_Pasajeros[[#This Row],[Edad]]&lt;=13,"Niños",INFO_Pasajeros[[#This Row],[Edad]]&lt;=18,"Jóvenes",INFO_Pasajeros[[#This Row],[Edad]]&lt;=50,"Adultos",INFO_Pasajeros[[#This Row],[Edad]]&gt;=51,"Adultos Mayores")</f>
        <v>Adultos</v>
      </c>
    </row>
    <row r="124" spans="1:13" x14ac:dyDescent="0.25">
      <c r="A124" s="3" t="s">
        <v>1103</v>
      </c>
      <c r="B124" s="3" t="s">
        <v>902</v>
      </c>
      <c r="C124" s="3">
        <v>121</v>
      </c>
      <c r="D124" s="5">
        <v>56</v>
      </c>
      <c r="E124" s="3">
        <v>0</v>
      </c>
      <c r="F124" s="3">
        <v>2</v>
      </c>
      <c r="G124" s="3">
        <v>2</v>
      </c>
      <c r="H124" s="3">
        <v>0</v>
      </c>
      <c r="I124" s="3">
        <v>13213</v>
      </c>
      <c r="J124" s="13">
        <v>73.5</v>
      </c>
      <c r="K124" s="3" t="s">
        <v>1882</v>
      </c>
      <c r="L124" s="3" t="s">
        <v>910</v>
      </c>
      <c r="M124" t="str" cm="1">
        <f t="array" ref="M124">_xlfn.IFS(INFO_Pasajeros[[#This Row],[Edad]]&lt;=13,"Niños",INFO_Pasajeros[[#This Row],[Edad]]&lt;=18,"Jóvenes",INFO_Pasajeros[[#This Row],[Edad]]&lt;=50,"Adultos",INFO_Pasajeros[[#This Row],[Edad]]&gt;=51,"Adultos Mayores")</f>
        <v>Adultos Mayores</v>
      </c>
    </row>
    <row r="125" spans="1:13" x14ac:dyDescent="0.25">
      <c r="A125" s="3" t="s">
        <v>1104</v>
      </c>
      <c r="B125" s="3" t="s">
        <v>902</v>
      </c>
      <c r="C125" s="3">
        <v>122</v>
      </c>
      <c r="D125" s="5">
        <v>32</v>
      </c>
      <c r="E125" s="3">
        <v>0</v>
      </c>
      <c r="F125" s="3">
        <v>0</v>
      </c>
      <c r="G125" s="3">
        <v>3</v>
      </c>
      <c r="H125" s="3">
        <v>0</v>
      </c>
      <c r="I125" s="3">
        <v>13214</v>
      </c>
      <c r="J125" s="13">
        <v>8.0500000000000007</v>
      </c>
      <c r="K125" s="3" t="s">
        <v>1865</v>
      </c>
      <c r="L125" s="3" t="s">
        <v>910</v>
      </c>
      <c r="M125" t="str" cm="1">
        <f t="array" ref="M125">_xlfn.IFS(INFO_Pasajeros[[#This Row],[Edad]]&lt;=13,"Niños",INFO_Pasajeros[[#This Row],[Edad]]&lt;=18,"Jóvenes",INFO_Pasajeros[[#This Row],[Edad]]&lt;=50,"Adultos",INFO_Pasajeros[[#This Row],[Edad]]&gt;=51,"Adultos Mayores")</f>
        <v>Adultos</v>
      </c>
    </row>
    <row r="126" spans="1:13" x14ac:dyDescent="0.25">
      <c r="A126" s="3" t="s">
        <v>1106</v>
      </c>
      <c r="B126" s="3" t="s">
        <v>902</v>
      </c>
      <c r="C126" s="3">
        <v>123</v>
      </c>
      <c r="D126" s="5">
        <v>63</v>
      </c>
      <c r="E126" s="3">
        <v>0</v>
      </c>
      <c r="F126" s="3">
        <v>1</v>
      </c>
      <c r="G126" s="3">
        <v>2</v>
      </c>
      <c r="H126" s="3">
        <v>0</v>
      </c>
      <c r="I126" s="3">
        <v>13502</v>
      </c>
      <c r="J126" s="13">
        <v>300.70800000000003</v>
      </c>
      <c r="K126" s="3" t="s">
        <v>1357</v>
      </c>
      <c r="L126" s="3" t="s">
        <v>905</v>
      </c>
      <c r="M126" t="str" cm="1">
        <f t="array" ref="M126">_xlfn.IFS(INFO_Pasajeros[[#This Row],[Edad]]&lt;=13,"Niños",INFO_Pasajeros[[#This Row],[Edad]]&lt;=18,"Jóvenes",INFO_Pasajeros[[#This Row],[Edad]]&lt;=50,"Adultos",INFO_Pasajeros[[#This Row],[Edad]]&gt;=51,"Adultos Mayores")</f>
        <v>Adultos Mayores</v>
      </c>
    </row>
    <row r="127" spans="1:13" x14ac:dyDescent="0.25">
      <c r="A127" s="3" t="s">
        <v>1108</v>
      </c>
      <c r="B127" s="3" t="s">
        <v>907</v>
      </c>
      <c r="C127" s="3">
        <v>124</v>
      </c>
      <c r="D127" s="5">
        <v>21</v>
      </c>
      <c r="E127" s="3">
        <v>0</v>
      </c>
      <c r="F127" s="3">
        <v>0</v>
      </c>
      <c r="G127" s="3">
        <v>2</v>
      </c>
      <c r="H127" s="3">
        <v>1</v>
      </c>
      <c r="I127" s="3">
        <v>13502</v>
      </c>
      <c r="J127" s="13">
        <v>13</v>
      </c>
      <c r="K127" s="3" t="s">
        <v>1858</v>
      </c>
      <c r="L127" s="3" t="s">
        <v>905</v>
      </c>
      <c r="M127" t="str" cm="1">
        <f t="array" ref="M127">_xlfn.IFS(INFO_Pasajeros[[#This Row],[Edad]]&lt;=13,"Niños",INFO_Pasajeros[[#This Row],[Edad]]&lt;=18,"Jóvenes",INFO_Pasajeros[[#This Row],[Edad]]&lt;=50,"Adultos",INFO_Pasajeros[[#This Row],[Edad]]&gt;=51,"Adultos Mayores")</f>
        <v>Adultos</v>
      </c>
    </row>
    <row r="128" spans="1:13" x14ac:dyDescent="0.25">
      <c r="A128" s="3" t="s">
        <v>1110</v>
      </c>
      <c r="B128" s="3" t="s">
        <v>902</v>
      </c>
      <c r="C128" s="3">
        <v>125</v>
      </c>
      <c r="D128" s="5">
        <v>51</v>
      </c>
      <c r="E128" s="3">
        <v>1</v>
      </c>
      <c r="F128" s="3">
        <v>0</v>
      </c>
      <c r="G128" s="3">
        <v>1</v>
      </c>
      <c r="H128" s="3">
        <v>0</v>
      </c>
      <c r="I128" s="3">
        <v>13502</v>
      </c>
      <c r="J128" s="13">
        <v>772.875</v>
      </c>
      <c r="K128" s="3" t="s">
        <v>2034</v>
      </c>
      <c r="L128" s="3" t="s">
        <v>905</v>
      </c>
      <c r="M128" t="str" cm="1">
        <f t="array" ref="M128">_xlfn.IFS(INFO_Pasajeros[[#This Row],[Edad]]&lt;=13,"Niños",INFO_Pasajeros[[#This Row],[Edad]]&lt;=18,"Jóvenes",INFO_Pasajeros[[#This Row],[Edad]]&lt;=50,"Adultos",INFO_Pasajeros[[#This Row],[Edad]]&gt;=51,"Adultos Mayores")</f>
        <v>Adultos Mayores</v>
      </c>
    </row>
    <row r="129" spans="1:13" x14ac:dyDescent="0.25">
      <c r="A129" s="3" t="s">
        <v>1111</v>
      </c>
      <c r="B129" s="3" t="s">
        <v>902</v>
      </c>
      <c r="C129" s="3">
        <v>126</v>
      </c>
      <c r="D129" s="5">
        <v>50</v>
      </c>
      <c r="E129" s="3">
        <v>0</v>
      </c>
      <c r="F129" s="3">
        <v>1</v>
      </c>
      <c r="G129" s="3">
        <v>3</v>
      </c>
      <c r="H129" s="3">
        <v>1</v>
      </c>
      <c r="I129" s="3">
        <v>13507</v>
      </c>
      <c r="J129" s="13">
        <v>112.417</v>
      </c>
      <c r="K129" s="3" t="s">
        <v>1589</v>
      </c>
      <c r="L129" s="3" t="s">
        <v>905</v>
      </c>
      <c r="M129" t="str" cm="1">
        <f t="array" ref="M129">_xlfn.IFS(INFO_Pasajeros[[#This Row],[Edad]]&lt;=13,"Niños",INFO_Pasajeros[[#This Row],[Edad]]&lt;=18,"Jóvenes",INFO_Pasajeros[[#This Row],[Edad]]&lt;=50,"Adultos",INFO_Pasajeros[[#This Row],[Edad]]&gt;=51,"Adultos Mayores")</f>
        <v>Adultos</v>
      </c>
    </row>
    <row r="130" spans="1:13" x14ac:dyDescent="0.25">
      <c r="A130" s="3" t="s">
        <v>1112</v>
      </c>
      <c r="B130" s="3" t="s">
        <v>902</v>
      </c>
      <c r="C130" s="3">
        <v>127</v>
      </c>
      <c r="D130" s="5">
        <v>39</v>
      </c>
      <c r="E130" s="3">
        <v>0</v>
      </c>
      <c r="F130" s="3">
        <v>0</v>
      </c>
      <c r="G130" s="3">
        <v>3</v>
      </c>
      <c r="H130" s="3">
        <v>0</v>
      </c>
      <c r="I130" s="3">
        <v>13507</v>
      </c>
      <c r="J130" s="13">
        <v>7.75</v>
      </c>
      <c r="K130" s="3" t="s">
        <v>1589</v>
      </c>
      <c r="L130" s="3" t="s">
        <v>905</v>
      </c>
      <c r="M130" t="str" cm="1">
        <f t="array" ref="M130">_xlfn.IFS(INFO_Pasajeros[[#This Row],[Edad]]&lt;=13,"Niños",INFO_Pasajeros[[#This Row],[Edad]]&lt;=18,"Jóvenes",INFO_Pasajeros[[#This Row],[Edad]]&lt;=50,"Adultos",INFO_Pasajeros[[#This Row],[Edad]]&gt;=51,"Adultos Mayores")</f>
        <v>Adultos</v>
      </c>
    </row>
    <row r="131" spans="1:13" x14ac:dyDescent="0.25">
      <c r="A131" s="3" t="s">
        <v>1113</v>
      </c>
      <c r="B131" s="3" t="s">
        <v>902</v>
      </c>
      <c r="C131" s="3">
        <v>128</v>
      </c>
      <c r="D131" s="5">
        <v>65</v>
      </c>
      <c r="E131" s="3">
        <v>0</v>
      </c>
      <c r="F131" s="3">
        <v>0</v>
      </c>
      <c r="G131" s="3">
        <v>3</v>
      </c>
      <c r="H131" s="3">
        <v>1</v>
      </c>
      <c r="I131" s="3">
        <v>13509</v>
      </c>
      <c r="J131" s="13">
        <v>71.417000000000002</v>
      </c>
      <c r="K131" s="3" t="s">
        <v>1618</v>
      </c>
      <c r="L131" s="3" t="s">
        <v>905</v>
      </c>
      <c r="M131" t="str" cm="1">
        <f t="array" ref="M131">_xlfn.IFS(INFO_Pasajeros[[#This Row],[Edad]]&lt;=13,"Niños",INFO_Pasajeros[[#This Row],[Edad]]&lt;=18,"Jóvenes",INFO_Pasajeros[[#This Row],[Edad]]&lt;=50,"Adultos",INFO_Pasajeros[[#This Row],[Edad]]&gt;=51,"Adultos Mayores")</f>
        <v>Adultos Mayores</v>
      </c>
    </row>
    <row r="132" spans="1:13" x14ac:dyDescent="0.25">
      <c r="A132" s="3" t="s">
        <v>1115</v>
      </c>
      <c r="B132" s="3" t="s">
        <v>907</v>
      </c>
      <c r="C132" s="3">
        <v>129</v>
      </c>
      <c r="D132" s="5">
        <v>60</v>
      </c>
      <c r="E132" s="3">
        <v>1</v>
      </c>
      <c r="F132" s="3">
        <v>1</v>
      </c>
      <c r="G132" s="3">
        <v>3</v>
      </c>
      <c r="H132" s="3">
        <v>1</v>
      </c>
      <c r="I132" s="3">
        <v>13567</v>
      </c>
      <c r="J132" s="13">
        <v>223.583</v>
      </c>
      <c r="K132" s="3" t="s">
        <v>1807</v>
      </c>
      <c r="L132" s="3" t="s">
        <v>910</v>
      </c>
      <c r="M132" t="str" cm="1">
        <f t="array" ref="M132">_xlfn.IFS(INFO_Pasajeros[[#This Row],[Edad]]&lt;=13,"Niños",INFO_Pasajeros[[#This Row],[Edad]]&lt;=18,"Jóvenes",INFO_Pasajeros[[#This Row],[Edad]]&lt;=50,"Adultos",INFO_Pasajeros[[#This Row],[Edad]]&gt;=51,"Adultos Mayores")</f>
        <v>Adultos Mayores</v>
      </c>
    </row>
    <row r="133" spans="1:13" x14ac:dyDescent="0.25">
      <c r="A133" s="3" t="s">
        <v>1117</v>
      </c>
      <c r="B133" s="3" t="s">
        <v>902</v>
      </c>
      <c r="C133" s="3">
        <v>130</v>
      </c>
      <c r="D133" s="5">
        <v>22</v>
      </c>
      <c r="E133" s="3">
        <v>0</v>
      </c>
      <c r="F133" s="3">
        <v>0</v>
      </c>
      <c r="G133" s="3">
        <v>3</v>
      </c>
      <c r="H133" s="3">
        <v>0</v>
      </c>
      <c r="I133" s="3">
        <v>13568</v>
      </c>
      <c r="J133" s="13">
        <v>6.9749999999999996</v>
      </c>
      <c r="K133" s="3" t="s">
        <v>1739</v>
      </c>
      <c r="L133" s="3" t="s">
        <v>910</v>
      </c>
      <c r="M133" t="str" cm="1">
        <f t="array" ref="M133">_xlfn.IFS(INFO_Pasajeros[[#This Row],[Edad]]&lt;=13,"Niños",INFO_Pasajeros[[#This Row],[Edad]]&lt;=18,"Jóvenes",INFO_Pasajeros[[#This Row],[Edad]]&lt;=50,"Adultos",INFO_Pasajeros[[#This Row],[Edad]]&gt;=51,"Adultos Mayores")</f>
        <v>Adultos</v>
      </c>
    </row>
    <row r="134" spans="1:13" x14ac:dyDescent="0.25">
      <c r="A134" s="3" t="s">
        <v>1118</v>
      </c>
      <c r="B134" s="3" t="s">
        <v>902</v>
      </c>
      <c r="C134" s="3">
        <v>131</v>
      </c>
      <c r="D134" s="5">
        <v>22</v>
      </c>
      <c r="E134" s="3">
        <v>0</v>
      </c>
      <c r="F134" s="3">
        <v>0</v>
      </c>
      <c r="G134" s="3">
        <v>3</v>
      </c>
      <c r="H134" s="3">
        <v>0</v>
      </c>
      <c r="I134" s="3">
        <v>14311</v>
      </c>
      <c r="J134" s="13">
        <v>78.957999999999998</v>
      </c>
      <c r="K134" s="3" t="s">
        <v>2210</v>
      </c>
      <c r="L134" s="3" t="s">
        <v>919</v>
      </c>
      <c r="M134" t="str" cm="1">
        <f t="array" ref="M134">_xlfn.IFS(INFO_Pasajeros[[#This Row],[Edad]]&lt;=13,"Niños",INFO_Pasajeros[[#This Row],[Edad]]&lt;=18,"Jóvenes",INFO_Pasajeros[[#This Row],[Edad]]&lt;=50,"Adultos",INFO_Pasajeros[[#This Row],[Edad]]&gt;=51,"Adultos Mayores")</f>
        <v>Adultos</v>
      </c>
    </row>
    <row r="135" spans="1:13" x14ac:dyDescent="0.25">
      <c r="A135" s="3" t="s">
        <v>1119</v>
      </c>
      <c r="B135" s="3" t="s">
        <v>902</v>
      </c>
      <c r="C135" s="3">
        <v>132</v>
      </c>
      <c r="D135" s="5">
        <v>22</v>
      </c>
      <c r="E135" s="3">
        <v>0</v>
      </c>
      <c r="F135" s="3">
        <v>0</v>
      </c>
      <c r="G135" s="3">
        <v>3</v>
      </c>
      <c r="H135" s="3">
        <v>0</v>
      </c>
      <c r="I135" s="3">
        <v>14312</v>
      </c>
      <c r="J135" s="13">
        <v>7.05</v>
      </c>
      <c r="K135" s="3" t="s">
        <v>2210</v>
      </c>
      <c r="L135" s="3" t="s">
        <v>919</v>
      </c>
      <c r="M135" t="str" cm="1">
        <f t="array" ref="M135">_xlfn.IFS(INFO_Pasajeros[[#This Row],[Edad]]&lt;=13,"Niños",INFO_Pasajeros[[#This Row],[Edad]]&lt;=18,"Jóvenes",INFO_Pasajeros[[#This Row],[Edad]]&lt;=50,"Adultos",INFO_Pasajeros[[#This Row],[Edad]]&gt;=51,"Adultos Mayores")</f>
        <v>Adultos</v>
      </c>
    </row>
    <row r="136" spans="1:13" x14ac:dyDescent="0.25">
      <c r="A136" s="3" t="s">
        <v>1122</v>
      </c>
      <c r="B136" s="3" t="s">
        <v>907</v>
      </c>
      <c r="C136" s="3">
        <v>133</v>
      </c>
      <c r="D136" s="5">
        <v>26</v>
      </c>
      <c r="E136" s="3">
        <v>0</v>
      </c>
      <c r="F136" s="3">
        <v>1</v>
      </c>
      <c r="G136" s="3">
        <v>3</v>
      </c>
      <c r="H136" s="3">
        <v>0</v>
      </c>
      <c r="I136" s="3">
        <v>14313</v>
      </c>
      <c r="J136" s="13">
        <v>14.5</v>
      </c>
      <c r="K136" s="3" t="s">
        <v>2210</v>
      </c>
      <c r="L136" s="3" t="s">
        <v>919</v>
      </c>
      <c r="M136" t="str" cm="1">
        <f t="array" ref="M136">_xlfn.IFS(INFO_Pasajeros[[#This Row],[Edad]]&lt;=13,"Niños",INFO_Pasajeros[[#This Row],[Edad]]&lt;=18,"Jóvenes",INFO_Pasajeros[[#This Row],[Edad]]&lt;=50,"Adultos",INFO_Pasajeros[[#This Row],[Edad]]&gt;=51,"Adultos Mayores")</f>
        <v>Adultos</v>
      </c>
    </row>
    <row r="137" spans="1:13" x14ac:dyDescent="0.25">
      <c r="A137" s="3" t="s">
        <v>1124</v>
      </c>
      <c r="B137" s="3" t="s">
        <v>907</v>
      </c>
      <c r="C137" s="3">
        <v>134</v>
      </c>
      <c r="D137" s="5">
        <v>22</v>
      </c>
      <c r="E137" s="3">
        <v>0</v>
      </c>
      <c r="F137" s="3">
        <v>1</v>
      </c>
      <c r="G137" s="3">
        <v>2</v>
      </c>
      <c r="H137" s="3">
        <v>1</v>
      </c>
      <c r="I137" s="3">
        <v>14973</v>
      </c>
      <c r="J137" s="13">
        <v>26</v>
      </c>
      <c r="K137" s="3" t="s">
        <v>2210</v>
      </c>
      <c r="L137" s="3" t="s">
        <v>905</v>
      </c>
      <c r="M137" t="str" cm="1">
        <f t="array" ref="M137">_xlfn.IFS(INFO_Pasajeros[[#This Row],[Edad]]&lt;=13,"Niños",INFO_Pasajeros[[#This Row],[Edad]]&lt;=18,"Jóvenes",INFO_Pasajeros[[#This Row],[Edad]]&lt;=50,"Adultos",INFO_Pasajeros[[#This Row],[Edad]]&gt;=51,"Adultos Mayores")</f>
        <v>Adultos</v>
      </c>
    </row>
    <row r="138" spans="1:13" x14ac:dyDescent="0.25">
      <c r="A138" s="3" t="s">
        <v>1125</v>
      </c>
      <c r="B138" s="3" t="s">
        <v>902</v>
      </c>
      <c r="C138" s="3">
        <v>135</v>
      </c>
      <c r="D138" s="5">
        <v>40</v>
      </c>
      <c r="E138" s="3">
        <v>0</v>
      </c>
      <c r="F138" s="3">
        <v>0</v>
      </c>
      <c r="G138" s="3">
        <v>2</v>
      </c>
      <c r="H138" s="3">
        <v>0</v>
      </c>
      <c r="I138" s="3">
        <v>16966</v>
      </c>
      <c r="J138" s="13">
        <v>13</v>
      </c>
      <c r="K138" s="3" t="s">
        <v>1433</v>
      </c>
      <c r="L138" s="3" t="s">
        <v>910</v>
      </c>
      <c r="M138" t="str" cm="1">
        <f t="array" ref="M138">_xlfn.IFS(INFO_Pasajeros[[#This Row],[Edad]]&lt;=13,"Niños",INFO_Pasajeros[[#This Row],[Edad]]&lt;=18,"Jóvenes",INFO_Pasajeros[[#This Row],[Edad]]&lt;=50,"Adultos",INFO_Pasajeros[[#This Row],[Edad]]&gt;=51,"Adultos Mayores")</f>
        <v>Adultos</v>
      </c>
    </row>
    <row r="139" spans="1:13" x14ac:dyDescent="0.25">
      <c r="A139" s="3" t="s">
        <v>1127</v>
      </c>
      <c r="B139" s="3" t="s">
        <v>902</v>
      </c>
      <c r="C139" s="3">
        <v>136</v>
      </c>
      <c r="D139" s="5">
        <v>41</v>
      </c>
      <c r="E139" s="3">
        <v>0</v>
      </c>
      <c r="F139" s="3">
        <v>0</v>
      </c>
      <c r="G139" s="3">
        <v>2</v>
      </c>
      <c r="H139" s="3">
        <v>0</v>
      </c>
      <c r="I139" s="3">
        <v>16966</v>
      </c>
      <c r="J139" s="13">
        <v>150.458</v>
      </c>
      <c r="K139" s="3" t="s">
        <v>1459</v>
      </c>
      <c r="L139" s="3" t="s">
        <v>910</v>
      </c>
      <c r="M139" t="str" cm="1">
        <f t="array" ref="M139">_xlfn.IFS(INFO_Pasajeros[[#This Row],[Edad]]&lt;=13,"Niños",INFO_Pasajeros[[#This Row],[Edad]]&lt;=18,"Jóvenes",INFO_Pasajeros[[#This Row],[Edad]]&lt;=50,"Adultos",INFO_Pasajeros[[#This Row],[Edad]]&gt;=51,"Adultos Mayores")</f>
        <v>Adultos</v>
      </c>
    </row>
    <row r="140" spans="1:13" x14ac:dyDescent="0.25">
      <c r="A140" s="3" t="s">
        <v>1129</v>
      </c>
      <c r="B140" s="3" t="s">
        <v>907</v>
      </c>
      <c r="C140" s="3">
        <v>137</v>
      </c>
      <c r="D140" s="5">
        <v>42</v>
      </c>
      <c r="E140" s="3">
        <v>2</v>
      </c>
      <c r="F140" s="3">
        <v>0</v>
      </c>
      <c r="G140" s="3">
        <v>1</v>
      </c>
      <c r="H140" s="3">
        <v>1</v>
      </c>
      <c r="I140" s="3">
        <v>16988</v>
      </c>
      <c r="J140" s="13">
        <v>262.83300000000003</v>
      </c>
      <c r="K140" s="3" t="s">
        <v>2002</v>
      </c>
      <c r="L140" s="3" t="s">
        <v>905</v>
      </c>
      <c r="M140" t="str" cm="1">
        <f t="array" ref="M140">_xlfn.IFS(INFO_Pasajeros[[#This Row],[Edad]]&lt;=13,"Niños",INFO_Pasajeros[[#This Row],[Edad]]&lt;=18,"Jóvenes",INFO_Pasajeros[[#This Row],[Edad]]&lt;=50,"Adultos",INFO_Pasajeros[[#This Row],[Edad]]&gt;=51,"Adultos Mayores")</f>
        <v>Adultos</v>
      </c>
    </row>
    <row r="141" spans="1:13" x14ac:dyDescent="0.25">
      <c r="A141" s="3" t="s">
        <v>1131</v>
      </c>
      <c r="B141" s="3" t="s">
        <v>902</v>
      </c>
      <c r="C141" s="3">
        <v>138</v>
      </c>
      <c r="D141" s="5">
        <v>24</v>
      </c>
      <c r="E141" s="3">
        <v>0</v>
      </c>
      <c r="F141" s="3">
        <v>1</v>
      </c>
      <c r="G141" s="3">
        <v>1</v>
      </c>
      <c r="H141" s="3">
        <v>0</v>
      </c>
      <c r="I141" s="3">
        <v>17421</v>
      </c>
      <c r="J141" s="13">
        <v>53.1</v>
      </c>
      <c r="K141" s="3" t="s">
        <v>2210</v>
      </c>
      <c r="L141" s="3" t="s">
        <v>910</v>
      </c>
      <c r="M141" t="str" cm="1">
        <f t="array" ref="M141">_xlfn.IFS(INFO_Pasajeros[[#This Row],[Edad]]&lt;=13,"Niños",INFO_Pasajeros[[#This Row],[Edad]]&lt;=18,"Jóvenes",INFO_Pasajeros[[#This Row],[Edad]]&lt;=50,"Adultos",INFO_Pasajeros[[#This Row],[Edad]]&gt;=51,"Adultos Mayores")</f>
        <v>Adultos</v>
      </c>
    </row>
    <row r="142" spans="1:13" x14ac:dyDescent="0.25">
      <c r="A142" s="3" t="s">
        <v>1132</v>
      </c>
      <c r="B142" s="3" t="s">
        <v>902</v>
      </c>
      <c r="C142" s="3">
        <v>139</v>
      </c>
      <c r="D142" s="5">
        <v>17</v>
      </c>
      <c r="E142" s="3">
        <v>0</v>
      </c>
      <c r="F142" s="3">
        <v>0</v>
      </c>
      <c r="G142" s="3">
        <v>3</v>
      </c>
      <c r="H142" s="3">
        <v>0</v>
      </c>
      <c r="I142" s="3">
        <v>17421</v>
      </c>
      <c r="J142" s="13">
        <v>92.167000000000002</v>
      </c>
      <c r="K142" s="3" t="s">
        <v>1755</v>
      </c>
      <c r="L142" s="3" t="s">
        <v>910</v>
      </c>
      <c r="M142" t="str" cm="1">
        <f t="array" ref="M142">_xlfn.IFS(INFO_Pasajeros[[#This Row],[Edad]]&lt;=13,"Niños",INFO_Pasajeros[[#This Row],[Edad]]&lt;=18,"Jóvenes",INFO_Pasajeros[[#This Row],[Edad]]&lt;=50,"Adultos",INFO_Pasajeros[[#This Row],[Edad]]&gt;=51,"Adultos Mayores")</f>
        <v>Jóvenes</v>
      </c>
    </row>
    <row r="143" spans="1:13" x14ac:dyDescent="0.25">
      <c r="A143" s="3" t="s">
        <v>1133</v>
      </c>
      <c r="B143" s="3" t="s">
        <v>902</v>
      </c>
      <c r="C143" s="3">
        <v>140</v>
      </c>
      <c r="D143" s="5">
        <v>39</v>
      </c>
      <c r="E143" s="3">
        <v>0</v>
      </c>
      <c r="F143" s="3">
        <v>0</v>
      </c>
      <c r="G143" s="3">
        <v>1</v>
      </c>
      <c r="H143" s="3">
        <v>0</v>
      </c>
      <c r="I143" s="3">
        <v>17421</v>
      </c>
      <c r="J143" s="13">
        <v>79.2</v>
      </c>
      <c r="K143" s="3" t="s">
        <v>1798</v>
      </c>
      <c r="L143" s="3" t="s">
        <v>910</v>
      </c>
      <c r="M143" t="str" cm="1">
        <f t="array" ref="M143">_xlfn.IFS(INFO_Pasajeros[[#This Row],[Edad]]&lt;=13,"Niños",INFO_Pasajeros[[#This Row],[Edad]]&lt;=18,"Jóvenes",INFO_Pasajeros[[#This Row],[Edad]]&lt;=50,"Adultos",INFO_Pasajeros[[#This Row],[Edad]]&gt;=51,"Adultos Mayores")</f>
        <v>Adultos</v>
      </c>
    </row>
    <row r="144" spans="1:13" x14ac:dyDescent="0.25">
      <c r="A144" s="3" t="s">
        <v>1137</v>
      </c>
      <c r="B144" s="3" t="s">
        <v>907</v>
      </c>
      <c r="C144" s="3">
        <v>141</v>
      </c>
      <c r="D144" s="5">
        <v>49</v>
      </c>
      <c r="E144" s="3">
        <v>2</v>
      </c>
      <c r="F144" s="3">
        <v>0</v>
      </c>
      <c r="G144" s="3">
        <v>3</v>
      </c>
      <c r="H144" s="3">
        <v>0</v>
      </c>
      <c r="I144" s="3">
        <v>17421</v>
      </c>
      <c r="J144" s="13">
        <v>152.458</v>
      </c>
      <c r="K144" s="3" t="s">
        <v>1798</v>
      </c>
      <c r="L144" s="3" t="s">
        <v>910</v>
      </c>
      <c r="M144" t="str" cm="1">
        <f t="array" ref="M144">_xlfn.IFS(INFO_Pasajeros[[#This Row],[Edad]]&lt;=13,"Niños",INFO_Pasajeros[[#This Row],[Edad]]&lt;=18,"Jóvenes",INFO_Pasajeros[[#This Row],[Edad]]&lt;=50,"Adultos",INFO_Pasajeros[[#This Row],[Edad]]&gt;=51,"Adultos Mayores")</f>
        <v>Adultos</v>
      </c>
    </row>
    <row r="145" spans="1:13" x14ac:dyDescent="0.25">
      <c r="A145" s="3" t="s">
        <v>1138</v>
      </c>
      <c r="B145" s="3" t="s">
        <v>907</v>
      </c>
      <c r="C145" s="3">
        <v>142</v>
      </c>
      <c r="D145" s="5">
        <v>49</v>
      </c>
      <c r="E145" s="3">
        <v>0</v>
      </c>
      <c r="F145" s="3">
        <v>0</v>
      </c>
      <c r="G145" s="3">
        <v>3</v>
      </c>
      <c r="H145" s="3">
        <v>1</v>
      </c>
      <c r="I145" s="3">
        <v>17453</v>
      </c>
      <c r="J145" s="13">
        <v>7.75</v>
      </c>
      <c r="K145" s="3" t="s">
        <v>1613</v>
      </c>
      <c r="L145" s="3" t="s">
        <v>910</v>
      </c>
      <c r="M145" t="str" cm="1">
        <f t="array" ref="M145">_xlfn.IFS(INFO_Pasajeros[[#This Row],[Edad]]&lt;=13,"Niños",INFO_Pasajeros[[#This Row],[Edad]]&lt;=18,"Jóvenes",INFO_Pasajeros[[#This Row],[Edad]]&lt;=50,"Adultos",INFO_Pasajeros[[#This Row],[Edad]]&gt;=51,"Adultos Mayores")</f>
        <v>Adultos</v>
      </c>
    </row>
    <row r="146" spans="1:13" x14ac:dyDescent="0.25">
      <c r="A146" s="3" t="s">
        <v>1139</v>
      </c>
      <c r="B146" s="3" t="s">
        <v>907</v>
      </c>
      <c r="C146" s="3">
        <v>143</v>
      </c>
      <c r="D146" s="5">
        <v>55</v>
      </c>
      <c r="E146" s="3">
        <v>0</v>
      </c>
      <c r="F146" s="3">
        <v>1</v>
      </c>
      <c r="G146" s="3">
        <v>3</v>
      </c>
      <c r="H146" s="3">
        <v>1</v>
      </c>
      <c r="I146" s="3">
        <v>17453</v>
      </c>
      <c r="J146" s="13">
        <v>15.85</v>
      </c>
      <c r="K146" s="3" t="s">
        <v>1613</v>
      </c>
      <c r="L146" s="3" t="s">
        <v>910</v>
      </c>
      <c r="M146" t="str" cm="1">
        <f t="array" ref="M146">_xlfn.IFS(INFO_Pasajeros[[#This Row],[Edad]]&lt;=13,"Niños",INFO_Pasajeros[[#This Row],[Edad]]&lt;=18,"Jóvenes",INFO_Pasajeros[[#This Row],[Edad]]&lt;=50,"Adultos",INFO_Pasajeros[[#This Row],[Edad]]&gt;=51,"Adultos Mayores")</f>
        <v>Adultos Mayores</v>
      </c>
    </row>
    <row r="147" spans="1:13" x14ac:dyDescent="0.25">
      <c r="A147" s="3" t="s">
        <v>1141</v>
      </c>
      <c r="B147" s="3" t="s">
        <v>902</v>
      </c>
      <c r="C147" s="3">
        <v>144</v>
      </c>
      <c r="D147" s="5">
        <v>54</v>
      </c>
      <c r="E147" s="3">
        <v>0</v>
      </c>
      <c r="F147" s="3">
        <v>0</v>
      </c>
      <c r="G147" s="3">
        <v>3</v>
      </c>
      <c r="H147" s="3">
        <v>0</v>
      </c>
      <c r="I147" s="3">
        <v>17463</v>
      </c>
      <c r="J147" s="13">
        <v>6.75</v>
      </c>
      <c r="K147" s="3" t="s">
        <v>921</v>
      </c>
      <c r="L147" s="3" t="s">
        <v>905</v>
      </c>
      <c r="M147" t="str" cm="1">
        <f t="array" ref="M147">_xlfn.IFS(INFO_Pasajeros[[#This Row],[Edad]]&lt;=13,"Niños",INFO_Pasajeros[[#This Row],[Edad]]&lt;=18,"Jóvenes",INFO_Pasajeros[[#This Row],[Edad]]&lt;=50,"Adultos",INFO_Pasajeros[[#This Row],[Edad]]&gt;=51,"Adultos Mayores")</f>
        <v>Adultos Mayores</v>
      </c>
    </row>
    <row r="148" spans="1:13" x14ac:dyDescent="0.25">
      <c r="A148" s="3" t="s">
        <v>1143</v>
      </c>
      <c r="B148" s="3" t="s">
        <v>902</v>
      </c>
      <c r="C148" s="3">
        <v>145</v>
      </c>
      <c r="D148" s="5">
        <v>13</v>
      </c>
      <c r="E148" s="3">
        <v>0</v>
      </c>
      <c r="F148" s="3">
        <v>0</v>
      </c>
      <c r="G148" s="3">
        <v>2</v>
      </c>
      <c r="H148" s="3">
        <v>0</v>
      </c>
      <c r="I148" s="3">
        <v>17464</v>
      </c>
      <c r="J148" s="13">
        <v>11.5</v>
      </c>
      <c r="K148" s="3" t="s">
        <v>1620</v>
      </c>
      <c r="L148" s="3" t="s">
        <v>905</v>
      </c>
      <c r="M148" t="str" cm="1">
        <f t="array" ref="M148">_xlfn.IFS(INFO_Pasajeros[[#This Row],[Edad]]&lt;=13,"Niños",INFO_Pasajeros[[#This Row],[Edad]]&lt;=18,"Jóvenes",INFO_Pasajeros[[#This Row],[Edad]]&lt;=50,"Adultos",INFO_Pasajeros[[#This Row],[Edad]]&gt;=51,"Adultos Mayores")</f>
        <v>Niños</v>
      </c>
    </row>
    <row r="149" spans="1:13" x14ac:dyDescent="0.25">
      <c r="A149" s="3" t="s">
        <v>1145</v>
      </c>
      <c r="B149" s="3" t="s">
        <v>902</v>
      </c>
      <c r="C149" s="3">
        <v>146</v>
      </c>
      <c r="D149" s="5">
        <v>49</v>
      </c>
      <c r="E149" s="3">
        <v>1</v>
      </c>
      <c r="F149" s="3">
        <v>1</v>
      </c>
      <c r="G149" s="3">
        <v>2</v>
      </c>
      <c r="H149" s="3">
        <v>0</v>
      </c>
      <c r="I149" s="3">
        <v>17465</v>
      </c>
      <c r="J149" s="13">
        <v>36.75</v>
      </c>
      <c r="K149" s="3" t="s">
        <v>2076</v>
      </c>
      <c r="L149" s="3" t="s">
        <v>905</v>
      </c>
      <c r="M149" t="str" cm="1">
        <f t="array" ref="M149">_xlfn.IFS(INFO_Pasajeros[[#This Row],[Edad]]&lt;=13,"Niños",INFO_Pasajeros[[#This Row],[Edad]]&lt;=18,"Jóvenes",INFO_Pasajeros[[#This Row],[Edad]]&lt;=50,"Adultos",INFO_Pasajeros[[#This Row],[Edad]]&gt;=51,"Adultos Mayores")</f>
        <v>Adultos</v>
      </c>
    </row>
    <row r="150" spans="1:13" x14ac:dyDescent="0.25">
      <c r="A150" s="3" t="s">
        <v>1148</v>
      </c>
      <c r="B150" s="3" t="s">
        <v>902</v>
      </c>
      <c r="C150" s="3">
        <v>147</v>
      </c>
      <c r="D150" s="5">
        <v>48</v>
      </c>
      <c r="E150" s="3">
        <v>0</v>
      </c>
      <c r="F150" s="3">
        <v>0</v>
      </c>
      <c r="G150" s="3">
        <v>3</v>
      </c>
      <c r="H150" s="3">
        <v>1</v>
      </c>
      <c r="I150" s="3">
        <v>17466</v>
      </c>
      <c r="J150" s="13">
        <v>77.957999999999998</v>
      </c>
      <c r="K150" s="3" t="s">
        <v>2076</v>
      </c>
      <c r="L150" s="3" t="s">
        <v>905</v>
      </c>
      <c r="M150" t="str" cm="1">
        <f t="array" ref="M150">_xlfn.IFS(INFO_Pasajeros[[#This Row],[Edad]]&lt;=13,"Niños",INFO_Pasajeros[[#This Row],[Edad]]&lt;=18,"Jóvenes",INFO_Pasajeros[[#This Row],[Edad]]&lt;=50,"Adultos",INFO_Pasajeros[[#This Row],[Edad]]&gt;=51,"Adultos Mayores")</f>
        <v>Adultos</v>
      </c>
    </row>
    <row r="151" spans="1:13" x14ac:dyDescent="0.25">
      <c r="A151" s="3" t="s">
        <v>1149</v>
      </c>
      <c r="B151" s="3" t="s">
        <v>907</v>
      </c>
      <c r="C151" s="3">
        <v>148</v>
      </c>
      <c r="D151" s="5">
        <v>31</v>
      </c>
      <c r="E151" s="3">
        <v>2</v>
      </c>
      <c r="F151" s="3">
        <v>2</v>
      </c>
      <c r="G151" s="3">
        <v>3</v>
      </c>
      <c r="H151" s="3">
        <v>0</v>
      </c>
      <c r="I151" s="3">
        <v>17474</v>
      </c>
      <c r="J151" s="13">
        <v>34.375</v>
      </c>
      <c r="K151" s="3" t="s">
        <v>1940</v>
      </c>
      <c r="L151" s="3" t="s">
        <v>905</v>
      </c>
      <c r="M151" t="str" cm="1">
        <f t="array" ref="M151">_xlfn.IFS(INFO_Pasajeros[[#This Row],[Edad]]&lt;=13,"Niños",INFO_Pasajeros[[#This Row],[Edad]]&lt;=18,"Jóvenes",INFO_Pasajeros[[#This Row],[Edad]]&lt;=50,"Adultos",INFO_Pasajeros[[#This Row],[Edad]]&gt;=51,"Adultos Mayores")</f>
        <v>Adultos</v>
      </c>
    </row>
    <row r="152" spans="1:13" x14ac:dyDescent="0.25">
      <c r="A152" s="3" t="s">
        <v>1150</v>
      </c>
      <c r="B152" s="3" t="s">
        <v>902</v>
      </c>
      <c r="C152" s="3">
        <v>149</v>
      </c>
      <c r="D152" s="5">
        <v>17</v>
      </c>
      <c r="E152" s="3">
        <v>2</v>
      </c>
      <c r="F152" s="3">
        <v>0</v>
      </c>
      <c r="G152" s="3">
        <v>2</v>
      </c>
      <c r="H152" s="3">
        <v>0</v>
      </c>
      <c r="I152" s="3">
        <v>17474</v>
      </c>
      <c r="J152" s="13">
        <v>26</v>
      </c>
      <c r="K152" s="3" t="s">
        <v>1940</v>
      </c>
      <c r="L152" s="3" t="s">
        <v>905</v>
      </c>
      <c r="M152" t="str" cm="1">
        <f t="array" ref="M152">_xlfn.IFS(INFO_Pasajeros[[#This Row],[Edad]]&lt;=13,"Niños",INFO_Pasajeros[[#This Row],[Edad]]&lt;=18,"Jóvenes",INFO_Pasajeros[[#This Row],[Edad]]&lt;=50,"Adultos",INFO_Pasajeros[[#This Row],[Edad]]&gt;=51,"Adultos Mayores")</f>
        <v>Jóvenes</v>
      </c>
    </row>
    <row r="153" spans="1:13" x14ac:dyDescent="0.25">
      <c r="A153" s="3" t="s">
        <v>1153</v>
      </c>
      <c r="B153" s="3" t="s">
        <v>902</v>
      </c>
      <c r="C153" s="3">
        <v>150</v>
      </c>
      <c r="D153" s="5">
        <v>56</v>
      </c>
      <c r="E153" s="3">
        <v>0</v>
      </c>
      <c r="F153" s="3">
        <v>0</v>
      </c>
      <c r="G153" s="3">
        <v>2</v>
      </c>
      <c r="H153" s="3">
        <v>0</v>
      </c>
      <c r="I153" s="3">
        <v>17764</v>
      </c>
      <c r="J153" s="13">
        <v>13</v>
      </c>
      <c r="K153" s="3" t="s">
        <v>1199</v>
      </c>
      <c r="L153" s="3" t="s">
        <v>910</v>
      </c>
      <c r="M153" t="str" cm="1">
        <f t="array" ref="M153">_xlfn.IFS(INFO_Pasajeros[[#This Row],[Edad]]&lt;=13,"Niños",INFO_Pasajeros[[#This Row],[Edad]]&lt;=18,"Jóvenes",INFO_Pasajeros[[#This Row],[Edad]]&lt;=50,"Adultos",INFO_Pasajeros[[#This Row],[Edad]]&gt;=51,"Adultos Mayores")</f>
        <v>Adultos Mayores</v>
      </c>
    </row>
    <row r="154" spans="1:13" x14ac:dyDescent="0.25">
      <c r="A154" s="3" t="s">
        <v>1154</v>
      </c>
      <c r="B154" s="3" t="s">
        <v>902</v>
      </c>
      <c r="C154" s="3">
        <v>151</v>
      </c>
      <c r="D154" s="5">
        <v>26</v>
      </c>
      <c r="E154" s="3">
        <v>0</v>
      </c>
      <c r="F154" s="3">
        <v>0</v>
      </c>
      <c r="G154" s="3">
        <v>2</v>
      </c>
      <c r="H154" s="3">
        <v>0</v>
      </c>
      <c r="I154" s="3">
        <v>19877</v>
      </c>
      <c r="J154" s="13">
        <v>12.525</v>
      </c>
      <c r="K154" s="3" t="s">
        <v>2210</v>
      </c>
      <c r="L154" s="3" t="s">
        <v>905</v>
      </c>
      <c r="M154" t="str" cm="1">
        <f t="array" ref="M154">_xlfn.IFS(INFO_Pasajeros[[#This Row],[Edad]]&lt;=13,"Niños",INFO_Pasajeros[[#This Row],[Edad]]&lt;=18,"Jóvenes",INFO_Pasajeros[[#This Row],[Edad]]&lt;=50,"Adultos",INFO_Pasajeros[[#This Row],[Edad]]&gt;=51,"Adultos Mayores")</f>
        <v>Adultos</v>
      </c>
    </row>
    <row r="155" spans="1:13" x14ac:dyDescent="0.25">
      <c r="A155" s="3" t="s">
        <v>1156</v>
      </c>
      <c r="B155" s="3" t="s">
        <v>907</v>
      </c>
      <c r="C155" s="3">
        <v>152</v>
      </c>
      <c r="D155" s="5">
        <v>36</v>
      </c>
      <c r="E155" s="3">
        <v>0</v>
      </c>
      <c r="F155" s="3">
        <v>1</v>
      </c>
      <c r="G155" s="3">
        <v>1</v>
      </c>
      <c r="H155" s="3">
        <v>1</v>
      </c>
      <c r="I155" s="3">
        <v>19877</v>
      </c>
      <c r="J155" s="13">
        <v>66.599999999999994</v>
      </c>
      <c r="K155" s="3" t="s">
        <v>2004</v>
      </c>
      <c r="L155" s="3" t="s">
        <v>905</v>
      </c>
      <c r="M155" t="str" cm="1">
        <f t="array" ref="M155">_xlfn.IFS(INFO_Pasajeros[[#This Row],[Edad]]&lt;=13,"Niños",INFO_Pasajeros[[#This Row],[Edad]]&lt;=18,"Jóvenes",INFO_Pasajeros[[#This Row],[Edad]]&lt;=50,"Adultos",INFO_Pasajeros[[#This Row],[Edad]]&gt;=51,"Adultos Mayores")</f>
        <v>Adultos</v>
      </c>
    </row>
    <row r="156" spans="1:13" x14ac:dyDescent="0.25">
      <c r="A156" s="3" t="s">
        <v>1159</v>
      </c>
      <c r="B156" s="3" t="s">
        <v>902</v>
      </c>
      <c r="C156" s="3">
        <v>153</v>
      </c>
      <c r="D156" s="5">
        <v>44</v>
      </c>
      <c r="E156" s="3">
        <v>0</v>
      </c>
      <c r="F156" s="3">
        <v>0</v>
      </c>
      <c r="G156" s="3">
        <v>3</v>
      </c>
      <c r="H156" s="3">
        <v>0</v>
      </c>
      <c r="I156" s="3">
        <v>19928</v>
      </c>
      <c r="J156" s="13">
        <v>8.0500000000000007</v>
      </c>
      <c r="K156" s="3" t="s">
        <v>1307</v>
      </c>
      <c r="L156" s="3" t="s">
        <v>919</v>
      </c>
      <c r="M156" t="str" cm="1">
        <f t="array" ref="M156">_xlfn.IFS(INFO_Pasajeros[[#This Row],[Edad]]&lt;=13,"Niños",INFO_Pasajeros[[#This Row],[Edad]]&lt;=18,"Jóvenes",INFO_Pasajeros[[#This Row],[Edad]]&lt;=50,"Adultos",INFO_Pasajeros[[#This Row],[Edad]]&gt;=51,"Adultos Mayores")</f>
        <v>Adultos</v>
      </c>
    </row>
    <row r="157" spans="1:13" x14ac:dyDescent="0.25">
      <c r="A157" s="3" t="s">
        <v>1162</v>
      </c>
      <c r="B157" s="3" t="s">
        <v>902</v>
      </c>
      <c r="C157" s="3">
        <v>154</v>
      </c>
      <c r="D157" s="5">
        <v>33</v>
      </c>
      <c r="E157" s="3">
        <v>2</v>
      </c>
      <c r="F157" s="3">
        <v>0</v>
      </c>
      <c r="G157" s="3">
        <v>3</v>
      </c>
      <c r="H157" s="3">
        <v>0</v>
      </c>
      <c r="I157" s="3">
        <v>19928</v>
      </c>
      <c r="J157" s="13">
        <v>14.5</v>
      </c>
      <c r="K157" s="3" t="s">
        <v>1307</v>
      </c>
      <c r="L157" s="3" t="s">
        <v>919</v>
      </c>
      <c r="M157" t="str" cm="1">
        <f t="array" ref="M157">_xlfn.IFS(INFO_Pasajeros[[#This Row],[Edad]]&lt;=13,"Niños",INFO_Pasajeros[[#This Row],[Edad]]&lt;=18,"Jóvenes",INFO_Pasajeros[[#This Row],[Edad]]&lt;=50,"Adultos",INFO_Pasajeros[[#This Row],[Edad]]&gt;=51,"Adultos Mayores")</f>
        <v>Adultos</v>
      </c>
    </row>
    <row r="158" spans="1:13" x14ac:dyDescent="0.25">
      <c r="A158" s="3" t="s">
        <v>1165</v>
      </c>
      <c r="B158" s="3" t="s">
        <v>902</v>
      </c>
      <c r="C158" s="3">
        <v>155</v>
      </c>
      <c r="D158" s="5">
        <v>38</v>
      </c>
      <c r="E158" s="3">
        <v>0</v>
      </c>
      <c r="F158" s="3">
        <v>0</v>
      </c>
      <c r="G158" s="3">
        <v>3</v>
      </c>
      <c r="H158" s="3">
        <v>0</v>
      </c>
      <c r="I158" s="3">
        <v>19943</v>
      </c>
      <c r="J158" s="13">
        <v>73.125</v>
      </c>
      <c r="K158" s="3" t="s">
        <v>1271</v>
      </c>
      <c r="L158" s="3" t="s">
        <v>905</v>
      </c>
      <c r="M158" t="str" cm="1">
        <f t="array" ref="M158">_xlfn.IFS(INFO_Pasajeros[[#This Row],[Edad]]&lt;=13,"Niños",INFO_Pasajeros[[#This Row],[Edad]]&lt;=18,"Jóvenes",INFO_Pasajeros[[#This Row],[Edad]]&lt;=50,"Adultos",INFO_Pasajeros[[#This Row],[Edad]]&gt;=51,"Adultos Mayores")</f>
        <v>Adultos</v>
      </c>
    </row>
    <row r="159" spans="1:13" x14ac:dyDescent="0.25">
      <c r="A159" s="3" t="s">
        <v>1167</v>
      </c>
      <c r="B159" s="3" t="s">
        <v>902</v>
      </c>
      <c r="C159" s="3">
        <v>156</v>
      </c>
      <c r="D159" s="5">
        <v>35</v>
      </c>
      <c r="E159" s="3">
        <v>1</v>
      </c>
      <c r="F159" s="3">
        <v>0</v>
      </c>
      <c r="G159" s="3">
        <v>1</v>
      </c>
      <c r="H159" s="3">
        <v>0</v>
      </c>
      <c r="I159" s="3">
        <v>19943</v>
      </c>
      <c r="J159" s="13">
        <v>613.79200000000003</v>
      </c>
      <c r="K159" s="3" t="s">
        <v>1271</v>
      </c>
      <c r="L159" s="3" t="s">
        <v>905</v>
      </c>
      <c r="M159" t="str" cm="1">
        <f t="array" ref="M159">_xlfn.IFS(INFO_Pasajeros[[#This Row],[Edad]]&lt;=13,"Niños",INFO_Pasajeros[[#This Row],[Edad]]&lt;=18,"Jóvenes",INFO_Pasajeros[[#This Row],[Edad]]&lt;=50,"Adultos",INFO_Pasajeros[[#This Row],[Edad]]&gt;=51,"Adultos Mayores")</f>
        <v>Adultos</v>
      </c>
    </row>
    <row r="160" spans="1:13" x14ac:dyDescent="0.25">
      <c r="A160" s="3" t="s">
        <v>1169</v>
      </c>
      <c r="B160" s="3" t="s">
        <v>907</v>
      </c>
      <c r="C160" s="3">
        <v>157</v>
      </c>
      <c r="D160" s="5">
        <v>29</v>
      </c>
      <c r="E160" s="3">
        <v>0</v>
      </c>
      <c r="F160" s="3">
        <v>0</v>
      </c>
      <c r="G160" s="3">
        <v>3</v>
      </c>
      <c r="H160" s="3">
        <v>1</v>
      </c>
      <c r="I160" s="3">
        <v>19947</v>
      </c>
      <c r="J160" s="13">
        <v>77.332999999999998</v>
      </c>
      <c r="K160" s="3" t="s">
        <v>998</v>
      </c>
      <c r="L160" s="3" t="s">
        <v>905</v>
      </c>
      <c r="M160" t="str" cm="1">
        <f t="array" ref="M160">_xlfn.IFS(INFO_Pasajeros[[#This Row],[Edad]]&lt;=13,"Niños",INFO_Pasajeros[[#This Row],[Edad]]&lt;=18,"Jóvenes",INFO_Pasajeros[[#This Row],[Edad]]&lt;=50,"Adultos",INFO_Pasajeros[[#This Row],[Edad]]&gt;=51,"Adultos Mayores")</f>
        <v>Adultos</v>
      </c>
    </row>
    <row r="161" spans="1:13" x14ac:dyDescent="0.25">
      <c r="A161" s="3" t="s">
        <v>1170</v>
      </c>
      <c r="B161" s="3" t="s">
        <v>902</v>
      </c>
      <c r="C161" s="3">
        <v>158</v>
      </c>
      <c r="D161" s="5">
        <v>19</v>
      </c>
      <c r="E161" s="3">
        <v>0</v>
      </c>
      <c r="F161" s="3">
        <v>0</v>
      </c>
      <c r="G161" s="3">
        <v>3</v>
      </c>
      <c r="H161" s="3">
        <v>0</v>
      </c>
      <c r="I161" s="3">
        <v>19950</v>
      </c>
      <c r="J161" s="13">
        <v>8.0500000000000007</v>
      </c>
      <c r="K161" s="3" t="s">
        <v>952</v>
      </c>
      <c r="L161" s="3" t="s">
        <v>905</v>
      </c>
      <c r="M161" t="str" cm="1">
        <f t="array" ref="M161">_xlfn.IFS(INFO_Pasajeros[[#This Row],[Edad]]&lt;=13,"Niños",INFO_Pasajeros[[#This Row],[Edad]]&lt;=18,"Jóvenes",INFO_Pasajeros[[#This Row],[Edad]]&lt;=50,"Adultos",INFO_Pasajeros[[#This Row],[Edad]]&gt;=51,"Adultos Mayores")</f>
        <v>Adultos</v>
      </c>
    </row>
    <row r="162" spans="1:13" x14ac:dyDescent="0.25">
      <c r="A162" s="3" t="s">
        <v>1172</v>
      </c>
      <c r="B162" s="3" t="s">
        <v>902</v>
      </c>
      <c r="C162" s="3">
        <v>159</v>
      </c>
      <c r="D162" s="5">
        <v>23</v>
      </c>
      <c r="E162" s="3">
        <v>0</v>
      </c>
      <c r="F162" s="3">
        <v>0</v>
      </c>
      <c r="G162" s="3">
        <v>3</v>
      </c>
      <c r="H162" s="3">
        <v>0</v>
      </c>
      <c r="I162" s="3">
        <v>19950</v>
      </c>
      <c r="J162" s="13">
        <v>86.625</v>
      </c>
      <c r="K162" s="3" t="s">
        <v>952</v>
      </c>
      <c r="L162" s="3" t="s">
        <v>905</v>
      </c>
      <c r="M162" t="str" cm="1">
        <f t="array" ref="M162">_xlfn.IFS(INFO_Pasajeros[[#This Row],[Edad]]&lt;=13,"Niños",INFO_Pasajeros[[#This Row],[Edad]]&lt;=18,"Jóvenes",INFO_Pasajeros[[#This Row],[Edad]]&lt;=50,"Adultos",INFO_Pasajeros[[#This Row],[Edad]]&gt;=51,"Adultos Mayores")</f>
        <v>Adultos</v>
      </c>
    </row>
    <row r="163" spans="1:13" x14ac:dyDescent="0.25">
      <c r="A163" s="3" t="s">
        <v>1173</v>
      </c>
      <c r="B163" s="3" t="s">
        <v>902</v>
      </c>
      <c r="C163" s="3">
        <v>160</v>
      </c>
      <c r="D163" s="5">
        <v>24</v>
      </c>
      <c r="E163" s="3">
        <v>2</v>
      </c>
      <c r="F163" s="3">
        <v>8</v>
      </c>
      <c r="G163" s="3">
        <v>3</v>
      </c>
      <c r="H163" s="3">
        <v>0</v>
      </c>
      <c r="I163" s="3">
        <v>19950</v>
      </c>
      <c r="J163" s="13">
        <v>69.55</v>
      </c>
      <c r="K163" s="3" t="s">
        <v>952</v>
      </c>
      <c r="L163" s="3" t="s">
        <v>905</v>
      </c>
      <c r="M163" t="str" cm="1">
        <f t="array" ref="M163">_xlfn.IFS(INFO_Pasajeros[[#This Row],[Edad]]&lt;=13,"Niños",INFO_Pasajeros[[#This Row],[Edad]]&lt;=18,"Jóvenes",INFO_Pasajeros[[#This Row],[Edad]]&lt;=50,"Adultos",INFO_Pasajeros[[#This Row],[Edad]]&gt;=51,"Adultos Mayores")</f>
        <v>Adultos</v>
      </c>
    </row>
    <row r="164" spans="1:13" x14ac:dyDescent="0.25">
      <c r="A164" s="3" t="s">
        <v>1176</v>
      </c>
      <c r="B164" s="3" t="s">
        <v>902</v>
      </c>
      <c r="C164" s="3">
        <v>161</v>
      </c>
      <c r="D164" s="5">
        <v>64</v>
      </c>
      <c r="E164" s="3">
        <v>1</v>
      </c>
      <c r="F164" s="3">
        <v>0</v>
      </c>
      <c r="G164" s="3">
        <v>3</v>
      </c>
      <c r="H164" s="3">
        <v>0</v>
      </c>
      <c r="I164" s="3">
        <v>19950</v>
      </c>
      <c r="J164" s="13">
        <v>16.100000000000001</v>
      </c>
      <c r="K164" s="3" t="s">
        <v>952</v>
      </c>
      <c r="L164" s="3" t="s">
        <v>905</v>
      </c>
      <c r="M164" t="str" cm="1">
        <f t="array" ref="M164">_xlfn.IFS(INFO_Pasajeros[[#This Row],[Edad]]&lt;=13,"Niños",INFO_Pasajeros[[#This Row],[Edad]]&lt;=18,"Jóvenes",INFO_Pasajeros[[#This Row],[Edad]]&lt;=50,"Adultos",INFO_Pasajeros[[#This Row],[Edad]]&gt;=51,"Adultos Mayores")</f>
        <v>Adultos Mayores</v>
      </c>
    </row>
    <row r="165" spans="1:13" x14ac:dyDescent="0.25">
      <c r="A165" s="3" t="s">
        <v>1178</v>
      </c>
      <c r="B165" s="3" t="s">
        <v>907</v>
      </c>
      <c r="C165" s="3">
        <v>162</v>
      </c>
      <c r="D165" s="5">
        <v>48</v>
      </c>
      <c r="E165" s="3">
        <v>0</v>
      </c>
      <c r="F165" s="3">
        <v>0</v>
      </c>
      <c r="G165" s="3">
        <v>2</v>
      </c>
      <c r="H165" s="3">
        <v>1</v>
      </c>
      <c r="I165" s="3">
        <v>19952</v>
      </c>
      <c r="J165" s="13">
        <v>15.75</v>
      </c>
      <c r="K165" s="3" t="s">
        <v>1625</v>
      </c>
      <c r="L165" s="3" t="s">
        <v>905</v>
      </c>
      <c r="M165" t="str" cm="1">
        <f t="array" ref="M165">_xlfn.IFS(INFO_Pasajeros[[#This Row],[Edad]]&lt;=13,"Niños",INFO_Pasajeros[[#This Row],[Edad]]&lt;=18,"Jóvenes",INFO_Pasajeros[[#This Row],[Edad]]&lt;=50,"Adultos",INFO_Pasajeros[[#This Row],[Edad]]&gt;=51,"Adultos Mayores")</f>
        <v>Adultos</v>
      </c>
    </row>
    <row r="166" spans="1:13" x14ac:dyDescent="0.25">
      <c r="A166" s="3" t="s">
        <v>1181</v>
      </c>
      <c r="B166" s="3" t="s">
        <v>902</v>
      </c>
      <c r="C166" s="3">
        <v>163</v>
      </c>
      <c r="D166" s="5">
        <v>38</v>
      </c>
      <c r="E166" s="3">
        <v>0</v>
      </c>
      <c r="F166" s="3">
        <v>0</v>
      </c>
      <c r="G166" s="3">
        <v>3</v>
      </c>
      <c r="H166" s="3">
        <v>0</v>
      </c>
      <c r="I166" s="3">
        <v>19972</v>
      </c>
      <c r="J166" s="13">
        <v>7.7750000000000004</v>
      </c>
      <c r="K166" s="3" t="s">
        <v>2210</v>
      </c>
      <c r="L166" s="3" t="s">
        <v>905</v>
      </c>
      <c r="M166" t="str" cm="1">
        <f t="array" ref="M166">_xlfn.IFS(INFO_Pasajeros[[#This Row],[Edad]]&lt;=13,"Niños",INFO_Pasajeros[[#This Row],[Edad]]&lt;=18,"Jóvenes",INFO_Pasajeros[[#This Row],[Edad]]&lt;=50,"Adultos",INFO_Pasajeros[[#This Row],[Edad]]&gt;=51,"Adultos Mayores")</f>
        <v>Adultos</v>
      </c>
    </row>
    <row r="167" spans="1:13" x14ac:dyDescent="0.25">
      <c r="A167" s="3" t="s">
        <v>1182</v>
      </c>
      <c r="B167" s="3" t="s">
        <v>902</v>
      </c>
      <c r="C167" s="3">
        <v>164</v>
      </c>
      <c r="D167" s="5">
        <v>76</v>
      </c>
      <c r="E167" s="3">
        <v>0</v>
      </c>
      <c r="F167" s="3">
        <v>0</v>
      </c>
      <c r="G167" s="3">
        <v>3</v>
      </c>
      <c r="H167" s="3">
        <v>0</v>
      </c>
      <c r="I167" s="3">
        <v>19988</v>
      </c>
      <c r="J167" s="13">
        <v>86.625</v>
      </c>
      <c r="K167" s="3" t="s">
        <v>1395</v>
      </c>
      <c r="L167" s="3" t="s">
        <v>905</v>
      </c>
      <c r="M167" t="str" cm="1">
        <f t="array" ref="M167">_xlfn.IFS(INFO_Pasajeros[[#This Row],[Edad]]&lt;=13,"Niños",INFO_Pasajeros[[#This Row],[Edad]]&lt;=18,"Jóvenes",INFO_Pasajeros[[#This Row],[Edad]]&lt;=50,"Adultos",INFO_Pasajeros[[#This Row],[Edad]]&gt;=51,"Adultos Mayores")</f>
        <v>Adultos Mayores</v>
      </c>
    </row>
    <row r="168" spans="1:13" x14ac:dyDescent="0.25">
      <c r="A168" s="3" t="s">
        <v>1183</v>
      </c>
      <c r="B168" s="3" t="s">
        <v>902</v>
      </c>
      <c r="C168" s="3">
        <v>165</v>
      </c>
      <c r="D168" s="5">
        <v>55</v>
      </c>
      <c r="E168" s="3">
        <v>1</v>
      </c>
      <c r="F168" s="3">
        <v>4</v>
      </c>
      <c r="G168" s="3">
        <v>3</v>
      </c>
      <c r="H168" s="3">
        <v>0</v>
      </c>
      <c r="I168" s="3">
        <v>19996</v>
      </c>
      <c r="J168" s="13">
        <v>396.875</v>
      </c>
      <c r="K168" s="3" t="s">
        <v>1911</v>
      </c>
      <c r="L168" s="3" t="s">
        <v>905</v>
      </c>
      <c r="M168" t="str" cm="1">
        <f t="array" ref="M168">_xlfn.IFS(INFO_Pasajeros[[#This Row],[Edad]]&lt;=13,"Niños",INFO_Pasajeros[[#This Row],[Edad]]&lt;=18,"Jóvenes",INFO_Pasajeros[[#This Row],[Edad]]&lt;=50,"Adultos",INFO_Pasajeros[[#This Row],[Edad]]&gt;=51,"Adultos Mayores")</f>
        <v>Adultos Mayores</v>
      </c>
    </row>
    <row r="169" spans="1:13" x14ac:dyDescent="0.25">
      <c r="A169" s="3" t="s">
        <v>1184</v>
      </c>
      <c r="B169" s="3" t="s">
        <v>902</v>
      </c>
      <c r="C169" s="3">
        <v>166</v>
      </c>
      <c r="D169" s="5">
        <v>48</v>
      </c>
      <c r="E169" s="3">
        <v>2</v>
      </c>
      <c r="F169" s="3">
        <v>0</v>
      </c>
      <c r="G169" s="3">
        <v>3</v>
      </c>
      <c r="H169" s="3">
        <v>1</v>
      </c>
      <c r="I169" s="3">
        <v>19996</v>
      </c>
      <c r="J169" s="13">
        <v>20.524999999999999</v>
      </c>
      <c r="K169" s="3" t="s">
        <v>1911</v>
      </c>
      <c r="L169" s="3" t="s">
        <v>905</v>
      </c>
      <c r="M169" t="str" cm="1">
        <f t="array" ref="M169">_xlfn.IFS(INFO_Pasajeros[[#This Row],[Edad]]&lt;=13,"Niños",INFO_Pasajeros[[#This Row],[Edad]]&lt;=18,"Jóvenes",INFO_Pasajeros[[#This Row],[Edad]]&lt;=50,"Adultos",INFO_Pasajeros[[#This Row],[Edad]]&gt;=51,"Adultos Mayores")</f>
        <v>Adultos</v>
      </c>
    </row>
    <row r="170" spans="1:13" x14ac:dyDescent="0.25">
      <c r="A170" s="3" t="s">
        <v>1185</v>
      </c>
      <c r="B170" s="3" t="s">
        <v>907</v>
      </c>
      <c r="C170" s="3">
        <v>167</v>
      </c>
      <c r="D170" s="5">
        <v>51</v>
      </c>
      <c r="E170" s="3">
        <v>1</v>
      </c>
      <c r="F170" s="3">
        <v>0</v>
      </c>
      <c r="G170" s="3">
        <v>1</v>
      </c>
      <c r="H170" s="3">
        <v>1</v>
      </c>
      <c r="I170" s="3">
        <v>21440</v>
      </c>
      <c r="J170" s="13">
        <v>55</v>
      </c>
      <c r="K170" s="3" t="s">
        <v>2210</v>
      </c>
      <c r="L170" s="3" t="s">
        <v>905</v>
      </c>
      <c r="M170" t="str" cm="1">
        <f t="array" ref="M170">_xlfn.IFS(INFO_Pasajeros[[#This Row],[Edad]]&lt;=13,"Niños",INFO_Pasajeros[[#This Row],[Edad]]&lt;=18,"Jóvenes",INFO_Pasajeros[[#This Row],[Edad]]&lt;=50,"Adultos",INFO_Pasajeros[[#This Row],[Edad]]&gt;=51,"Adultos Mayores")</f>
        <v>Adultos Mayores</v>
      </c>
    </row>
    <row r="171" spans="1:13" x14ac:dyDescent="0.25">
      <c r="A171" s="3" t="s">
        <v>1187</v>
      </c>
      <c r="B171" s="3" t="s">
        <v>907</v>
      </c>
      <c r="C171" s="3">
        <v>168</v>
      </c>
      <c r="D171" s="5">
        <v>15</v>
      </c>
      <c r="E171" s="3">
        <v>4</v>
      </c>
      <c r="F171" s="3">
        <v>1</v>
      </c>
      <c r="G171" s="3">
        <v>3</v>
      </c>
      <c r="H171" s="3">
        <v>0</v>
      </c>
      <c r="I171" s="3">
        <v>24160</v>
      </c>
      <c r="J171" s="13">
        <v>27.9</v>
      </c>
      <c r="K171" s="3" t="s">
        <v>1938</v>
      </c>
      <c r="L171" s="3" t="s">
        <v>905</v>
      </c>
      <c r="M171" t="str" cm="1">
        <f t="array" ref="M171">_xlfn.IFS(INFO_Pasajeros[[#This Row],[Edad]]&lt;=13,"Niños",INFO_Pasajeros[[#This Row],[Edad]]&lt;=18,"Jóvenes",INFO_Pasajeros[[#This Row],[Edad]]&lt;=50,"Adultos",INFO_Pasajeros[[#This Row],[Edad]]&gt;=51,"Adultos Mayores")</f>
        <v>Jóvenes</v>
      </c>
    </row>
    <row r="172" spans="1:13" x14ac:dyDescent="0.25">
      <c r="A172" s="3" t="s">
        <v>1188</v>
      </c>
      <c r="B172" s="3" t="s">
        <v>902</v>
      </c>
      <c r="C172" s="3">
        <v>169</v>
      </c>
      <c r="D172" s="5">
        <v>29</v>
      </c>
      <c r="E172" s="3">
        <v>0</v>
      </c>
      <c r="F172" s="3">
        <v>0</v>
      </c>
      <c r="G172" s="3">
        <v>1</v>
      </c>
      <c r="H172" s="3">
        <v>0</v>
      </c>
      <c r="I172" s="3">
        <v>24160</v>
      </c>
      <c r="J172" s="13">
        <v>25.925000000000001</v>
      </c>
      <c r="K172" s="3" t="s">
        <v>1938</v>
      </c>
      <c r="L172" s="3" t="s">
        <v>905</v>
      </c>
      <c r="M172" t="str" cm="1">
        <f t="array" ref="M172">_xlfn.IFS(INFO_Pasajeros[[#This Row],[Edad]]&lt;=13,"Niños",INFO_Pasajeros[[#This Row],[Edad]]&lt;=18,"Jóvenes",INFO_Pasajeros[[#This Row],[Edad]]&lt;=50,"Adultos",INFO_Pasajeros[[#This Row],[Edad]]&gt;=51,"Adultos Mayores")</f>
        <v>Adultos</v>
      </c>
    </row>
    <row r="173" spans="1:13" x14ac:dyDescent="0.25">
      <c r="A173" s="3" t="s">
        <v>1190</v>
      </c>
      <c r="B173" s="3" t="s">
        <v>902</v>
      </c>
      <c r="C173" s="3">
        <v>170</v>
      </c>
      <c r="D173" s="5">
        <v>43</v>
      </c>
      <c r="E173" s="3">
        <v>0</v>
      </c>
      <c r="F173" s="3">
        <v>0</v>
      </c>
      <c r="G173" s="3">
        <v>3</v>
      </c>
      <c r="H173" s="3">
        <v>0</v>
      </c>
      <c r="I173" s="3">
        <v>24160</v>
      </c>
      <c r="J173" s="13">
        <v>564.95799999999997</v>
      </c>
      <c r="K173" s="3" t="s">
        <v>2052</v>
      </c>
      <c r="L173" s="3" t="s">
        <v>905</v>
      </c>
      <c r="M173" t="str" cm="1">
        <f t="array" ref="M173">_xlfn.IFS(INFO_Pasajeros[[#This Row],[Edad]]&lt;=13,"Niños",INFO_Pasajeros[[#This Row],[Edad]]&lt;=18,"Jóvenes",INFO_Pasajeros[[#This Row],[Edad]]&lt;=50,"Adultos",INFO_Pasajeros[[#This Row],[Edad]]&gt;=51,"Adultos Mayores")</f>
        <v>Adultos</v>
      </c>
    </row>
    <row r="174" spans="1:13" x14ac:dyDescent="0.25">
      <c r="A174" s="3" t="s">
        <v>1191</v>
      </c>
      <c r="B174" s="3" t="s">
        <v>902</v>
      </c>
      <c r="C174" s="3">
        <v>171</v>
      </c>
      <c r="D174" s="5">
        <v>33</v>
      </c>
      <c r="E174" s="3">
        <v>0</v>
      </c>
      <c r="F174" s="3">
        <v>0</v>
      </c>
      <c r="G174" s="3">
        <v>1</v>
      </c>
      <c r="H174" s="3">
        <v>0</v>
      </c>
      <c r="I174" s="3">
        <v>26360</v>
      </c>
      <c r="J174" s="13">
        <v>33.5</v>
      </c>
      <c r="K174" s="3" t="s">
        <v>2210</v>
      </c>
      <c r="L174" s="3" t="s">
        <v>905</v>
      </c>
      <c r="M174" t="str" cm="1">
        <f t="array" ref="M174">_xlfn.IFS(INFO_Pasajeros[[#This Row],[Edad]]&lt;=13,"Niños",INFO_Pasajeros[[#This Row],[Edad]]&lt;=18,"Jóvenes",INFO_Pasajeros[[#This Row],[Edad]]&lt;=50,"Adultos",INFO_Pasajeros[[#This Row],[Edad]]&gt;=51,"Adultos Mayores")</f>
        <v>Adultos</v>
      </c>
    </row>
    <row r="175" spans="1:13" x14ac:dyDescent="0.25">
      <c r="A175" s="3" t="s">
        <v>1194</v>
      </c>
      <c r="B175" s="3" t="s">
        <v>902</v>
      </c>
      <c r="C175" s="3">
        <v>172</v>
      </c>
      <c r="D175" s="5">
        <v>2</v>
      </c>
      <c r="E175" s="3">
        <v>1</v>
      </c>
      <c r="F175" s="3">
        <v>4</v>
      </c>
      <c r="G175" s="3">
        <v>3</v>
      </c>
      <c r="H175" s="3">
        <v>0</v>
      </c>
      <c r="I175" s="3">
        <v>26360</v>
      </c>
      <c r="J175" s="13">
        <v>29.125</v>
      </c>
      <c r="K175" s="3" t="s">
        <v>2210</v>
      </c>
      <c r="L175" s="3" t="s">
        <v>905</v>
      </c>
      <c r="M175" t="str" cm="1">
        <f t="array" ref="M175">_xlfn.IFS(INFO_Pasajeros[[#This Row],[Edad]]&lt;=13,"Niños",INFO_Pasajeros[[#This Row],[Edad]]&lt;=18,"Jóvenes",INFO_Pasajeros[[#This Row],[Edad]]&lt;=50,"Adultos",INFO_Pasajeros[[#This Row],[Edad]]&gt;=51,"Adultos Mayores")</f>
        <v>Niños</v>
      </c>
    </row>
    <row r="176" spans="1:13" x14ac:dyDescent="0.25">
      <c r="A176" s="3" t="s">
        <v>1195</v>
      </c>
      <c r="B176" s="3" t="s">
        <v>907</v>
      </c>
      <c r="C176" s="3">
        <v>173</v>
      </c>
      <c r="D176" s="5">
        <v>44</v>
      </c>
      <c r="E176" s="3">
        <v>1</v>
      </c>
      <c r="F176" s="3">
        <v>1</v>
      </c>
      <c r="G176" s="3">
        <v>3</v>
      </c>
      <c r="H176" s="3">
        <v>1</v>
      </c>
      <c r="I176" s="3">
        <v>26707</v>
      </c>
      <c r="J176" s="13">
        <v>111.333</v>
      </c>
      <c r="K176" s="3" t="s">
        <v>2210</v>
      </c>
      <c r="L176" s="3" t="s">
        <v>905</v>
      </c>
      <c r="M176" t="str" cm="1">
        <f t="array" ref="M176">_xlfn.IFS(INFO_Pasajeros[[#This Row],[Edad]]&lt;=13,"Niños",INFO_Pasajeros[[#This Row],[Edad]]&lt;=18,"Jóvenes",INFO_Pasajeros[[#This Row],[Edad]]&lt;=50,"Adultos",INFO_Pasajeros[[#This Row],[Edad]]&gt;=51,"Adultos Mayores")</f>
        <v>Adultos</v>
      </c>
    </row>
    <row r="177" spans="1:13" x14ac:dyDescent="0.25">
      <c r="A177" s="3" t="s">
        <v>1196</v>
      </c>
      <c r="B177" s="3" t="s">
        <v>902</v>
      </c>
      <c r="C177" s="3">
        <v>174</v>
      </c>
      <c r="D177" s="5">
        <v>80</v>
      </c>
      <c r="E177" s="3">
        <v>0</v>
      </c>
      <c r="F177" s="3">
        <v>0</v>
      </c>
      <c r="G177" s="3">
        <v>3</v>
      </c>
      <c r="H177" s="3">
        <v>0</v>
      </c>
      <c r="I177" s="3">
        <v>27042</v>
      </c>
      <c r="J177" s="13">
        <v>7.9249999999999998</v>
      </c>
      <c r="K177" s="3" t="s">
        <v>1862</v>
      </c>
      <c r="L177" s="3" t="s">
        <v>905</v>
      </c>
      <c r="M177" t="str" cm="1">
        <f t="array" ref="M177">_xlfn.IFS(INFO_Pasajeros[[#This Row],[Edad]]&lt;=13,"Niños",INFO_Pasajeros[[#This Row],[Edad]]&lt;=18,"Jóvenes",INFO_Pasajeros[[#This Row],[Edad]]&lt;=50,"Adultos",INFO_Pasajeros[[#This Row],[Edad]]&gt;=51,"Adultos Mayores")</f>
        <v>Adultos Mayores</v>
      </c>
    </row>
    <row r="178" spans="1:13" x14ac:dyDescent="0.25">
      <c r="A178" s="3" t="s">
        <v>1198</v>
      </c>
      <c r="B178" s="3" t="s">
        <v>902</v>
      </c>
      <c r="C178" s="3">
        <v>175</v>
      </c>
      <c r="D178" s="5">
        <v>33</v>
      </c>
      <c r="E178" s="3">
        <v>0</v>
      </c>
      <c r="F178" s="3">
        <v>0</v>
      </c>
      <c r="G178" s="3">
        <v>1</v>
      </c>
      <c r="H178" s="3">
        <v>0</v>
      </c>
      <c r="I178" s="3">
        <v>27267</v>
      </c>
      <c r="J178" s="13">
        <v>306.95800000000003</v>
      </c>
      <c r="K178" s="3" t="s">
        <v>1109</v>
      </c>
      <c r="L178" s="3" t="s">
        <v>905</v>
      </c>
      <c r="M178" t="str" cm="1">
        <f t="array" ref="M178">_xlfn.IFS(INFO_Pasajeros[[#This Row],[Edad]]&lt;=13,"Niños",INFO_Pasajeros[[#This Row],[Edad]]&lt;=18,"Jóvenes",INFO_Pasajeros[[#This Row],[Edad]]&lt;=50,"Adultos",INFO_Pasajeros[[#This Row],[Edad]]&gt;=51,"Adultos Mayores")</f>
        <v>Adultos</v>
      </c>
    </row>
    <row r="179" spans="1:13" x14ac:dyDescent="0.25">
      <c r="A179" s="3" t="s">
        <v>1200</v>
      </c>
      <c r="B179" s="3" t="s">
        <v>902</v>
      </c>
      <c r="C179" s="3">
        <v>176</v>
      </c>
      <c r="D179" s="5">
        <v>36</v>
      </c>
      <c r="E179" s="3">
        <v>1</v>
      </c>
      <c r="F179" s="3">
        <v>1</v>
      </c>
      <c r="G179" s="3">
        <v>3</v>
      </c>
      <c r="H179" s="3">
        <v>0</v>
      </c>
      <c r="I179" s="3">
        <v>27849</v>
      </c>
      <c r="J179" s="13">
        <v>78.542000000000002</v>
      </c>
      <c r="K179" s="3" t="s">
        <v>2210</v>
      </c>
      <c r="L179" s="3" t="s">
        <v>905</v>
      </c>
      <c r="M179" t="str" cm="1">
        <f t="array" ref="M179">_xlfn.IFS(INFO_Pasajeros[[#This Row],[Edad]]&lt;=13,"Niños",INFO_Pasajeros[[#This Row],[Edad]]&lt;=18,"Jóvenes",INFO_Pasajeros[[#This Row],[Edad]]&lt;=50,"Adultos",INFO_Pasajeros[[#This Row],[Edad]]&gt;=51,"Adultos Mayores")</f>
        <v>Adultos</v>
      </c>
    </row>
    <row r="180" spans="1:13" x14ac:dyDescent="0.25">
      <c r="A180" s="3" t="s">
        <v>1201</v>
      </c>
      <c r="B180" s="3" t="s">
        <v>902</v>
      </c>
      <c r="C180" s="3">
        <v>177</v>
      </c>
      <c r="D180" s="5">
        <v>21</v>
      </c>
      <c r="E180" s="3">
        <v>1</v>
      </c>
      <c r="F180" s="3">
        <v>3</v>
      </c>
      <c r="G180" s="3">
        <v>3</v>
      </c>
      <c r="H180" s="3">
        <v>0</v>
      </c>
      <c r="I180" s="3">
        <v>28134</v>
      </c>
      <c r="J180" s="13">
        <v>254.667</v>
      </c>
      <c r="K180" s="3" t="s">
        <v>2210</v>
      </c>
      <c r="L180" s="3" t="s">
        <v>905</v>
      </c>
      <c r="M180" t="str" cm="1">
        <f t="array" ref="M180">_xlfn.IFS(INFO_Pasajeros[[#This Row],[Edad]]&lt;=13,"Niños",INFO_Pasajeros[[#This Row],[Edad]]&lt;=18,"Jóvenes",INFO_Pasajeros[[#This Row],[Edad]]&lt;=50,"Adultos",INFO_Pasajeros[[#This Row],[Edad]]&gt;=51,"Adultos Mayores")</f>
        <v>Adultos</v>
      </c>
    </row>
    <row r="181" spans="1:13" x14ac:dyDescent="0.25">
      <c r="A181" s="3" t="s">
        <v>1202</v>
      </c>
      <c r="B181" s="3" t="s">
        <v>907</v>
      </c>
      <c r="C181" s="3">
        <v>178</v>
      </c>
      <c r="D181" s="5">
        <v>35</v>
      </c>
      <c r="E181" s="3">
        <v>0</v>
      </c>
      <c r="F181" s="3">
        <v>0</v>
      </c>
      <c r="G181" s="3">
        <v>1</v>
      </c>
      <c r="H181" s="3">
        <v>0</v>
      </c>
      <c r="I181" s="3">
        <v>28206</v>
      </c>
      <c r="J181" s="13">
        <v>287.125</v>
      </c>
      <c r="K181" s="3" t="s">
        <v>2210</v>
      </c>
      <c r="L181" s="3" t="s">
        <v>905</v>
      </c>
      <c r="M181" t="str" cm="1">
        <f t="array" ref="M181">_xlfn.IFS(INFO_Pasajeros[[#This Row],[Edad]]&lt;=13,"Niños",INFO_Pasajeros[[#This Row],[Edad]]&lt;=18,"Jóvenes",INFO_Pasajeros[[#This Row],[Edad]]&lt;=50,"Adultos",INFO_Pasajeros[[#This Row],[Edad]]&gt;=51,"Adultos Mayores")</f>
        <v>Adultos</v>
      </c>
    </row>
    <row r="182" spans="1:13" x14ac:dyDescent="0.25">
      <c r="A182" s="3" t="s">
        <v>1205</v>
      </c>
      <c r="B182" s="3" t="s">
        <v>902</v>
      </c>
      <c r="C182" s="3">
        <v>179</v>
      </c>
      <c r="D182" s="5">
        <v>39</v>
      </c>
      <c r="E182" s="3">
        <v>0</v>
      </c>
      <c r="F182" s="3">
        <v>0</v>
      </c>
      <c r="G182" s="3">
        <v>2</v>
      </c>
      <c r="H182" s="3">
        <v>0</v>
      </c>
      <c r="I182" s="3">
        <v>28213</v>
      </c>
      <c r="J182" s="13">
        <v>13</v>
      </c>
      <c r="K182" s="3" t="s">
        <v>2210</v>
      </c>
      <c r="L182" s="3" t="s">
        <v>905</v>
      </c>
      <c r="M182" t="str" cm="1">
        <f t="array" ref="M182">_xlfn.IFS(INFO_Pasajeros[[#This Row],[Edad]]&lt;=13,"Niños",INFO_Pasajeros[[#This Row],[Edad]]&lt;=18,"Jóvenes",INFO_Pasajeros[[#This Row],[Edad]]&lt;=50,"Adultos",INFO_Pasajeros[[#This Row],[Edad]]&gt;=51,"Adultos Mayores")</f>
        <v>Adultos</v>
      </c>
    </row>
    <row r="183" spans="1:13" x14ac:dyDescent="0.25">
      <c r="A183" s="3" t="s">
        <v>1206</v>
      </c>
      <c r="B183" s="3" t="s">
        <v>902</v>
      </c>
      <c r="C183" s="3">
        <v>180</v>
      </c>
      <c r="D183" s="5">
        <v>34</v>
      </c>
      <c r="E183" s="3">
        <v>0</v>
      </c>
      <c r="F183" s="3">
        <v>0</v>
      </c>
      <c r="G183" s="3">
        <v>3</v>
      </c>
      <c r="H183" s="3">
        <v>0</v>
      </c>
      <c r="I183" s="3">
        <v>28220</v>
      </c>
      <c r="J183" s="13">
        <v>0</v>
      </c>
      <c r="K183" s="3" t="s">
        <v>2210</v>
      </c>
      <c r="L183" s="3" t="s">
        <v>905</v>
      </c>
      <c r="M183" t="str" cm="1">
        <f t="array" ref="M183">_xlfn.IFS(INFO_Pasajeros[[#This Row],[Edad]]&lt;=13,"Niños",INFO_Pasajeros[[#This Row],[Edad]]&lt;=18,"Jóvenes",INFO_Pasajeros[[#This Row],[Edad]]&lt;=50,"Adultos",INFO_Pasajeros[[#This Row],[Edad]]&gt;=51,"Adultos Mayores")</f>
        <v>Adultos</v>
      </c>
    </row>
    <row r="184" spans="1:13" x14ac:dyDescent="0.25">
      <c r="A184" s="3" t="s">
        <v>1208</v>
      </c>
      <c r="B184" s="3" t="s">
        <v>907</v>
      </c>
      <c r="C184" s="3">
        <v>181</v>
      </c>
      <c r="D184" s="5">
        <v>30</v>
      </c>
      <c r="E184" s="3">
        <v>2</v>
      </c>
      <c r="F184" s="3">
        <v>8</v>
      </c>
      <c r="G184" s="3">
        <v>3</v>
      </c>
      <c r="H184" s="3">
        <v>0</v>
      </c>
      <c r="I184" s="3">
        <v>28228</v>
      </c>
      <c r="J184" s="13">
        <v>69.55</v>
      </c>
      <c r="K184" s="3" t="s">
        <v>2210</v>
      </c>
      <c r="L184" s="3" t="s">
        <v>905</v>
      </c>
      <c r="M184" t="str" cm="1">
        <f t="array" ref="M184">_xlfn.IFS(INFO_Pasajeros[[#This Row],[Edad]]&lt;=13,"Niños",INFO_Pasajeros[[#This Row],[Edad]]&lt;=18,"Jóvenes",INFO_Pasajeros[[#This Row],[Edad]]&lt;=50,"Adultos",INFO_Pasajeros[[#This Row],[Edad]]&gt;=51,"Adultos Mayores")</f>
        <v>Adultos</v>
      </c>
    </row>
    <row r="185" spans="1:13" x14ac:dyDescent="0.25">
      <c r="A185" s="3" t="s">
        <v>1209</v>
      </c>
      <c r="B185" s="3" t="s">
        <v>902</v>
      </c>
      <c r="C185" s="3">
        <v>182</v>
      </c>
      <c r="D185" s="5">
        <v>46</v>
      </c>
      <c r="E185" s="3">
        <v>0</v>
      </c>
      <c r="F185" s="3">
        <v>0</v>
      </c>
      <c r="G185" s="3">
        <v>2</v>
      </c>
      <c r="H185" s="3">
        <v>0</v>
      </c>
      <c r="I185" s="3">
        <v>28403</v>
      </c>
      <c r="J185" s="13">
        <v>15.05</v>
      </c>
      <c r="K185" s="3" t="s">
        <v>2210</v>
      </c>
      <c r="L185" s="3" t="s">
        <v>905</v>
      </c>
      <c r="M185" t="str" cm="1">
        <f t="array" ref="M185">_xlfn.IFS(INFO_Pasajeros[[#This Row],[Edad]]&lt;=13,"Niños",INFO_Pasajeros[[#This Row],[Edad]]&lt;=18,"Jóvenes",INFO_Pasajeros[[#This Row],[Edad]]&lt;=50,"Adultos",INFO_Pasajeros[[#This Row],[Edad]]&gt;=51,"Adultos Mayores")</f>
        <v>Adultos</v>
      </c>
    </row>
    <row r="186" spans="1:13" x14ac:dyDescent="0.25">
      <c r="A186" s="3" t="s">
        <v>1212</v>
      </c>
      <c r="B186" s="3" t="s">
        <v>902</v>
      </c>
      <c r="C186" s="3">
        <v>183</v>
      </c>
      <c r="D186" s="5">
        <v>54</v>
      </c>
      <c r="E186" s="3">
        <v>2</v>
      </c>
      <c r="F186" s="3">
        <v>4</v>
      </c>
      <c r="G186" s="3">
        <v>3</v>
      </c>
      <c r="H186" s="3">
        <v>0</v>
      </c>
      <c r="I186" s="3">
        <v>28403</v>
      </c>
      <c r="J186" s="13">
        <v>313.875</v>
      </c>
      <c r="K186" s="3" t="s">
        <v>2210</v>
      </c>
      <c r="L186" s="3" t="s">
        <v>905</v>
      </c>
      <c r="M186" t="str" cm="1">
        <f t="array" ref="M186">_xlfn.IFS(INFO_Pasajeros[[#This Row],[Edad]]&lt;=13,"Niños",INFO_Pasajeros[[#This Row],[Edad]]&lt;=18,"Jóvenes",INFO_Pasajeros[[#This Row],[Edad]]&lt;=50,"Adultos",INFO_Pasajeros[[#This Row],[Edad]]&gt;=51,"Adultos Mayores")</f>
        <v>Adultos Mayores</v>
      </c>
    </row>
    <row r="187" spans="1:13" x14ac:dyDescent="0.25">
      <c r="A187" s="3" t="s">
        <v>1213</v>
      </c>
      <c r="B187" s="3" t="s">
        <v>902</v>
      </c>
      <c r="C187" s="3">
        <v>184</v>
      </c>
      <c r="D187" s="5">
        <v>19</v>
      </c>
      <c r="E187" s="3">
        <v>1</v>
      </c>
      <c r="F187" s="3">
        <v>2</v>
      </c>
      <c r="G187" s="3">
        <v>2</v>
      </c>
      <c r="H187" s="3">
        <v>1</v>
      </c>
      <c r="I187" s="3">
        <v>28424</v>
      </c>
      <c r="J187" s="13">
        <v>39</v>
      </c>
      <c r="K187" s="3" t="s">
        <v>2210</v>
      </c>
      <c r="L187" s="3" t="s">
        <v>905</v>
      </c>
      <c r="M187" t="str" cm="1">
        <f t="array" ref="M187">_xlfn.IFS(INFO_Pasajeros[[#This Row],[Edad]]&lt;=13,"Niños",INFO_Pasajeros[[#This Row],[Edad]]&lt;=18,"Jóvenes",INFO_Pasajeros[[#This Row],[Edad]]&lt;=50,"Adultos",INFO_Pasajeros[[#This Row],[Edad]]&gt;=51,"Adultos Mayores")</f>
        <v>Adultos</v>
      </c>
    </row>
    <row r="188" spans="1:13" x14ac:dyDescent="0.25">
      <c r="A188" s="3" t="s">
        <v>1215</v>
      </c>
      <c r="B188" s="3" t="s">
        <v>907</v>
      </c>
      <c r="C188" s="3">
        <v>185</v>
      </c>
      <c r="D188" s="5">
        <v>23</v>
      </c>
      <c r="E188" s="3">
        <v>2</v>
      </c>
      <c r="F188" s="3">
        <v>0</v>
      </c>
      <c r="G188" s="3">
        <v>3</v>
      </c>
      <c r="H188" s="3">
        <v>1</v>
      </c>
      <c r="I188" s="3">
        <v>28425</v>
      </c>
      <c r="J188" s="13">
        <v>22.024999999999999</v>
      </c>
      <c r="K188" s="3" t="s">
        <v>2210</v>
      </c>
      <c r="L188" s="3" t="s">
        <v>905</v>
      </c>
      <c r="M188" t="str" cm="1">
        <f t="array" ref="M188">_xlfn.IFS(INFO_Pasajeros[[#This Row],[Edad]]&lt;=13,"Niños",INFO_Pasajeros[[#This Row],[Edad]]&lt;=18,"Jóvenes",INFO_Pasajeros[[#This Row],[Edad]]&lt;=50,"Adultos",INFO_Pasajeros[[#This Row],[Edad]]&gt;=51,"Adultos Mayores")</f>
        <v>Adultos</v>
      </c>
    </row>
    <row r="189" spans="1:13" x14ac:dyDescent="0.25">
      <c r="A189" s="3" t="s">
        <v>1216</v>
      </c>
      <c r="B189" s="3" t="s">
        <v>902</v>
      </c>
      <c r="C189" s="3">
        <v>186</v>
      </c>
      <c r="D189" s="5">
        <v>36</v>
      </c>
      <c r="E189" s="3">
        <v>0</v>
      </c>
      <c r="F189" s="3">
        <v>0</v>
      </c>
      <c r="G189" s="3">
        <v>1</v>
      </c>
      <c r="H189" s="3">
        <v>0</v>
      </c>
      <c r="I189" s="3">
        <v>28551</v>
      </c>
      <c r="J189" s="13">
        <v>50</v>
      </c>
      <c r="K189" s="3" t="s">
        <v>1382</v>
      </c>
      <c r="L189" s="3" t="s">
        <v>905</v>
      </c>
      <c r="M189" t="str" cm="1">
        <f t="array" ref="M189">_xlfn.IFS(INFO_Pasajeros[[#This Row],[Edad]]&lt;=13,"Niños",INFO_Pasajeros[[#This Row],[Edad]]&lt;=18,"Jóvenes",INFO_Pasajeros[[#This Row],[Edad]]&lt;=50,"Adultos",INFO_Pasajeros[[#This Row],[Edad]]&gt;=51,"Adultos Mayores")</f>
        <v>Adultos</v>
      </c>
    </row>
    <row r="190" spans="1:13" x14ac:dyDescent="0.25">
      <c r="A190" s="3" t="s">
        <v>1218</v>
      </c>
      <c r="B190" s="3" t="s">
        <v>907</v>
      </c>
      <c r="C190" s="3">
        <v>187</v>
      </c>
      <c r="D190" s="5">
        <v>34</v>
      </c>
      <c r="E190" s="3">
        <v>0</v>
      </c>
      <c r="F190" s="3">
        <v>1</v>
      </c>
      <c r="G190" s="3">
        <v>3</v>
      </c>
      <c r="H190" s="3">
        <v>1</v>
      </c>
      <c r="I190" s="3">
        <v>28664</v>
      </c>
      <c r="J190" s="13">
        <v>15.5</v>
      </c>
      <c r="K190" s="3" t="s">
        <v>2210</v>
      </c>
      <c r="L190" s="3" t="s">
        <v>905</v>
      </c>
      <c r="M190" t="str" cm="1">
        <f t="array" ref="M190">_xlfn.IFS(INFO_Pasajeros[[#This Row],[Edad]]&lt;=13,"Niños",INFO_Pasajeros[[#This Row],[Edad]]&lt;=18,"Jóvenes",INFO_Pasajeros[[#This Row],[Edad]]&lt;=50,"Adultos",INFO_Pasajeros[[#This Row],[Edad]]&gt;=51,"Adultos Mayores")</f>
        <v>Adultos</v>
      </c>
    </row>
    <row r="191" spans="1:13" x14ac:dyDescent="0.25">
      <c r="A191" s="3" t="s">
        <v>1219</v>
      </c>
      <c r="B191" s="3" t="s">
        <v>902</v>
      </c>
      <c r="C191" s="3">
        <v>188</v>
      </c>
      <c r="D191" s="5">
        <v>19</v>
      </c>
      <c r="E191" s="3">
        <v>0</v>
      </c>
      <c r="F191" s="3">
        <v>0</v>
      </c>
      <c r="G191" s="3">
        <v>1</v>
      </c>
      <c r="H191" s="3">
        <v>1</v>
      </c>
      <c r="I191" s="3">
        <v>28665</v>
      </c>
      <c r="J191" s="13">
        <v>26.55</v>
      </c>
      <c r="K191" s="3" t="s">
        <v>2210</v>
      </c>
      <c r="L191" s="3" t="s">
        <v>905</v>
      </c>
      <c r="M191" t="str" cm="1">
        <f t="array" ref="M191">_xlfn.IFS(INFO_Pasajeros[[#This Row],[Edad]]&lt;=13,"Niños",INFO_Pasajeros[[#This Row],[Edad]]&lt;=18,"Jóvenes",INFO_Pasajeros[[#This Row],[Edad]]&lt;=50,"Adultos",INFO_Pasajeros[[#This Row],[Edad]]&gt;=51,"Adultos Mayores")</f>
        <v>Adultos</v>
      </c>
    </row>
    <row r="192" spans="1:13" x14ac:dyDescent="0.25">
      <c r="A192" s="3" t="s">
        <v>1220</v>
      </c>
      <c r="B192" s="3" t="s">
        <v>902</v>
      </c>
      <c r="C192" s="3">
        <v>189</v>
      </c>
      <c r="D192" s="5">
        <v>54</v>
      </c>
      <c r="E192" s="3">
        <v>1</v>
      </c>
      <c r="F192" s="3">
        <v>1</v>
      </c>
      <c r="G192" s="3">
        <v>3</v>
      </c>
      <c r="H192" s="3">
        <v>0</v>
      </c>
      <c r="I192" s="3">
        <v>29011</v>
      </c>
      <c r="J192" s="13">
        <v>15.5</v>
      </c>
      <c r="K192" s="3" t="s">
        <v>2210</v>
      </c>
      <c r="L192" s="3" t="s">
        <v>905</v>
      </c>
      <c r="M192" t="str" cm="1">
        <f t="array" ref="M192">_xlfn.IFS(INFO_Pasajeros[[#This Row],[Edad]]&lt;=13,"Niños",INFO_Pasajeros[[#This Row],[Edad]]&lt;=18,"Jóvenes",INFO_Pasajeros[[#This Row],[Edad]]&lt;=50,"Adultos",INFO_Pasajeros[[#This Row],[Edad]]&gt;=51,"Adultos Mayores")</f>
        <v>Adultos Mayores</v>
      </c>
    </row>
    <row r="193" spans="1:13" x14ac:dyDescent="0.25">
      <c r="A193" s="3" t="s">
        <v>1221</v>
      </c>
      <c r="B193" s="3" t="s">
        <v>902</v>
      </c>
      <c r="C193" s="3">
        <v>190</v>
      </c>
      <c r="D193" s="5">
        <v>4</v>
      </c>
      <c r="E193" s="3">
        <v>0</v>
      </c>
      <c r="F193" s="3">
        <v>0</v>
      </c>
      <c r="G193" s="3">
        <v>3</v>
      </c>
      <c r="H193" s="3">
        <v>0</v>
      </c>
      <c r="I193" s="3">
        <v>29103</v>
      </c>
      <c r="J193" s="13">
        <v>78.957999999999998</v>
      </c>
      <c r="K193" s="3" t="s">
        <v>2210</v>
      </c>
      <c r="L193" s="3" t="s">
        <v>905</v>
      </c>
      <c r="M193" t="str" cm="1">
        <f t="array" ref="M193">_xlfn.IFS(INFO_Pasajeros[[#This Row],[Edad]]&lt;=13,"Niños",INFO_Pasajeros[[#This Row],[Edad]]&lt;=18,"Jóvenes",INFO_Pasajeros[[#This Row],[Edad]]&lt;=50,"Adultos",INFO_Pasajeros[[#This Row],[Edad]]&gt;=51,"Adultos Mayores")</f>
        <v>Niños</v>
      </c>
    </row>
    <row r="194" spans="1:13" x14ac:dyDescent="0.25">
      <c r="A194" s="3" t="s">
        <v>1222</v>
      </c>
      <c r="B194" s="3" t="s">
        <v>907</v>
      </c>
      <c r="C194" s="3">
        <v>191</v>
      </c>
      <c r="D194" s="5">
        <v>23</v>
      </c>
      <c r="E194" s="3">
        <v>0</v>
      </c>
      <c r="F194" s="3">
        <v>0</v>
      </c>
      <c r="G194" s="3">
        <v>2</v>
      </c>
      <c r="H194" s="3">
        <v>1</v>
      </c>
      <c r="I194" s="3">
        <v>29104</v>
      </c>
      <c r="J194" s="13">
        <v>13</v>
      </c>
      <c r="K194" s="3" t="s">
        <v>2210</v>
      </c>
      <c r="L194" s="3" t="s">
        <v>905</v>
      </c>
      <c r="M194" t="str" cm="1">
        <f t="array" ref="M194">_xlfn.IFS(INFO_Pasajeros[[#This Row],[Edad]]&lt;=13,"Niños",INFO_Pasajeros[[#This Row],[Edad]]&lt;=18,"Jóvenes",INFO_Pasajeros[[#This Row],[Edad]]&lt;=50,"Adultos",INFO_Pasajeros[[#This Row],[Edad]]&gt;=51,"Adultos Mayores")</f>
        <v>Adultos</v>
      </c>
    </row>
    <row r="195" spans="1:13" x14ac:dyDescent="0.25">
      <c r="A195" s="3" t="s">
        <v>1223</v>
      </c>
      <c r="B195" s="3" t="s">
        <v>902</v>
      </c>
      <c r="C195" s="3">
        <v>192</v>
      </c>
      <c r="D195" s="5">
        <v>54</v>
      </c>
      <c r="E195" s="3">
        <v>0</v>
      </c>
      <c r="F195" s="3">
        <v>0</v>
      </c>
      <c r="G195" s="3">
        <v>2</v>
      </c>
      <c r="H195" s="3">
        <v>0</v>
      </c>
      <c r="I195" s="3">
        <v>29105</v>
      </c>
      <c r="J195" s="13">
        <v>13</v>
      </c>
      <c r="K195" s="3" t="s">
        <v>2210</v>
      </c>
      <c r="L195" s="3" t="s">
        <v>905</v>
      </c>
      <c r="M195" t="str" cm="1">
        <f t="array" ref="M195">_xlfn.IFS(INFO_Pasajeros[[#This Row],[Edad]]&lt;=13,"Niños",INFO_Pasajeros[[#This Row],[Edad]]&lt;=18,"Jóvenes",INFO_Pasajeros[[#This Row],[Edad]]&lt;=50,"Adultos",INFO_Pasajeros[[#This Row],[Edad]]&gt;=51,"Adultos Mayores")</f>
        <v>Adultos Mayores</v>
      </c>
    </row>
    <row r="196" spans="1:13" x14ac:dyDescent="0.25">
      <c r="A196" s="3" t="s">
        <v>1224</v>
      </c>
      <c r="B196" s="3" t="s">
        <v>907</v>
      </c>
      <c r="C196" s="3">
        <v>193</v>
      </c>
      <c r="D196" s="5">
        <v>3</v>
      </c>
      <c r="E196" s="3">
        <v>0</v>
      </c>
      <c r="F196" s="3">
        <v>1</v>
      </c>
      <c r="G196" s="3">
        <v>3</v>
      </c>
      <c r="H196" s="3">
        <v>1</v>
      </c>
      <c r="I196" s="3">
        <v>29106</v>
      </c>
      <c r="J196" s="13">
        <v>78.542000000000002</v>
      </c>
      <c r="K196" s="3" t="s">
        <v>2210</v>
      </c>
      <c r="L196" s="3" t="s">
        <v>905</v>
      </c>
      <c r="M196" t="str" cm="1">
        <f t="array" ref="M196">_xlfn.IFS(INFO_Pasajeros[[#This Row],[Edad]]&lt;=13,"Niños",INFO_Pasajeros[[#This Row],[Edad]]&lt;=18,"Jóvenes",INFO_Pasajeros[[#This Row],[Edad]]&lt;=50,"Adultos",INFO_Pasajeros[[#This Row],[Edad]]&gt;=51,"Adultos Mayores")</f>
        <v>Niños</v>
      </c>
    </row>
    <row r="197" spans="1:13" x14ac:dyDescent="0.25">
      <c r="A197" s="3" t="s">
        <v>1225</v>
      </c>
      <c r="B197" s="3" t="s">
        <v>902</v>
      </c>
      <c r="C197" s="3">
        <v>194</v>
      </c>
      <c r="D197" s="5">
        <v>24</v>
      </c>
      <c r="E197" s="3">
        <v>1</v>
      </c>
      <c r="F197" s="3">
        <v>1</v>
      </c>
      <c r="G197" s="3">
        <v>2</v>
      </c>
      <c r="H197" s="3">
        <v>1</v>
      </c>
      <c r="I197" s="3">
        <v>29106</v>
      </c>
      <c r="J197" s="13">
        <v>26</v>
      </c>
      <c r="K197" s="3" t="s">
        <v>2210</v>
      </c>
      <c r="L197" s="3" t="s">
        <v>905</v>
      </c>
      <c r="M197" t="str" cm="1">
        <f t="array" ref="M197">_xlfn.IFS(INFO_Pasajeros[[#This Row],[Edad]]&lt;=13,"Niños",INFO_Pasajeros[[#This Row],[Edad]]&lt;=18,"Jóvenes",INFO_Pasajeros[[#This Row],[Edad]]&lt;=50,"Adultos",INFO_Pasajeros[[#This Row],[Edad]]&gt;=51,"Adultos Mayores")</f>
        <v>Adultos</v>
      </c>
    </row>
    <row r="198" spans="1:13" x14ac:dyDescent="0.25">
      <c r="A198" s="3" t="s">
        <v>1226</v>
      </c>
      <c r="B198" s="3" t="s">
        <v>907</v>
      </c>
      <c r="C198" s="3">
        <v>195</v>
      </c>
      <c r="D198" s="5">
        <v>1</v>
      </c>
      <c r="E198" s="3">
        <v>0</v>
      </c>
      <c r="F198" s="3">
        <v>0</v>
      </c>
      <c r="G198" s="3">
        <v>1</v>
      </c>
      <c r="H198" s="3">
        <v>1</v>
      </c>
      <c r="I198" s="3">
        <v>29106</v>
      </c>
      <c r="J198" s="13">
        <v>277.20800000000003</v>
      </c>
      <c r="K198" s="3" t="s">
        <v>2210</v>
      </c>
      <c r="L198" s="3" t="s">
        <v>905</v>
      </c>
      <c r="M198" t="str" cm="1">
        <f t="array" ref="M198">_xlfn.IFS(INFO_Pasajeros[[#This Row],[Edad]]&lt;=13,"Niños",INFO_Pasajeros[[#This Row],[Edad]]&lt;=18,"Jóvenes",INFO_Pasajeros[[#This Row],[Edad]]&lt;=50,"Adultos",INFO_Pasajeros[[#This Row],[Edad]]&gt;=51,"Adultos Mayores")</f>
        <v>Niños</v>
      </c>
    </row>
    <row r="199" spans="1:13" x14ac:dyDescent="0.25">
      <c r="A199" s="3" t="s">
        <v>1229</v>
      </c>
      <c r="B199" s="3" t="s">
        <v>907</v>
      </c>
      <c r="C199" s="3">
        <v>196</v>
      </c>
      <c r="D199" s="5">
        <v>18</v>
      </c>
      <c r="E199" s="3">
        <v>0</v>
      </c>
      <c r="F199" s="3">
        <v>0</v>
      </c>
      <c r="G199" s="3">
        <v>1</v>
      </c>
      <c r="H199" s="3">
        <v>1</v>
      </c>
      <c r="I199" s="3">
        <v>29108</v>
      </c>
      <c r="J199" s="13">
        <v>146.52080000000001</v>
      </c>
      <c r="K199" s="3" t="s">
        <v>2210</v>
      </c>
      <c r="L199" s="3" t="s">
        <v>905</v>
      </c>
      <c r="M199" t="str" cm="1">
        <f t="array" ref="M199">_xlfn.IFS(INFO_Pasajeros[[#This Row],[Edad]]&lt;=13,"Niños",INFO_Pasajeros[[#This Row],[Edad]]&lt;=18,"Jóvenes",INFO_Pasajeros[[#This Row],[Edad]]&lt;=50,"Adultos",INFO_Pasajeros[[#This Row],[Edad]]&gt;=51,"Adultos Mayores")</f>
        <v>Jóvenes</v>
      </c>
    </row>
    <row r="200" spans="1:13" x14ac:dyDescent="0.25">
      <c r="A200" s="3" t="s">
        <v>1231</v>
      </c>
      <c r="B200" s="3" t="s">
        <v>902</v>
      </c>
      <c r="C200" s="3">
        <v>197</v>
      </c>
      <c r="D200" s="5">
        <v>40</v>
      </c>
      <c r="E200" s="3">
        <v>0</v>
      </c>
      <c r="F200" s="3">
        <v>0</v>
      </c>
      <c r="G200" s="3">
        <v>3</v>
      </c>
      <c r="H200" s="3">
        <v>0</v>
      </c>
      <c r="I200" s="3">
        <v>29750</v>
      </c>
      <c r="J200" s="13">
        <v>7.75</v>
      </c>
      <c r="K200" s="3" t="s">
        <v>2210</v>
      </c>
      <c r="L200" s="3" t="s">
        <v>905</v>
      </c>
      <c r="M200" t="str" cm="1">
        <f t="array" ref="M200">_xlfn.IFS(INFO_Pasajeros[[#This Row],[Edad]]&lt;=13,"Niños",INFO_Pasajeros[[#This Row],[Edad]]&lt;=18,"Jóvenes",INFO_Pasajeros[[#This Row],[Edad]]&lt;=50,"Adultos",INFO_Pasajeros[[#This Row],[Edad]]&gt;=51,"Adultos Mayores")</f>
        <v>Adultos</v>
      </c>
    </row>
    <row r="201" spans="1:13" x14ac:dyDescent="0.25">
      <c r="A201" s="3" t="s">
        <v>1232</v>
      </c>
      <c r="B201" s="3" t="s">
        <v>902</v>
      </c>
      <c r="C201" s="3">
        <v>198</v>
      </c>
      <c r="D201" s="5">
        <v>60</v>
      </c>
      <c r="E201" s="3">
        <v>1</v>
      </c>
      <c r="F201" s="3">
        <v>0</v>
      </c>
      <c r="G201" s="3">
        <v>3</v>
      </c>
      <c r="H201" s="3">
        <v>0</v>
      </c>
      <c r="I201" s="3">
        <v>29750</v>
      </c>
      <c r="J201" s="13">
        <v>84.042000000000002</v>
      </c>
      <c r="K201" s="3" t="s">
        <v>2210</v>
      </c>
      <c r="L201" s="3" t="s">
        <v>905</v>
      </c>
      <c r="M201" t="str" cm="1">
        <f t="array" ref="M201">_xlfn.IFS(INFO_Pasajeros[[#This Row],[Edad]]&lt;=13,"Niños",INFO_Pasajeros[[#This Row],[Edad]]&lt;=18,"Jóvenes",INFO_Pasajeros[[#This Row],[Edad]]&lt;=50,"Adultos",INFO_Pasajeros[[#This Row],[Edad]]&gt;=51,"Adultos Mayores")</f>
        <v>Adultos Mayores</v>
      </c>
    </row>
    <row r="202" spans="1:13" x14ac:dyDescent="0.25">
      <c r="A202" s="3" t="s">
        <v>1233</v>
      </c>
      <c r="B202" s="3" t="s">
        <v>907</v>
      </c>
      <c r="C202" s="3">
        <v>199</v>
      </c>
      <c r="D202" s="5">
        <v>23</v>
      </c>
      <c r="E202" s="3">
        <v>0</v>
      </c>
      <c r="F202" s="3">
        <v>0</v>
      </c>
      <c r="G202" s="3">
        <v>3</v>
      </c>
      <c r="H202" s="3">
        <v>1</v>
      </c>
      <c r="I202" s="3">
        <v>29751</v>
      </c>
      <c r="J202" s="13">
        <v>7.75</v>
      </c>
      <c r="K202" s="3" t="s">
        <v>2210</v>
      </c>
      <c r="L202" s="3" t="s">
        <v>905</v>
      </c>
      <c r="M202" t="str" cm="1">
        <f t="array" ref="M202">_xlfn.IFS(INFO_Pasajeros[[#This Row],[Edad]]&lt;=13,"Niños",INFO_Pasajeros[[#This Row],[Edad]]&lt;=18,"Jóvenes",INFO_Pasajeros[[#This Row],[Edad]]&lt;=50,"Adultos",INFO_Pasajeros[[#This Row],[Edad]]&gt;=51,"Adultos Mayores")</f>
        <v>Adultos</v>
      </c>
    </row>
    <row r="203" spans="1:13" x14ac:dyDescent="0.25">
      <c r="A203" s="3" t="s">
        <v>1234</v>
      </c>
      <c r="B203" s="3" t="s">
        <v>907</v>
      </c>
      <c r="C203" s="3">
        <v>200</v>
      </c>
      <c r="D203" s="5">
        <v>34</v>
      </c>
      <c r="E203" s="3">
        <v>0</v>
      </c>
      <c r="F203" s="3">
        <v>0</v>
      </c>
      <c r="G203" s="3">
        <v>2</v>
      </c>
      <c r="H203" s="3">
        <v>0</v>
      </c>
      <c r="I203" s="3">
        <v>31027</v>
      </c>
      <c r="J203" s="13">
        <v>13</v>
      </c>
      <c r="K203" s="3" t="s">
        <v>2210</v>
      </c>
      <c r="L203" s="3" t="s">
        <v>905</v>
      </c>
      <c r="M203" t="str" cm="1">
        <f t="array" ref="M203">_xlfn.IFS(INFO_Pasajeros[[#This Row],[Edad]]&lt;=13,"Niños",INFO_Pasajeros[[#This Row],[Edad]]&lt;=18,"Jóvenes",INFO_Pasajeros[[#This Row],[Edad]]&lt;=50,"Adultos",INFO_Pasajeros[[#This Row],[Edad]]&gt;=51,"Adultos Mayores")</f>
        <v>Adultos</v>
      </c>
    </row>
    <row r="204" spans="1:13" x14ac:dyDescent="0.25">
      <c r="A204" s="3" t="s">
        <v>1235</v>
      </c>
      <c r="B204" s="3" t="s">
        <v>902</v>
      </c>
      <c r="C204" s="3">
        <v>201</v>
      </c>
      <c r="D204" s="5">
        <v>30</v>
      </c>
      <c r="E204" s="3">
        <v>0</v>
      </c>
      <c r="F204" s="3">
        <v>0</v>
      </c>
      <c r="G204" s="3">
        <v>3</v>
      </c>
      <c r="H204" s="3">
        <v>0</v>
      </c>
      <c r="I204" s="3">
        <v>31027</v>
      </c>
      <c r="J204" s="13">
        <v>9.5</v>
      </c>
      <c r="K204" s="3" t="s">
        <v>2210</v>
      </c>
      <c r="L204" s="3" t="s">
        <v>905</v>
      </c>
      <c r="M204" t="str" cm="1">
        <f t="array" ref="M204">_xlfn.IFS(INFO_Pasajeros[[#This Row],[Edad]]&lt;=13,"Niños",INFO_Pasajeros[[#This Row],[Edad]]&lt;=18,"Jóvenes",INFO_Pasajeros[[#This Row],[Edad]]&lt;=50,"Adultos",INFO_Pasajeros[[#This Row],[Edad]]&gt;=51,"Adultos Mayores")</f>
        <v>Adultos</v>
      </c>
    </row>
    <row r="205" spans="1:13" x14ac:dyDescent="0.25">
      <c r="A205" s="3" t="s">
        <v>1236</v>
      </c>
      <c r="B205" s="3" t="s">
        <v>902</v>
      </c>
      <c r="C205" s="3">
        <v>202</v>
      </c>
      <c r="D205" s="5">
        <v>26</v>
      </c>
      <c r="E205" s="3">
        <v>2</v>
      </c>
      <c r="F205" s="3">
        <v>8</v>
      </c>
      <c r="G205" s="3">
        <v>3</v>
      </c>
      <c r="H205" s="3">
        <v>0</v>
      </c>
      <c r="I205" s="3">
        <v>31028</v>
      </c>
      <c r="J205" s="13">
        <v>69.55</v>
      </c>
      <c r="K205" s="3" t="s">
        <v>2210</v>
      </c>
      <c r="L205" s="3" t="s">
        <v>905</v>
      </c>
      <c r="M205" t="str" cm="1">
        <f t="array" ref="M205">_xlfn.IFS(INFO_Pasajeros[[#This Row],[Edad]]&lt;=13,"Niños",INFO_Pasajeros[[#This Row],[Edad]]&lt;=18,"Jóvenes",INFO_Pasajeros[[#This Row],[Edad]]&lt;=50,"Adultos",INFO_Pasajeros[[#This Row],[Edad]]&gt;=51,"Adultos Mayores")</f>
        <v>Adultos</v>
      </c>
    </row>
    <row r="206" spans="1:13" x14ac:dyDescent="0.25">
      <c r="A206" s="3" t="s">
        <v>1237</v>
      </c>
      <c r="B206" s="3" t="s">
        <v>902</v>
      </c>
      <c r="C206" s="3">
        <v>203</v>
      </c>
      <c r="D206" s="5">
        <v>40</v>
      </c>
      <c r="E206" s="3">
        <v>0</v>
      </c>
      <c r="F206" s="3">
        <v>0</v>
      </c>
      <c r="G206" s="3">
        <v>3</v>
      </c>
      <c r="H206" s="3">
        <v>0</v>
      </c>
      <c r="I206" s="3">
        <v>31418</v>
      </c>
      <c r="J206" s="13">
        <v>64.957999999999998</v>
      </c>
      <c r="K206" s="3" t="s">
        <v>2210</v>
      </c>
      <c r="L206" s="3" t="s">
        <v>905</v>
      </c>
      <c r="M206" t="str" cm="1">
        <f t="array" ref="M206">_xlfn.IFS(INFO_Pasajeros[[#This Row],[Edad]]&lt;=13,"Niños",INFO_Pasajeros[[#This Row],[Edad]]&lt;=18,"Jóvenes",INFO_Pasajeros[[#This Row],[Edad]]&lt;=50,"Adultos",INFO_Pasajeros[[#This Row],[Edad]]&gt;=51,"Adultos Mayores")</f>
        <v>Adultos</v>
      </c>
    </row>
    <row r="207" spans="1:13" x14ac:dyDescent="0.25">
      <c r="A207" s="3" t="s">
        <v>1238</v>
      </c>
      <c r="B207" s="3" t="s">
        <v>902</v>
      </c>
      <c r="C207" s="3">
        <v>204</v>
      </c>
      <c r="D207" s="5">
        <v>4</v>
      </c>
      <c r="E207" s="3">
        <v>0</v>
      </c>
      <c r="F207" s="3">
        <v>0</v>
      </c>
      <c r="G207" s="3">
        <v>3</v>
      </c>
      <c r="H207" s="3">
        <v>0</v>
      </c>
      <c r="I207" s="3">
        <v>33638</v>
      </c>
      <c r="J207" s="13">
        <v>7.2249999999999996</v>
      </c>
      <c r="K207" s="3" t="s">
        <v>1602</v>
      </c>
      <c r="L207" s="3" t="s">
        <v>905</v>
      </c>
      <c r="M207" t="str" cm="1">
        <f t="array" ref="M207">_xlfn.IFS(INFO_Pasajeros[[#This Row],[Edad]]&lt;=13,"Niños",INFO_Pasajeros[[#This Row],[Edad]]&lt;=18,"Jóvenes",INFO_Pasajeros[[#This Row],[Edad]]&lt;=50,"Adultos",INFO_Pasajeros[[#This Row],[Edad]]&gt;=51,"Adultos Mayores")</f>
        <v>Niños</v>
      </c>
    </row>
    <row r="208" spans="1:13" x14ac:dyDescent="0.25">
      <c r="A208" s="3" t="s">
        <v>1240</v>
      </c>
      <c r="B208" s="3" t="s">
        <v>902</v>
      </c>
      <c r="C208" s="3">
        <v>205</v>
      </c>
      <c r="D208" s="5">
        <v>27</v>
      </c>
      <c r="E208" s="3">
        <v>0</v>
      </c>
      <c r="F208" s="3">
        <v>0</v>
      </c>
      <c r="G208" s="3">
        <v>3</v>
      </c>
      <c r="H208" s="3">
        <v>1</v>
      </c>
      <c r="I208" s="3">
        <v>34218</v>
      </c>
      <c r="J208" s="13">
        <v>8.0500000000000007</v>
      </c>
      <c r="K208" s="3" t="s">
        <v>1109</v>
      </c>
      <c r="L208" s="3" t="s">
        <v>905</v>
      </c>
      <c r="M208" t="str" cm="1">
        <f t="array" ref="M208">_xlfn.IFS(INFO_Pasajeros[[#This Row],[Edad]]&lt;=13,"Niños",INFO_Pasajeros[[#This Row],[Edad]]&lt;=18,"Jóvenes",INFO_Pasajeros[[#This Row],[Edad]]&lt;=50,"Adultos",INFO_Pasajeros[[#This Row],[Edad]]&gt;=51,"Adultos Mayores")</f>
        <v>Adultos</v>
      </c>
    </row>
    <row r="209" spans="1:13" x14ac:dyDescent="0.25">
      <c r="A209" s="3" t="s">
        <v>1242</v>
      </c>
      <c r="B209" s="3" t="s">
        <v>907</v>
      </c>
      <c r="C209" s="3">
        <v>206</v>
      </c>
      <c r="D209" s="5">
        <v>31</v>
      </c>
      <c r="E209" s="3">
        <v>1</v>
      </c>
      <c r="F209" s="3">
        <v>0</v>
      </c>
      <c r="G209" s="3">
        <v>3</v>
      </c>
      <c r="H209" s="3">
        <v>0</v>
      </c>
      <c r="I209" s="3">
        <v>35273</v>
      </c>
      <c r="J209" s="13">
        <v>104.625</v>
      </c>
      <c r="K209" s="3" t="s">
        <v>1257</v>
      </c>
      <c r="L209" s="3" t="s">
        <v>910</v>
      </c>
      <c r="M209" t="str" cm="1">
        <f t="array" ref="M209">_xlfn.IFS(INFO_Pasajeros[[#This Row],[Edad]]&lt;=13,"Niños",INFO_Pasajeros[[#This Row],[Edad]]&lt;=18,"Jóvenes",INFO_Pasajeros[[#This Row],[Edad]]&lt;=50,"Adultos",INFO_Pasajeros[[#This Row],[Edad]]&gt;=51,"Adultos Mayores")</f>
        <v>Adultos</v>
      </c>
    </row>
    <row r="210" spans="1:13" x14ac:dyDescent="0.25">
      <c r="A210" s="3" t="s">
        <v>1243</v>
      </c>
      <c r="B210" s="3" t="s">
        <v>902</v>
      </c>
      <c r="C210" s="3">
        <v>207</v>
      </c>
      <c r="D210" s="5">
        <v>23</v>
      </c>
      <c r="E210" s="3">
        <v>0</v>
      </c>
      <c r="F210" s="3">
        <v>1</v>
      </c>
      <c r="G210" s="3">
        <v>3</v>
      </c>
      <c r="H210" s="3">
        <v>0</v>
      </c>
      <c r="I210" s="3">
        <v>35273</v>
      </c>
      <c r="J210" s="13">
        <v>15.85</v>
      </c>
      <c r="K210" s="3" t="s">
        <v>1257</v>
      </c>
      <c r="L210" s="3" t="s">
        <v>910</v>
      </c>
      <c r="M210" t="str" cm="1">
        <f t="array" ref="M210">_xlfn.IFS(INFO_Pasajeros[[#This Row],[Edad]]&lt;=13,"Niños",INFO_Pasajeros[[#This Row],[Edad]]&lt;=18,"Jóvenes",INFO_Pasajeros[[#This Row],[Edad]]&lt;=50,"Adultos",INFO_Pasajeros[[#This Row],[Edad]]&gt;=51,"Adultos Mayores")</f>
        <v>Adultos</v>
      </c>
    </row>
    <row r="211" spans="1:13" x14ac:dyDescent="0.25">
      <c r="A211" s="3" t="s">
        <v>1244</v>
      </c>
      <c r="B211" s="3" t="s">
        <v>902</v>
      </c>
      <c r="C211" s="3">
        <v>208</v>
      </c>
      <c r="D211" s="5">
        <v>58</v>
      </c>
      <c r="E211" s="3">
        <v>0</v>
      </c>
      <c r="F211" s="3">
        <v>0</v>
      </c>
      <c r="G211" s="3">
        <v>3</v>
      </c>
      <c r="H211" s="3">
        <v>1</v>
      </c>
      <c r="I211" s="3">
        <v>35273</v>
      </c>
      <c r="J211" s="13">
        <v>187.875</v>
      </c>
      <c r="K211" s="3" t="s">
        <v>1897</v>
      </c>
      <c r="L211" s="3" t="s">
        <v>910</v>
      </c>
      <c r="M211" t="str" cm="1">
        <f t="array" ref="M211">_xlfn.IFS(INFO_Pasajeros[[#This Row],[Edad]]&lt;=13,"Niños",INFO_Pasajeros[[#This Row],[Edad]]&lt;=18,"Jóvenes",INFO_Pasajeros[[#This Row],[Edad]]&lt;=50,"Adultos",INFO_Pasajeros[[#This Row],[Edad]]&gt;=51,"Adultos Mayores")</f>
        <v>Adultos Mayores</v>
      </c>
    </row>
    <row r="212" spans="1:13" x14ac:dyDescent="0.25">
      <c r="A212" s="3" t="s">
        <v>1245</v>
      </c>
      <c r="B212" s="3" t="s">
        <v>907</v>
      </c>
      <c r="C212" s="3">
        <v>209</v>
      </c>
      <c r="D212" s="5">
        <v>21</v>
      </c>
      <c r="E212" s="3">
        <v>0</v>
      </c>
      <c r="F212" s="3">
        <v>0</v>
      </c>
      <c r="G212" s="3">
        <v>3</v>
      </c>
      <c r="H212" s="3">
        <v>1</v>
      </c>
      <c r="I212" s="3">
        <v>35281</v>
      </c>
      <c r="J212" s="13">
        <v>7.75</v>
      </c>
      <c r="K212" s="3" t="s">
        <v>1078</v>
      </c>
      <c r="L212" s="3" t="s">
        <v>905</v>
      </c>
      <c r="M212" t="str" cm="1">
        <f t="array" ref="M212">_xlfn.IFS(INFO_Pasajeros[[#This Row],[Edad]]&lt;=13,"Niños",INFO_Pasajeros[[#This Row],[Edad]]&lt;=18,"Jóvenes",INFO_Pasajeros[[#This Row],[Edad]]&lt;=50,"Adultos",INFO_Pasajeros[[#This Row],[Edad]]&gt;=51,"Adultos Mayores")</f>
        <v>Adultos</v>
      </c>
    </row>
    <row r="213" spans="1:13" x14ac:dyDescent="0.25">
      <c r="A213" s="3" t="s">
        <v>1246</v>
      </c>
      <c r="B213" s="3" t="s">
        <v>902</v>
      </c>
      <c r="C213" s="3">
        <v>210</v>
      </c>
      <c r="D213" s="5">
        <v>54</v>
      </c>
      <c r="E213" s="3">
        <v>0</v>
      </c>
      <c r="F213" s="3">
        <v>0</v>
      </c>
      <c r="G213" s="3">
        <v>1</v>
      </c>
      <c r="H213" s="3">
        <v>1</v>
      </c>
      <c r="I213" s="3">
        <v>35281</v>
      </c>
      <c r="J213" s="13">
        <v>31</v>
      </c>
      <c r="K213" s="3" t="s">
        <v>1078</v>
      </c>
      <c r="L213" s="3" t="s">
        <v>905</v>
      </c>
      <c r="M213" t="str" cm="1">
        <f t="array" ref="M213">_xlfn.IFS(INFO_Pasajeros[[#This Row],[Edad]]&lt;=13,"Niños",INFO_Pasajeros[[#This Row],[Edad]]&lt;=18,"Jóvenes",INFO_Pasajeros[[#This Row],[Edad]]&lt;=50,"Adultos",INFO_Pasajeros[[#This Row],[Edad]]&gt;=51,"Adultos Mayores")</f>
        <v>Adultos Mayores</v>
      </c>
    </row>
    <row r="214" spans="1:13" x14ac:dyDescent="0.25">
      <c r="A214" s="3" t="s">
        <v>1248</v>
      </c>
      <c r="B214" s="3" t="s">
        <v>902</v>
      </c>
      <c r="C214" s="3">
        <v>211</v>
      </c>
      <c r="D214" s="5">
        <v>16</v>
      </c>
      <c r="E214" s="3">
        <v>0</v>
      </c>
      <c r="F214" s="3">
        <v>0</v>
      </c>
      <c r="G214" s="3">
        <v>3</v>
      </c>
      <c r="H214" s="3">
        <v>0</v>
      </c>
      <c r="I214" s="3">
        <v>35851</v>
      </c>
      <c r="J214" s="13">
        <v>7.05</v>
      </c>
      <c r="K214" s="3" t="s">
        <v>2210</v>
      </c>
      <c r="L214" s="3" t="s">
        <v>919</v>
      </c>
      <c r="M214" t="str" cm="1">
        <f t="array" ref="M214">_xlfn.IFS(INFO_Pasajeros[[#This Row],[Edad]]&lt;=13,"Niños",INFO_Pasajeros[[#This Row],[Edad]]&lt;=18,"Jóvenes",INFO_Pasajeros[[#This Row],[Edad]]&lt;=50,"Adultos",INFO_Pasajeros[[#This Row],[Edad]]&gt;=51,"Adultos Mayores")</f>
        <v>Jóvenes</v>
      </c>
    </row>
    <row r="215" spans="1:13" x14ac:dyDescent="0.25">
      <c r="A215" s="3" t="s">
        <v>1250</v>
      </c>
      <c r="B215" s="3" t="s">
        <v>907</v>
      </c>
      <c r="C215" s="3">
        <v>212</v>
      </c>
      <c r="D215" s="5">
        <v>50</v>
      </c>
      <c r="E215" s="3">
        <v>0</v>
      </c>
      <c r="F215" s="3">
        <v>0</v>
      </c>
      <c r="G215" s="3">
        <v>2</v>
      </c>
      <c r="H215" s="3">
        <v>1</v>
      </c>
      <c r="I215" s="3">
        <v>35852</v>
      </c>
      <c r="J215" s="13">
        <v>21</v>
      </c>
      <c r="K215" s="3" t="s">
        <v>2210</v>
      </c>
      <c r="L215" s="3" t="s">
        <v>919</v>
      </c>
      <c r="M215" t="str" cm="1">
        <f t="array" ref="M215">_xlfn.IFS(INFO_Pasajeros[[#This Row],[Edad]]&lt;=13,"Niños",INFO_Pasajeros[[#This Row],[Edad]]&lt;=18,"Jóvenes",INFO_Pasajeros[[#This Row],[Edad]]&lt;=50,"Adultos",INFO_Pasajeros[[#This Row],[Edad]]&gt;=51,"Adultos Mayores")</f>
        <v>Adultos</v>
      </c>
    </row>
    <row r="216" spans="1:13" x14ac:dyDescent="0.25">
      <c r="A216" s="3" t="s">
        <v>1252</v>
      </c>
      <c r="B216" s="3" t="s">
        <v>902</v>
      </c>
      <c r="C216" s="3">
        <v>213</v>
      </c>
      <c r="D216" s="5">
        <v>5</v>
      </c>
      <c r="E216" s="3">
        <v>0</v>
      </c>
      <c r="F216" s="3">
        <v>0</v>
      </c>
      <c r="G216" s="3">
        <v>3</v>
      </c>
      <c r="H216" s="3">
        <v>0</v>
      </c>
      <c r="I216" s="3">
        <v>36209</v>
      </c>
      <c r="J216" s="13">
        <v>7.25</v>
      </c>
      <c r="K216" s="3" t="s">
        <v>2210</v>
      </c>
      <c r="L216" s="3" t="s">
        <v>919</v>
      </c>
      <c r="M216" t="str" cm="1">
        <f t="array" ref="M216">_xlfn.IFS(INFO_Pasajeros[[#This Row],[Edad]]&lt;=13,"Niños",INFO_Pasajeros[[#This Row],[Edad]]&lt;=18,"Jóvenes",INFO_Pasajeros[[#This Row],[Edad]]&lt;=50,"Adultos",INFO_Pasajeros[[#This Row],[Edad]]&gt;=51,"Adultos Mayores")</f>
        <v>Niños</v>
      </c>
    </row>
    <row r="217" spans="1:13" x14ac:dyDescent="0.25">
      <c r="A217" s="3" t="s">
        <v>1254</v>
      </c>
      <c r="B217" s="3" t="s">
        <v>902</v>
      </c>
      <c r="C217" s="3">
        <v>214</v>
      </c>
      <c r="D217" s="5">
        <v>44</v>
      </c>
      <c r="E217" s="3">
        <v>0</v>
      </c>
      <c r="F217" s="3">
        <v>0</v>
      </c>
      <c r="G217" s="3">
        <v>2</v>
      </c>
      <c r="H217" s="3">
        <v>0</v>
      </c>
      <c r="I217" s="3">
        <v>36568</v>
      </c>
      <c r="J217" s="13">
        <v>13</v>
      </c>
      <c r="K217" s="3" t="s">
        <v>2210</v>
      </c>
      <c r="L217" s="3" t="s">
        <v>919</v>
      </c>
      <c r="M217" t="str" cm="1">
        <f t="array" ref="M217">_xlfn.IFS(INFO_Pasajeros[[#This Row],[Edad]]&lt;=13,"Niños",INFO_Pasajeros[[#This Row],[Edad]]&lt;=18,"Jóvenes",INFO_Pasajeros[[#This Row],[Edad]]&lt;=50,"Adultos",INFO_Pasajeros[[#This Row],[Edad]]&gt;=51,"Adultos Mayores")</f>
        <v>Adultos</v>
      </c>
    </row>
    <row r="218" spans="1:13" x14ac:dyDescent="0.25">
      <c r="A218" s="3" t="s">
        <v>1255</v>
      </c>
      <c r="B218" s="3" t="s">
        <v>902</v>
      </c>
      <c r="C218" s="3">
        <v>215</v>
      </c>
      <c r="D218" s="5">
        <v>25</v>
      </c>
      <c r="E218" s="3">
        <v>0</v>
      </c>
      <c r="F218" s="3">
        <v>1</v>
      </c>
      <c r="G218" s="3">
        <v>3</v>
      </c>
      <c r="H218" s="3">
        <v>0</v>
      </c>
      <c r="I218" s="3">
        <v>36864</v>
      </c>
      <c r="J218" s="13">
        <v>7.75</v>
      </c>
      <c r="K218" s="3" t="s">
        <v>2210</v>
      </c>
      <c r="L218" s="3" t="s">
        <v>919</v>
      </c>
      <c r="M218" t="str" cm="1">
        <f t="array" ref="M218">_xlfn.IFS(INFO_Pasajeros[[#This Row],[Edad]]&lt;=13,"Niños",INFO_Pasajeros[[#This Row],[Edad]]&lt;=18,"Jóvenes",INFO_Pasajeros[[#This Row],[Edad]]&lt;=50,"Adultos",INFO_Pasajeros[[#This Row],[Edad]]&gt;=51,"Adultos Mayores")</f>
        <v>Adultos</v>
      </c>
    </row>
    <row r="219" spans="1:13" x14ac:dyDescent="0.25">
      <c r="A219" s="3" t="s">
        <v>1256</v>
      </c>
      <c r="B219" s="3" t="s">
        <v>907</v>
      </c>
      <c r="C219" s="3">
        <v>216</v>
      </c>
      <c r="D219" s="5">
        <v>38</v>
      </c>
      <c r="E219" s="3">
        <v>0</v>
      </c>
      <c r="F219" s="3">
        <v>1</v>
      </c>
      <c r="G219" s="3">
        <v>1</v>
      </c>
      <c r="H219" s="3">
        <v>1</v>
      </c>
      <c r="I219" s="3">
        <v>36865</v>
      </c>
      <c r="J219" s="13">
        <v>113.27500000000001</v>
      </c>
      <c r="K219" s="3" t="s">
        <v>2210</v>
      </c>
      <c r="L219" s="3" t="s">
        <v>919</v>
      </c>
      <c r="M219" t="str" cm="1">
        <f t="array" ref="M219">_xlfn.IFS(INFO_Pasajeros[[#This Row],[Edad]]&lt;=13,"Niños",INFO_Pasajeros[[#This Row],[Edad]]&lt;=18,"Jóvenes",INFO_Pasajeros[[#This Row],[Edad]]&lt;=50,"Adultos",INFO_Pasajeros[[#This Row],[Edad]]&gt;=51,"Adultos Mayores")</f>
        <v>Adultos</v>
      </c>
    </row>
    <row r="220" spans="1:13" x14ac:dyDescent="0.25">
      <c r="A220" s="3" t="s">
        <v>1258</v>
      </c>
      <c r="B220" s="3" t="s">
        <v>907</v>
      </c>
      <c r="C220" s="3">
        <v>217</v>
      </c>
      <c r="D220" s="5">
        <v>49</v>
      </c>
      <c r="E220" s="3">
        <v>0</v>
      </c>
      <c r="F220" s="3">
        <v>0</v>
      </c>
      <c r="G220" s="3">
        <v>3</v>
      </c>
      <c r="H220" s="3">
        <v>1</v>
      </c>
      <c r="I220" s="3">
        <v>36866</v>
      </c>
      <c r="J220" s="13">
        <v>7.9249999999999998</v>
      </c>
      <c r="K220" s="3" t="s">
        <v>2210</v>
      </c>
      <c r="L220" s="3" t="s">
        <v>919</v>
      </c>
      <c r="M220" t="str" cm="1">
        <f t="array" ref="M220">_xlfn.IFS(INFO_Pasajeros[[#This Row],[Edad]]&lt;=13,"Niños",INFO_Pasajeros[[#This Row],[Edad]]&lt;=18,"Jóvenes",INFO_Pasajeros[[#This Row],[Edad]]&lt;=50,"Adultos",INFO_Pasajeros[[#This Row],[Edad]]&gt;=51,"Adultos Mayores")</f>
        <v>Adultos</v>
      </c>
    </row>
    <row r="221" spans="1:13" x14ac:dyDescent="0.25">
      <c r="A221" s="3" t="s">
        <v>1260</v>
      </c>
      <c r="B221" s="3" t="s">
        <v>902</v>
      </c>
      <c r="C221" s="3">
        <v>218</v>
      </c>
      <c r="D221" s="5">
        <v>31</v>
      </c>
      <c r="E221" s="3">
        <v>0</v>
      </c>
      <c r="F221" s="3">
        <v>1</v>
      </c>
      <c r="G221" s="3">
        <v>2</v>
      </c>
      <c r="H221" s="3">
        <v>0</v>
      </c>
      <c r="I221" s="3">
        <v>36928</v>
      </c>
      <c r="J221" s="13">
        <v>27</v>
      </c>
      <c r="K221" s="3" t="s">
        <v>1430</v>
      </c>
      <c r="L221" s="3" t="s">
        <v>905</v>
      </c>
      <c r="M221" t="str" cm="1">
        <f t="array" ref="M221">_xlfn.IFS(INFO_Pasajeros[[#This Row],[Edad]]&lt;=13,"Niños",INFO_Pasajeros[[#This Row],[Edad]]&lt;=18,"Jóvenes",INFO_Pasajeros[[#This Row],[Edad]]&lt;=50,"Adultos",INFO_Pasajeros[[#This Row],[Edad]]&gt;=51,"Adultos Mayores")</f>
        <v>Adultos</v>
      </c>
    </row>
    <row r="222" spans="1:13" x14ac:dyDescent="0.25">
      <c r="A222" s="3" t="s">
        <v>1261</v>
      </c>
      <c r="B222" s="3" t="s">
        <v>907</v>
      </c>
      <c r="C222" s="3">
        <v>219</v>
      </c>
      <c r="D222" s="5">
        <v>45</v>
      </c>
      <c r="E222" s="3">
        <v>0</v>
      </c>
      <c r="F222" s="3">
        <v>0</v>
      </c>
      <c r="G222" s="3">
        <v>1</v>
      </c>
      <c r="H222" s="3">
        <v>1</v>
      </c>
      <c r="I222" s="3">
        <v>36928</v>
      </c>
      <c r="J222" s="13">
        <v>762.91700000000003</v>
      </c>
      <c r="K222" s="3" t="s">
        <v>2210</v>
      </c>
      <c r="L222" s="3" t="s">
        <v>905</v>
      </c>
      <c r="M222" t="str" cm="1">
        <f t="array" ref="M222">_xlfn.IFS(INFO_Pasajeros[[#This Row],[Edad]]&lt;=13,"Niños",INFO_Pasajeros[[#This Row],[Edad]]&lt;=18,"Jóvenes",INFO_Pasajeros[[#This Row],[Edad]]&lt;=50,"Adultos",INFO_Pasajeros[[#This Row],[Edad]]&gt;=51,"Adultos Mayores")</f>
        <v>Adultos</v>
      </c>
    </row>
    <row r="223" spans="1:13" x14ac:dyDescent="0.25">
      <c r="A223" s="3" t="s">
        <v>1263</v>
      </c>
      <c r="B223" s="3" t="s">
        <v>902</v>
      </c>
      <c r="C223" s="3">
        <v>220</v>
      </c>
      <c r="D223" s="5">
        <v>54</v>
      </c>
      <c r="E223" s="3">
        <v>0</v>
      </c>
      <c r="F223" s="3">
        <v>0</v>
      </c>
      <c r="G223" s="3">
        <v>2</v>
      </c>
      <c r="H223" s="3">
        <v>0</v>
      </c>
      <c r="I223" s="3">
        <v>36947</v>
      </c>
      <c r="J223" s="13">
        <v>10.5</v>
      </c>
      <c r="K223" s="3" t="s">
        <v>1676</v>
      </c>
      <c r="L223" s="3" t="s">
        <v>910</v>
      </c>
      <c r="M223" t="str" cm="1">
        <f t="array" ref="M223">_xlfn.IFS(INFO_Pasajeros[[#This Row],[Edad]]&lt;=13,"Niños",INFO_Pasajeros[[#This Row],[Edad]]&lt;=18,"Jóvenes",INFO_Pasajeros[[#This Row],[Edad]]&lt;=50,"Adultos",INFO_Pasajeros[[#This Row],[Edad]]&gt;=51,"Adultos Mayores")</f>
        <v>Adultos Mayores</v>
      </c>
    </row>
    <row r="224" spans="1:13" x14ac:dyDescent="0.25">
      <c r="A224" s="3" t="s">
        <v>1265</v>
      </c>
      <c r="B224" s="3" t="s">
        <v>902</v>
      </c>
      <c r="C224" s="3">
        <v>221</v>
      </c>
      <c r="D224" s="5">
        <v>52</v>
      </c>
      <c r="E224" s="3">
        <v>0</v>
      </c>
      <c r="F224" s="3">
        <v>0</v>
      </c>
      <c r="G224" s="3">
        <v>3</v>
      </c>
      <c r="H224" s="3">
        <v>1</v>
      </c>
      <c r="I224" s="3">
        <v>36947</v>
      </c>
      <c r="J224" s="13">
        <v>8.0500000000000007</v>
      </c>
      <c r="K224" s="3" t="s">
        <v>1676</v>
      </c>
      <c r="L224" s="3" t="s">
        <v>910</v>
      </c>
      <c r="M224" t="str" cm="1">
        <f t="array" ref="M224">_xlfn.IFS(INFO_Pasajeros[[#This Row],[Edad]]&lt;=13,"Niños",INFO_Pasajeros[[#This Row],[Edad]]&lt;=18,"Jóvenes",INFO_Pasajeros[[#This Row],[Edad]]&lt;=50,"Adultos",INFO_Pasajeros[[#This Row],[Edad]]&gt;=51,"Adultos Mayores")</f>
        <v>Adultos Mayores</v>
      </c>
    </row>
    <row r="225" spans="1:13" x14ac:dyDescent="0.25">
      <c r="A225" s="3" t="s">
        <v>1267</v>
      </c>
      <c r="B225" s="3" t="s">
        <v>902</v>
      </c>
      <c r="C225" s="3">
        <v>222</v>
      </c>
      <c r="D225" s="5">
        <v>61</v>
      </c>
      <c r="E225" s="3">
        <v>0</v>
      </c>
      <c r="F225" s="3">
        <v>0</v>
      </c>
      <c r="G225" s="3">
        <v>2</v>
      </c>
      <c r="H225" s="3">
        <v>0</v>
      </c>
      <c r="I225" s="3">
        <v>36963</v>
      </c>
      <c r="J225" s="13">
        <v>13</v>
      </c>
      <c r="K225" s="3" t="s">
        <v>1855</v>
      </c>
      <c r="L225" s="3" t="s">
        <v>905</v>
      </c>
      <c r="M225" t="str" cm="1">
        <f t="array" ref="M225">_xlfn.IFS(INFO_Pasajeros[[#This Row],[Edad]]&lt;=13,"Niños",INFO_Pasajeros[[#This Row],[Edad]]&lt;=18,"Jóvenes",INFO_Pasajeros[[#This Row],[Edad]]&lt;=50,"Adultos",INFO_Pasajeros[[#This Row],[Edad]]&gt;=51,"Adultos Mayores")</f>
        <v>Adultos Mayores</v>
      </c>
    </row>
    <row r="226" spans="1:13" x14ac:dyDescent="0.25">
      <c r="A226" s="3" t="s">
        <v>1268</v>
      </c>
      <c r="B226" s="3" t="s">
        <v>902</v>
      </c>
      <c r="C226" s="3">
        <v>223</v>
      </c>
      <c r="D226" s="5">
        <v>47</v>
      </c>
      <c r="E226" s="3">
        <v>0</v>
      </c>
      <c r="F226" s="3">
        <v>0</v>
      </c>
      <c r="G226" s="3">
        <v>3</v>
      </c>
      <c r="H226" s="3">
        <v>0</v>
      </c>
      <c r="I226" s="3">
        <v>36967</v>
      </c>
      <c r="J226" s="13">
        <v>8.0500000000000007</v>
      </c>
      <c r="K226" s="3" t="s">
        <v>1705</v>
      </c>
      <c r="L226" s="3" t="s">
        <v>905</v>
      </c>
      <c r="M226" t="str" cm="1">
        <f t="array" ref="M226">_xlfn.IFS(INFO_Pasajeros[[#This Row],[Edad]]&lt;=13,"Niños",INFO_Pasajeros[[#This Row],[Edad]]&lt;=18,"Jóvenes",INFO_Pasajeros[[#This Row],[Edad]]&lt;=50,"Adultos",INFO_Pasajeros[[#This Row],[Edad]]&gt;=51,"Adultos Mayores")</f>
        <v>Adultos</v>
      </c>
    </row>
    <row r="227" spans="1:13" x14ac:dyDescent="0.25">
      <c r="A227" s="3" t="s">
        <v>1269</v>
      </c>
      <c r="B227" s="3" t="s">
        <v>902</v>
      </c>
      <c r="C227" s="3">
        <v>224</v>
      </c>
      <c r="D227" s="5">
        <v>45</v>
      </c>
      <c r="E227" s="3">
        <v>0</v>
      </c>
      <c r="F227" s="3">
        <v>0</v>
      </c>
      <c r="G227" s="3">
        <v>3</v>
      </c>
      <c r="H227" s="3">
        <v>0</v>
      </c>
      <c r="I227" s="3">
        <v>36973</v>
      </c>
      <c r="J227" s="13">
        <v>78.957999999999998</v>
      </c>
      <c r="K227" s="3" t="s">
        <v>1013</v>
      </c>
      <c r="L227" s="3" t="s">
        <v>905</v>
      </c>
      <c r="M227" t="str" cm="1">
        <f t="array" ref="M227">_xlfn.IFS(INFO_Pasajeros[[#This Row],[Edad]]&lt;=13,"Niños",INFO_Pasajeros[[#This Row],[Edad]]&lt;=18,"Jóvenes",INFO_Pasajeros[[#This Row],[Edad]]&lt;=50,"Adultos",INFO_Pasajeros[[#This Row],[Edad]]&gt;=51,"Adultos Mayores")</f>
        <v>Adultos</v>
      </c>
    </row>
    <row r="228" spans="1:13" x14ac:dyDescent="0.25">
      <c r="A228" s="3" t="s">
        <v>1270</v>
      </c>
      <c r="B228" s="3" t="s">
        <v>902</v>
      </c>
      <c r="C228" s="3">
        <v>225</v>
      </c>
      <c r="D228" s="5">
        <v>35</v>
      </c>
      <c r="E228" s="3">
        <v>0</v>
      </c>
      <c r="F228" s="3">
        <v>1</v>
      </c>
      <c r="G228" s="3">
        <v>1</v>
      </c>
      <c r="H228" s="3">
        <v>1</v>
      </c>
      <c r="I228" s="3">
        <v>36973</v>
      </c>
      <c r="J228" s="13">
        <v>90</v>
      </c>
      <c r="K228" s="3" t="s">
        <v>1013</v>
      </c>
      <c r="L228" s="3" t="s">
        <v>905</v>
      </c>
      <c r="M228" t="str" cm="1">
        <f t="array" ref="M228">_xlfn.IFS(INFO_Pasajeros[[#This Row],[Edad]]&lt;=13,"Niños",INFO_Pasajeros[[#This Row],[Edad]]&lt;=18,"Jóvenes",INFO_Pasajeros[[#This Row],[Edad]]&lt;=50,"Adultos",INFO_Pasajeros[[#This Row],[Edad]]&gt;=51,"Adultos Mayores")</f>
        <v>Adultos</v>
      </c>
    </row>
    <row r="229" spans="1:13" x14ac:dyDescent="0.25">
      <c r="A229" s="3" t="s">
        <v>1272</v>
      </c>
      <c r="B229" s="3" t="s">
        <v>902</v>
      </c>
      <c r="C229" s="3">
        <v>226</v>
      </c>
      <c r="D229" s="5">
        <v>21</v>
      </c>
      <c r="E229" s="3">
        <v>0</v>
      </c>
      <c r="F229" s="3">
        <v>0</v>
      </c>
      <c r="G229" s="3">
        <v>3</v>
      </c>
      <c r="H229" s="3">
        <v>0</v>
      </c>
      <c r="I229" s="3">
        <v>54636</v>
      </c>
      <c r="J229" s="13">
        <v>9.35</v>
      </c>
      <c r="K229" s="3" t="s">
        <v>2210</v>
      </c>
      <c r="L229" s="3" t="s">
        <v>905</v>
      </c>
      <c r="M229" t="str" cm="1">
        <f t="array" ref="M229">_xlfn.IFS(INFO_Pasajeros[[#This Row],[Edad]]&lt;=13,"Niños",INFO_Pasajeros[[#This Row],[Edad]]&lt;=18,"Jóvenes",INFO_Pasajeros[[#This Row],[Edad]]&lt;=50,"Adultos",INFO_Pasajeros[[#This Row],[Edad]]&gt;=51,"Adultos Mayores")</f>
        <v>Adultos</v>
      </c>
    </row>
    <row r="230" spans="1:13" x14ac:dyDescent="0.25">
      <c r="A230" s="3" t="s">
        <v>1275</v>
      </c>
      <c r="B230" s="3" t="s">
        <v>902</v>
      </c>
      <c r="C230" s="3">
        <v>227</v>
      </c>
      <c r="D230" s="5">
        <v>29</v>
      </c>
      <c r="E230" s="3">
        <v>0</v>
      </c>
      <c r="F230" s="3">
        <v>0</v>
      </c>
      <c r="G230" s="3">
        <v>2</v>
      </c>
      <c r="H230" s="3">
        <v>1</v>
      </c>
      <c r="I230" s="3">
        <v>54636</v>
      </c>
      <c r="J230" s="13">
        <v>10.5</v>
      </c>
      <c r="K230" s="3" t="s">
        <v>2210</v>
      </c>
      <c r="L230" s="3" t="s">
        <v>905</v>
      </c>
      <c r="M230" t="str" cm="1">
        <f t="array" ref="M230">_xlfn.IFS(INFO_Pasajeros[[#This Row],[Edad]]&lt;=13,"Niños",INFO_Pasajeros[[#This Row],[Edad]]&lt;=18,"Jóvenes",INFO_Pasajeros[[#This Row],[Edad]]&lt;=50,"Adultos",INFO_Pasajeros[[#This Row],[Edad]]&gt;=51,"Adultos Mayores")</f>
        <v>Adultos</v>
      </c>
    </row>
    <row r="231" spans="1:13" x14ac:dyDescent="0.25">
      <c r="A231" s="3" t="s">
        <v>1277</v>
      </c>
      <c r="B231" s="3" t="s">
        <v>902</v>
      </c>
      <c r="C231" s="3">
        <v>228</v>
      </c>
      <c r="D231" s="5">
        <v>41</v>
      </c>
      <c r="E231" s="3">
        <v>0</v>
      </c>
      <c r="F231" s="3">
        <v>0</v>
      </c>
      <c r="G231" s="3">
        <v>3</v>
      </c>
      <c r="H231" s="3">
        <v>0</v>
      </c>
      <c r="I231" s="3">
        <v>65303</v>
      </c>
      <c r="J231" s="13">
        <v>7.25</v>
      </c>
      <c r="K231" s="3" t="s">
        <v>2210</v>
      </c>
      <c r="L231" s="3" t="s">
        <v>905</v>
      </c>
      <c r="M231" t="str" cm="1">
        <f t="array" ref="M231">_xlfn.IFS(INFO_Pasajeros[[#This Row],[Edad]]&lt;=13,"Niños",INFO_Pasajeros[[#This Row],[Edad]]&lt;=18,"Jóvenes",INFO_Pasajeros[[#This Row],[Edad]]&lt;=50,"Adultos",INFO_Pasajeros[[#This Row],[Edad]]&gt;=51,"Adultos Mayores")</f>
        <v>Adultos</v>
      </c>
    </row>
    <row r="232" spans="1:13" x14ac:dyDescent="0.25">
      <c r="A232" s="3" t="s">
        <v>1280</v>
      </c>
      <c r="B232" s="3" t="s">
        <v>902</v>
      </c>
      <c r="C232" s="3">
        <v>229</v>
      </c>
      <c r="D232" s="5">
        <v>73</v>
      </c>
      <c r="E232" s="3">
        <v>0</v>
      </c>
      <c r="F232" s="3">
        <v>0</v>
      </c>
      <c r="G232" s="3">
        <v>2</v>
      </c>
      <c r="H232" s="3">
        <v>0</v>
      </c>
      <c r="I232" s="3">
        <v>65304</v>
      </c>
      <c r="J232" s="13">
        <v>13</v>
      </c>
      <c r="K232" s="3" t="s">
        <v>2210</v>
      </c>
      <c r="L232" s="3" t="s">
        <v>905</v>
      </c>
      <c r="M232" t="str" cm="1">
        <f t="array" ref="M232">_xlfn.IFS(INFO_Pasajeros[[#This Row],[Edad]]&lt;=13,"Niños",INFO_Pasajeros[[#This Row],[Edad]]&lt;=18,"Jóvenes",INFO_Pasajeros[[#This Row],[Edad]]&lt;=50,"Adultos",INFO_Pasajeros[[#This Row],[Edad]]&gt;=51,"Adultos Mayores")</f>
        <v>Adultos Mayores</v>
      </c>
    </row>
    <row r="233" spans="1:13" x14ac:dyDescent="0.25">
      <c r="A233" s="3" t="s">
        <v>1281</v>
      </c>
      <c r="B233" s="3" t="s">
        <v>907</v>
      </c>
      <c r="C233" s="3">
        <v>230</v>
      </c>
      <c r="D233" s="5">
        <v>56</v>
      </c>
      <c r="E233" s="3">
        <v>1</v>
      </c>
      <c r="F233" s="3">
        <v>3</v>
      </c>
      <c r="G233" s="3">
        <v>3</v>
      </c>
      <c r="H233" s="3">
        <v>0</v>
      </c>
      <c r="I233" s="3">
        <v>65306</v>
      </c>
      <c r="J233" s="13">
        <v>254.667</v>
      </c>
      <c r="K233" s="3" t="s">
        <v>2210</v>
      </c>
      <c r="L233" s="3" t="s">
        <v>905</v>
      </c>
      <c r="M233" t="str" cm="1">
        <f t="array" ref="M233">_xlfn.IFS(INFO_Pasajeros[[#This Row],[Edad]]&lt;=13,"Niños",INFO_Pasajeros[[#This Row],[Edad]]&lt;=18,"Jóvenes",INFO_Pasajeros[[#This Row],[Edad]]&lt;=50,"Adultos",INFO_Pasajeros[[#This Row],[Edad]]&gt;=51,"Adultos Mayores")</f>
        <v>Adultos Mayores</v>
      </c>
    </row>
    <row r="234" spans="1:13" x14ac:dyDescent="0.25">
      <c r="A234" s="3" t="s">
        <v>1282</v>
      </c>
      <c r="B234" s="3" t="s">
        <v>907</v>
      </c>
      <c r="C234" s="3">
        <v>231</v>
      </c>
      <c r="D234" s="5">
        <v>30</v>
      </c>
      <c r="E234" s="3">
        <v>0</v>
      </c>
      <c r="F234" s="3">
        <v>1</v>
      </c>
      <c r="G234" s="3">
        <v>1</v>
      </c>
      <c r="H234" s="3">
        <v>1</v>
      </c>
      <c r="I234" s="3">
        <v>110152</v>
      </c>
      <c r="J234" s="13">
        <v>83.474999999999994</v>
      </c>
      <c r="K234" s="3" t="s">
        <v>1325</v>
      </c>
      <c r="L234" s="3" t="s">
        <v>905</v>
      </c>
      <c r="M234" t="str" cm="1">
        <f t="array" ref="M234">_xlfn.IFS(INFO_Pasajeros[[#This Row],[Edad]]&lt;=13,"Niños",INFO_Pasajeros[[#This Row],[Edad]]&lt;=18,"Jóvenes",INFO_Pasajeros[[#This Row],[Edad]]&lt;=50,"Adultos",INFO_Pasajeros[[#This Row],[Edad]]&gt;=51,"Adultos Mayores")</f>
        <v>Adultos</v>
      </c>
    </row>
    <row r="235" spans="1:13" x14ac:dyDescent="0.25">
      <c r="A235" s="3" t="s">
        <v>1283</v>
      </c>
      <c r="B235" s="3" t="s">
        <v>902</v>
      </c>
      <c r="C235" s="3">
        <v>232</v>
      </c>
      <c r="D235" s="5">
        <v>16</v>
      </c>
      <c r="E235" s="3">
        <v>0</v>
      </c>
      <c r="F235" s="3">
        <v>0</v>
      </c>
      <c r="G235" s="3">
        <v>3</v>
      </c>
      <c r="H235" s="3">
        <v>0</v>
      </c>
      <c r="I235" s="3">
        <v>110152</v>
      </c>
      <c r="J235" s="13">
        <v>7.7750000000000004</v>
      </c>
      <c r="K235" s="3" t="s">
        <v>1687</v>
      </c>
      <c r="L235" s="3" t="s">
        <v>905</v>
      </c>
      <c r="M235" t="str" cm="1">
        <f t="array" ref="M235">_xlfn.IFS(INFO_Pasajeros[[#This Row],[Edad]]&lt;=13,"Niños",INFO_Pasajeros[[#This Row],[Edad]]&lt;=18,"Jóvenes",INFO_Pasajeros[[#This Row],[Edad]]&lt;=50,"Adultos",INFO_Pasajeros[[#This Row],[Edad]]&gt;=51,"Adultos Mayores")</f>
        <v>Jóvenes</v>
      </c>
    </row>
    <row r="236" spans="1:13" x14ac:dyDescent="0.25">
      <c r="A236" s="3" t="s">
        <v>1284</v>
      </c>
      <c r="B236" s="3" t="s">
        <v>902</v>
      </c>
      <c r="C236" s="3">
        <v>233</v>
      </c>
      <c r="D236" s="5">
        <v>33</v>
      </c>
      <c r="E236" s="3">
        <v>0</v>
      </c>
      <c r="F236" s="3">
        <v>0</v>
      </c>
      <c r="G236" s="3">
        <v>2</v>
      </c>
      <c r="H236" s="3">
        <v>0</v>
      </c>
      <c r="I236" s="3">
        <v>110152</v>
      </c>
      <c r="J236" s="13">
        <v>13.5</v>
      </c>
      <c r="K236" s="3" t="s">
        <v>1325</v>
      </c>
      <c r="L236" s="3" t="s">
        <v>905</v>
      </c>
      <c r="M236" t="str" cm="1">
        <f t="array" ref="M236">_xlfn.IFS(INFO_Pasajeros[[#This Row],[Edad]]&lt;=13,"Niños",INFO_Pasajeros[[#This Row],[Edad]]&lt;=18,"Jóvenes",INFO_Pasajeros[[#This Row],[Edad]]&lt;=50,"Adultos",INFO_Pasajeros[[#This Row],[Edad]]&gt;=51,"Adultos Mayores")</f>
        <v>Adultos</v>
      </c>
    </row>
    <row r="237" spans="1:13" x14ac:dyDescent="0.25">
      <c r="A237" s="3" t="s">
        <v>1286</v>
      </c>
      <c r="B237" s="3" t="s">
        <v>907</v>
      </c>
      <c r="C237" s="3">
        <v>234</v>
      </c>
      <c r="D237" s="5">
        <v>52</v>
      </c>
      <c r="E237" s="3">
        <v>2</v>
      </c>
      <c r="F237" s="3">
        <v>4</v>
      </c>
      <c r="G237" s="3">
        <v>3</v>
      </c>
      <c r="H237" s="3">
        <v>1</v>
      </c>
      <c r="I237" s="3">
        <v>110413</v>
      </c>
      <c r="J237" s="13">
        <v>313.875</v>
      </c>
      <c r="K237" s="3" t="s">
        <v>1333</v>
      </c>
      <c r="L237" s="3" t="s">
        <v>905</v>
      </c>
      <c r="M237" t="str" cm="1">
        <f t="array" ref="M237">_xlfn.IFS(INFO_Pasajeros[[#This Row],[Edad]]&lt;=13,"Niños",INFO_Pasajeros[[#This Row],[Edad]]&lt;=18,"Jóvenes",INFO_Pasajeros[[#This Row],[Edad]]&lt;=50,"Adultos",INFO_Pasajeros[[#This Row],[Edad]]&gt;=51,"Adultos Mayores")</f>
        <v>Adultos Mayores</v>
      </c>
    </row>
    <row r="238" spans="1:13" x14ac:dyDescent="0.25">
      <c r="A238" s="3" t="s">
        <v>1287</v>
      </c>
      <c r="B238" s="3" t="s">
        <v>902</v>
      </c>
      <c r="C238" s="3">
        <v>235</v>
      </c>
      <c r="D238" s="5">
        <v>39</v>
      </c>
      <c r="E238" s="3">
        <v>0</v>
      </c>
      <c r="F238" s="3">
        <v>0</v>
      </c>
      <c r="G238" s="3">
        <v>2</v>
      </c>
      <c r="H238" s="3">
        <v>0</v>
      </c>
      <c r="I238" s="3">
        <v>110413</v>
      </c>
      <c r="J238" s="13">
        <v>10.5</v>
      </c>
      <c r="K238" s="3" t="s">
        <v>1333</v>
      </c>
      <c r="L238" s="3" t="s">
        <v>905</v>
      </c>
      <c r="M238" t="str" cm="1">
        <f t="array" ref="M238">_xlfn.IFS(INFO_Pasajeros[[#This Row],[Edad]]&lt;=13,"Niños",INFO_Pasajeros[[#This Row],[Edad]]&lt;=18,"Jóvenes",INFO_Pasajeros[[#This Row],[Edad]]&lt;=50,"Adultos",INFO_Pasajeros[[#This Row],[Edad]]&gt;=51,"Adultos Mayores")</f>
        <v>Adultos</v>
      </c>
    </row>
    <row r="239" spans="1:13" x14ac:dyDescent="0.25">
      <c r="A239" s="3" t="s">
        <v>1289</v>
      </c>
      <c r="B239" s="3" t="s">
        <v>907</v>
      </c>
      <c r="C239" s="3">
        <v>236</v>
      </c>
      <c r="D239" s="5">
        <v>18</v>
      </c>
      <c r="E239" s="3">
        <v>0</v>
      </c>
      <c r="F239" s="3">
        <v>0</v>
      </c>
      <c r="G239" s="3">
        <v>3</v>
      </c>
      <c r="H239" s="3">
        <v>0</v>
      </c>
      <c r="I239" s="3">
        <v>110413</v>
      </c>
      <c r="J239" s="13">
        <v>7.55</v>
      </c>
      <c r="K239" s="3" t="s">
        <v>1804</v>
      </c>
      <c r="L239" s="3" t="s">
        <v>905</v>
      </c>
      <c r="M239" t="str" cm="1">
        <f t="array" ref="M239">_xlfn.IFS(INFO_Pasajeros[[#This Row],[Edad]]&lt;=13,"Niños",INFO_Pasajeros[[#This Row],[Edad]]&lt;=18,"Jóvenes",INFO_Pasajeros[[#This Row],[Edad]]&lt;=50,"Adultos",INFO_Pasajeros[[#This Row],[Edad]]&gt;=51,"Adultos Mayores")</f>
        <v>Jóvenes</v>
      </c>
    </row>
    <row r="240" spans="1:13" x14ac:dyDescent="0.25">
      <c r="A240" s="3" t="s">
        <v>1292</v>
      </c>
      <c r="B240" s="3" t="s">
        <v>902</v>
      </c>
      <c r="C240" s="3">
        <v>237</v>
      </c>
      <c r="D240" s="5">
        <v>47</v>
      </c>
      <c r="E240" s="3">
        <v>0</v>
      </c>
      <c r="F240" s="3">
        <v>1</v>
      </c>
      <c r="G240" s="3">
        <v>2</v>
      </c>
      <c r="H240" s="3">
        <v>0</v>
      </c>
      <c r="I240" s="3">
        <v>110465</v>
      </c>
      <c r="J240" s="13">
        <v>26</v>
      </c>
      <c r="K240" s="3" t="s">
        <v>1088</v>
      </c>
      <c r="L240" s="3" t="s">
        <v>905</v>
      </c>
      <c r="M240" t="str" cm="1">
        <f t="array" ref="M240">_xlfn.IFS(INFO_Pasajeros[[#This Row],[Edad]]&lt;=13,"Niños",INFO_Pasajeros[[#This Row],[Edad]]&lt;=18,"Jóvenes",INFO_Pasajeros[[#This Row],[Edad]]&lt;=50,"Adultos",INFO_Pasajeros[[#This Row],[Edad]]&gt;=51,"Adultos Mayores")</f>
        <v>Adultos</v>
      </c>
    </row>
    <row r="241" spans="1:13" x14ac:dyDescent="0.25">
      <c r="A241" s="3" t="s">
        <v>1293</v>
      </c>
      <c r="B241" s="3" t="s">
        <v>907</v>
      </c>
      <c r="C241" s="3">
        <v>238</v>
      </c>
      <c r="D241" s="5">
        <v>44</v>
      </c>
      <c r="E241" s="3">
        <v>2</v>
      </c>
      <c r="F241" s="3">
        <v>0</v>
      </c>
      <c r="G241" s="3">
        <v>2</v>
      </c>
      <c r="H241" s="3">
        <v>1</v>
      </c>
      <c r="I241" s="3">
        <v>110465</v>
      </c>
      <c r="J241" s="13">
        <v>26.25</v>
      </c>
      <c r="K241" s="3" t="s">
        <v>1647</v>
      </c>
      <c r="L241" s="3" t="s">
        <v>905</v>
      </c>
      <c r="M241" t="str" cm="1">
        <f t="array" ref="M241">_xlfn.IFS(INFO_Pasajeros[[#This Row],[Edad]]&lt;=13,"Niños",INFO_Pasajeros[[#This Row],[Edad]]&lt;=18,"Jóvenes",INFO_Pasajeros[[#This Row],[Edad]]&lt;=50,"Adultos",INFO_Pasajeros[[#This Row],[Edad]]&gt;=51,"Adultos Mayores")</f>
        <v>Adultos</v>
      </c>
    </row>
    <row r="242" spans="1:13" x14ac:dyDescent="0.25">
      <c r="A242" s="3" t="s">
        <v>1296</v>
      </c>
      <c r="B242" s="3" t="s">
        <v>902</v>
      </c>
      <c r="C242" s="3">
        <v>239</v>
      </c>
      <c r="D242" s="5">
        <v>28</v>
      </c>
      <c r="E242" s="3">
        <v>0</v>
      </c>
      <c r="F242" s="3">
        <v>0</v>
      </c>
      <c r="G242" s="3">
        <v>2</v>
      </c>
      <c r="H242" s="3">
        <v>0</v>
      </c>
      <c r="I242" s="3">
        <v>110564</v>
      </c>
      <c r="J242" s="13">
        <v>10.5</v>
      </c>
      <c r="K242" s="3" t="s">
        <v>998</v>
      </c>
      <c r="L242" s="3" t="s">
        <v>905</v>
      </c>
      <c r="M242" t="str" cm="1">
        <f t="array" ref="M242">_xlfn.IFS(INFO_Pasajeros[[#This Row],[Edad]]&lt;=13,"Niños",INFO_Pasajeros[[#This Row],[Edad]]&lt;=18,"Jóvenes",INFO_Pasajeros[[#This Row],[Edad]]&lt;=50,"Adultos",INFO_Pasajeros[[#This Row],[Edad]]&gt;=51,"Adultos Mayores")</f>
        <v>Adultos</v>
      </c>
    </row>
    <row r="243" spans="1:13" x14ac:dyDescent="0.25">
      <c r="A243" s="3" t="s">
        <v>1297</v>
      </c>
      <c r="B243" s="3" t="s">
        <v>902</v>
      </c>
      <c r="C243" s="3">
        <v>240</v>
      </c>
      <c r="D243" s="5">
        <v>60</v>
      </c>
      <c r="E243" s="3">
        <v>0</v>
      </c>
      <c r="F243" s="3">
        <v>0</v>
      </c>
      <c r="G243" s="3">
        <v>2</v>
      </c>
      <c r="H243" s="3">
        <v>0</v>
      </c>
      <c r="I243" s="3">
        <v>110813</v>
      </c>
      <c r="J243" s="13">
        <v>12.275</v>
      </c>
      <c r="K243" s="3" t="s">
        <v>1497</v>
      </c>
      <c r="L243" s="3" t="s">
        <v>910</v>
      </c>
      <c r="M243" t="str" cm="1">
        <f t="array" ref="M243">_xlfn.IFS(INFO_Pasajeros[[#This Row],[Edad]]&lt;=13,"Niños",INFO_Pasajeros[[#This Row],[Edad]]&lt;=18,"Jóvenes",INFO_Pasajeros[[#This Row],[Edad]]&lt;=50,"Adultos",INFO_Pasajeros[[#This Row],[Edad]]&gt;=51,"Adultos Mayores")</f>
        <v>Adultos Mayores</v>
      </c>
    </row>
    <row r="244" spans="1:13" x14ac:dyDescent="0.25">
      <c r="A244" s="3" t="s">
        <v>1299</v>
      </c>
      <c r="B244" s="3" t="s">
        <v>907</v>
      </c>
      <c r="C244" s="3">
        <v>241</v>
      </c>
      <c r="D244" s="5">
        <v>61</v>
      </c>
      <c r="E244" s="3">
        <v>0</v>
      </c>
      <c r="F244" s="3">
        <v>1</v>
      </c>
      <c r="G244" s="3">
        <v>3</v>
      </c>
      <c r="H244" s="3">
        <v>0</v>
      </c>
      <c r="I244" s="3">
        <v>111240</v>
      </c>
      <c r="J244" s="13">
        <v>144.542</v>
      </c>
      <c r="K244" s="3" t="s">
        <v>1193</v>
      </c>
      <c r="L244" s="3" t="s">
        <v>905</v>
      </c>
      <c r="M244" t="str" cm="1">
        <f t="array" ref="M244">_xlfn.IFS(INFO_Pasajeros[[#This Row],[Edad]]&lt;=13,"Niños",INFO_Pasajeros[[#This Row],[Edad]]&lt;=18,"Jóvenes",INFO_Pasajeros[[#This Row],[Edad]]&lt;=50,"Adultos",INFO_Pasajeros[[#This Row],[Edad]]&gt;=51,"Adultos Mayores")</f>
        <v>Adultos Mayores</v>
      </c>
    </row>
    <row r="245" spans="1:13" x14ac:dyDescent="0.25">
      <c r="A245" s="3" t="s">
        <v>1300</v>
      </c>
      <c r="B245" s="3" t="s">
        <v>907</v>
      </c>
      <c r="C245" s="3">
        <v>242</v>
      </c>
      <c r="D245" s="5">
        <v>47</v>
      </c>
      <c r="E245" s="3">
        <v>0</v>
      </c>
      <c r="F245" s="3">
        <v>1</v>
      </c>
      <c r="G245" s="3">
        <v>3</v>
      </c>
      <c r="H245" s="3">
        <v>1</v>
      </c>
      <c r="I245" s="3">
        <v>111320</v>
      </c>
      <c r="J245" s="13">
        <v>15.5</v>
      </c>
      <c r="K245" s="3" t="s">
        <v>1629</v>
      </c>
      <c r="L245" s="3" t="s">
        <v>905</v>
      </c>
      <c r="M245" t="str" cm="1">
        <f t="array" ref="M245">_xlfn.IFS(INFO_Pasajeros[[#This Row],[Edad]]&lt;=13,"Niños",INFO_Pasajeros[[#This Row],[Edad]]&lt;=18,"Jóvenes",INFO_Pasajeros[[#This Row],[Edad]]&lt;=50,"Adultos",INFO_Pasajeros[[#This Row],[Edad]]&gt;=51,"Adultos Mayores")</f>
        <v>Adultos</v>
      </c>
    </row>
    <row r="246" spans="1:13" x14ac:dyDescent="0.25">
      <c r="A246" s="3" t="s">
        <v>1301</v>
      </c>
      <c r="B246" s="3" t="s">
        <v>902</v>
      </c>
      <c r="C246" s="3">
        <v>243</v>
      </c>
      <c r="D246" s="5">
        <v>16</v>
      </c>
      <c r="E246" s="3">
        <v>0</v>
      </c>
      <c r="F246" s="3">
        <v>0</v>
      </c>
      <c r="G246" s="3">
        <v>2</v>
      </c>
      <c r="H246" s="3">
        <v>0</v>
      </c>
      <c r="I246" s="3">
        <v>111361</v>
      </c>
      <c r="J246" s="13">
        <v>10.5</v>
      </c>
      <c r="K246" s="3" t="s">
        <v>1446</v>
      </c>
      <c r="L246" s="3" t="s">
        <v>910</v>
      </c>
      <c r="M246" t="str" cm="1">
        <f t="array" ref="M246">_xlfn.IFS(INFO_Pasajeros[[#This Row],[Edad]]&lt;=13,"Niños",INFO_Pasajeros[[#This Row],[Edad]]&lt;=18,"Jóvenes",INFO_Pasajeros[[#This Row],[Edad]]&lt;=50,"Adultos",INFO_Pasajeros[[#This Row],[Edad]]&gt;=51,"Adultos Mayores")</f>
        <v>Jóvenes</v>
      </c>
    </row>
    <row r="247" spans="1:13" x14ac:dyDescent="0.25">
      <c r="A247" s="3" t="s">
        <v>1303</v>
      </c>
      <c r="B247" s="3" t="s">
        <v>902</v>
      </c>
      <c r="C247" s="3">
        <v>244</v>
      </c>
      <c r="D247" s="5">
        <v>44</v>
      </c>
      <c r="E247" s="3">
        <v>0</v>
      </c>
      <c r="F247" s="3">
        <v>0</v>
      </c>
      <c r="G247" s="3">
        <v>3</v>
      </c>
      <c r="H247" s="3">
        <v>0</v>
      </c>
      <c r="I247" s="3">
        <v>111361</v>
      </c>
      <c r="J247" s="13">
        <v>7.125</v>
      </c>
      <c r="K247" s="3" t="s">
        <v>1446</v>
      </c>
      <c r="L247" s="3" t="s">
        <v>910</v>
      </c>
      <c r="M247" t="str" cm="1">
        <f t="array" ref="M247">_xlfn.IFS(INFO_Pasajeros[[#This Row],[Edad]]&lt;=13,"Niños",INFO_Pasajeros[[#This Row],[Edad]]&lt;=18,"Jóvenes",INFO_Pasajeros[[#This Row],[Edad]]&lt;=50,"Adultos",INFO_Pasajeros[[#This Row],[Edad]]&gt;=51,"Adultos Mayores")</f>
        <v>Adultos</v>
      </c>
    </row>
    <row r="248" spans="1:13" x14ac:dyDescent="0.25">
      <c r="A248" s="3" t="s">
        <v>1305</v>
      </c>
      <c r="B248" s="3" t="s">
        <v>902</v>
      </c>
      <c r="C248" s="3">
        <v>245</v>
      </c>
      <c r="D248" s="5">
        <v>26</v>
      </c>
      <c r="E248" s="3">
        <v>0</v>
      </c>
      <c r="F248" s="3">
        <v>0</v>
      </c>
      <c r="G248" s="3">
        <v>3</v>
      </c>
      <c r="H248" s="3">
        <v>0</v>
      </c>
      <c r="I248" s="3">
        <v>111369</v>
      </c>
      <c r="J248" s="13">
        <v>7.2249999999999996</v>
      </c>
      <c r="K248" s="3" t="s">
        <v>2197</v>
      </c>
      <c r="L248" s="3" t="s">
        <v>910</v>
      </c>
      <c r="M248" t="str" cm="1">
        <f t="array" ref="M248">_xlfn.IFS(INFO_Pasajeros[[#This Row],[Edad]]&lt;=13,"Niños",INFO_Pasajeros[[#This Row],[Edad]]&lt;=18,"Jóvenes",INFO_Pasajeros[[#This Row],[Edad]]&lt;=50,"Adultos",INFO_Pasajeros[[#This Row],[Edad]]&gt;=51,"Adultos Mayores")</f>
        <v>Adultos</v>
      </c>
    </row>
    <row r="249" spans="1:13" x14ac:dyDescent="0.25">
      <c r="A249" s="3" t="s">
        <v>1306</v>
      </c>
      <c r="B249" s="3" t="s">
        <v>902</v>
      </c>
      <c r="C249" s="3">
        <v>246</v>
      </c>
      <c r="D249" s="5">
        <v>35</v>
      </c>
      <c r="E249" s="3">
        <v>0</v>
      </c>
      <c r="F249" s="3">
        <v>2</v>
      </c>
      <c r="G249" s="3">
        <v>1</v>
      </c>
      <c r="H249" s="3">
        <v>0</v>
      </c>
      <c r="I249" s="3">
        <v>111426</v>
      </c>
      <c r="J249" s="13">
        <v>90</v>
      </c>
      <c r="K249" s="3" t="s">
        <v>2210</v>
      </c>
      <c r="L249" s="3" t="s">
        <v>910</v>
      </c>
      <c r="M249" t="str" cm="1">
        <f t="array" ref="M249">_xlfn.IFS(INFO_Pasajeros[[#This Row],[Edad]]&lt;=13,"Niños",INFO_Pasajeros[[#This Row],[Edad]]&lt;=18,"Jóvenes",INFO_Pasajeros[[#This Row],[Edad]]&lt;=50,"Adultos",INFO_Pasajeros[[#This Row],[Edad]]&gt;=51,"Adultos Mayores")</f>
        <v>Adultos</v>
      </c>
    </row>
    <row r="250" spans="1:13" x14ac:dyDescent="0.25">
      <c r="A250" s="3" t="s">
        <v>1308</v>
      </c>
      <c r="B250" s="3" t="s">
        <v>907</v>
      </c>
      <c r="C250" s="3">
        <v>247</v>
      </c>
      <c r="D250" s="5">
        <v>16</v>
      </c>
      <c r="E250" s="3">
        <v>0</v>
      </c>
      <c r="F250" s="3">
        <v>0</v>
      </c>
      <c r="G250" s="3">
        <v>3</v>
      </c>
      <c r="H250" s="3">
        <v>0</v>
      </c>
      <c r="I250" s="3">
        <v>111427</v>
      </c>
      <c r="J250" s="13">
        <v>7.7750000000000004</v>
      </c>
      <c r="K250" s="3" t="s">
        <v>2210</v>
      </c>
      <c r="L250" s="3" t="s">
        <v>905</v>
      </c>
      <c r="M250" t="str" cm="1">
        <f t="array" ref="M250">_xlfn.IFS(INFO_Pasajeros[[#This Row],[Edad]]&lt;=13,"Niños",INFO_Pasajeros[[#This Row],[Edad]]&lt;=18,"Jóvenes",INFO_Pasajeros[[#This Row],[Edad]]&lt;=50,"Adultos",INFO_Pasajeros[[#This Row],[Edad]]&gt;=51,"Adultos Mayores")</f>
        <v>Jóvenes</v>
      </c>
    </row>
    <row r="251" spans="1:13" x14ac:dyDescent="0.25">
      <c r="A251" s="3" t="s">
        <v>1309</v>
      </c>
      <c r="B251" s="3" t="s">
        <v>907</v>
      </c>
      <c r="C251" s="3">
        <v>248</v>
      </c>
      <c r="D251" s="5">
        <v>45</v>
      </c>
      <c r="E251" s="3">
        <v>2</v>
      </c>
      <c r="F251" s="3">
        <v>0</v>
      </c>
      <c r="G251" s="3">
        <v>2</v>
      </c>
      <c r="H251" s="3">
        <v>1</v>
      </c>
      <c r="I251" s="3">
        <v>111428</v>
      </c>
      <c r="J251" s="13">
        <v>14.5</v>
      </c>
      <c r="K251" s="3" t="s">
        <v>2210</v>
      </c>
      <c r="L251" s="3" t="s">
        <v>905</v>
      </c>
      <c r="M251" t="str" cm="1">
        <f t="array" ref="M251">_xlfn.IFS(INFO_Pasajeros[[#This Row],[Edad]]&lt;=13,"Niños",INFO_Pasajeros[[#This Row],[Edad]]&lt;=18,"Jóvenes",INFO_Pasajeros[[#This Row],[Edad]]&lt;=50,"Adultos",INFO_Pasajeros[[#This Row],[Edad]]&gt;=51,"Adultos Mayores")</f>
        <v>Adultos</v>
      </c>
    </row>
    <row r="252" spans="1:13" x14ac:dyDescent="0.25">
      <c r="A252" s="3" t="s">
        <v>1310</v>
      </c>
      <c r="B252" s="3" t="s">
        <v>902</v>
      </c>
      <c r="C252" s="3">
        <v>249</v>
      </c>
      <c r="D252" s="5">
        <v>39</v>
      </c>
      <c r="E252" s="3">
        <v>1</v>
      </c>
      <c r="F252" s="3">
        <v>1</v>
      </c>
      <c r="G252" s="3">
        <v>1</v>
      </c>
      <c r="H252" s="3">
        <v>1</v>
      </c>
      <c r="I252" s="3">
        <v>112050</v>
      </c>
      <c r="J252" s="13">
        <v>525.54200000000003</v>
      </c>
      <c r="K252" s="3" t="s">
        <v>2088</v>
      </c>
      <c r="L252" s="3" t="s">
        <v>905</v>
      </c>
      <c r="M252" t="str" cm="1">
        <f t="array" ref="M252">_xlfn.IFS(INFO_Pasajeros[[#This Row],[Edad]]&lt;=13,"Niños",INFO_Pasajeros[[#This Row],[Edad]]&lt;=18,"Jóvenes",INFO_Pasajeros[[#This Row],[Edad]]&lt;=50,"Adultos",INFO_Pasajeros[[#This Row],[Edad]]&gt;=51,"Adultos Mayores")</f>
        <v>Adultos</v>
      </c>
    </row>
    <row r="253" spans="1:13" x14ac:dyDescent="0.25">
      <c r="A253" s="3" t="s">
        <v>1312</v>
      </c>
      <c r="B253" s="3" t="s">
        <v>902</v>
      </c>
      <c r="C253" s="3">
        <v>250</v>
      </c>
      <c r="D253" s="5">
        <v>65</v>
      </c>
      <c r="E253" s="3">
        <v>0</v>
      </c>
      <c r="F253" s="3">
        <v>1</v>
      </c>
      <c r="G253" s="3">
        <v>2</v>
      </c>
      <c r="H253" s="3">
        <v>0</v>
      </c>
      <c r="I253" s="3">
        <v>112052</v>
      </c>
      <c r="J253" s="13">
        <v>26</v>
      </c>
      <c r="K253" s="3" t="s">
        <v>2210</v>
      </c>
      <c r="L253" s="3" t="s">
        <v>905</v>
      </c>
      <c r="M253" t="str" cm="1">
        <f t="array" ref="M253">_xlfn.IFS(INFO_Pasajeros[[#This Row],[Edad]]&lt;=13,"Niños",INFO_Pasajeros[[#This Row],[Edad]]&lt;=18,"Jóvenes",INFO_Pasajeros[[#This Row],[Edad]]&lt;=50,"Adultos",INFO_Pasajeros[[#This Row],[Edad]]&gt;=51,"Adultos Mayores")</f>
        <v>Adultos Mayores</v>
      </c>
    </row>
    <row r="254" spans="1:13" x14ac:dyDescent="0.25">
      <c r="A254" s="3" t="s">
        <v>1313</v>
      </c>
      <c r="B254" s="3" t="s">
        <v>902</v>
      </c>
      <c r="C254" s="3">
        <v>251</v>
      </c>
      <c r="D254" s="5">
        <v>19</v>
      </c>
      <c r="E254" s="3">
        <v>0</v>
      </c>
      <c r="F254" s="3">
        <v>0</v>
      </c>
      <c r="G254" s="3">
        <v>3</v>
      </c>
      <c r="H254" s="3">
        <v>0</v>
      </c>
      <c r="I254" s="3">
        <v>112053</v>
      </c>
      <c r="J254" s="13">
        <v>7.25</v>
      </c>
      <c r="K254" s="3" t="s">
        <v>2194</v>
      </c>
      <c r="L254" s="3" t="s">
        <v>905</v>
      </c>
      <c r="M254" t="str" cm="1">
        <f t="array" ref="M254">_xlfn.IFS(INFO_Pasajeros[[#This Row],[Edad]]&lt;=13,"Niños",INFO_Pasajeros[[#This Row],[Edad]]&lt;=18,"Jóvenes",INFO_Pasajeros[[#This Row],[Edad]]&lt;=50,"Adultos",INFO_Pasajeros[[#This Row],[Edad]]&gt;=51,"Adultos Mayores")</f>
        <v>Adultos</v>
      </c>
    </row>
    <row r="255" spans="1:13" x14ac:dyDescent="0.25">
      <c r="A255" s="3" t="s">
        <v>1314</v>
      </c>
      <c r="B255" s="3" t="s">
        <v>907</v>
      </c>
      <c r="C255" s="3">
        <v>252</v>
      </c>
      <c r="D255" s="5">
        <v>37</v>
      </c>
      <c r="E255" s="3">
        <v>1</v>
      </c>
      <c r="F255" s="3">
        <v>1</v>
      </c>
      <c r="G255" s="3">
        <v>3</v>
      </c>
      <c r="H255" s="3">
        <v>0</v>
      </c>
      <c r="I255" s="3">
        <v>112058</v>
      </c>
      <c r="J255" s="13">
        <v>104.625</v>
      </c>
      <c r="K255" s="3" t="s">
        <v>2098</v>
      </c>
      <c r="L255" s="3" t="s">
        <v>905</v>
      </c>
      <c r="M255" t="str" cm="1">
        <f t="array" ref="M255">_xlfn.IFS(INFO_Pasajeros[[#This Row],[Edad]]&lt;=13,"Niños",INFO_Pasajeros[[#This Row],[Edad]]&lt;=18,"Jóvenes",INFO_Pasajeros[[#This Row],[Edad]]&lt;=50,"Adultos",INFO_Pasajeros[[#This Row],[Edad]]&gt;=51,"Adultos Mayores")</f>
        <v>Adultos</v>
      </c>
    </row>
    <row r="256" spans="1:13" x14ac:dyDescent="0.25">
      <c r="A256" s="3" t="s">
        <v>1315</v>
      </c>
      <c r="B256" s="3" t="s">
        <v>902</v>
      </c>
      <c r="C256" s="3">
        <v>253</v>
      </c>
      <c r="D256" s="5">
        <v>40</v>
      </c>
      <c r="E256" s="3">
        <v>0</v>
      </c>
      <c r="F256" s="3">
        <v>0</v>
      </c>
      <c r="G256" s="3">
        <v>1</v>
      </c>
      <c r="H256" s="3">
        <v>0</v>
      </c>
      <c r="I256" s="3">
        <v>112059</v>
      </c>
      <c r="J256" s="13">
        <v>26.55</v>
      </c>
      <c r="K256" s="3" t="s">
        <v>1335</v>
      </c>
      <c r="L256" s="3" t="s">
        <v>905</v>
      </c>
      <c r="M256" t="str" cm="1">
        <f t="array" ref="M256">_xlfn.IFS(INFO_Pasajeros[[#This Row],[Edad]]&lt;=13,"Niños",INFO_Pasajeros[[#This Row],[Edad]]&lt;=18,"Jóvenes",INFO_Pasajeros[[#This Row],[Edad]]&lt;=50,"Adultos",INFO_Pasajeros[[#This Row],[Edad]]&gt;=51,"Adultos Mayores")</f>
        <v>Adultos</v>
      </c>
    </row>
    <row r="257" spans="1:13" x14ac:dyDescent="0.25">
      <c r="A257" s="3" t="s">
        <v>1317</v>
      </c>
      <c r="B257" s="3" t="s">
        <v>902</v>
      </c>
      <c r="C257" s="3">
        <v>254</v>
      </c>
      <c r="D257" s="5">
        <v>40</v>
      </c>
      <c r="E257" s="3">
        <v>0</v>
      </c>
      <c r="F257" s="3">
        <v>1</v>
      </c>
      <c r="G257" s="3">
        <v>3</v>
      </c>
      <c r="H257" s="3">
        <v>0</v>
      </c>
      <c r="I257" s="3">
        <v>112277</v>
      </c>
      <c r="J257" s="13">
        <v>16.100000000000001</v>
      </c>
      <c r="K257" s="3" t="s">
        <v>1247</v>
      </c>
      <c r="L257" s="3" t="s">
        <v>910</v>
      </c>
      <c r="M257" t="str" cm="1">
        <f t="array" ref="M257">_xlfn.IFS(INFO_Pasajeros[[#This Row],[Edad]]&lt;=13,"Niños",INFO_Pasajeros[[#This Row],[Edad]]&lt;=18,"Jóvenes",INFO_Pasajeros[[#This Row],[Edad]]&lt;=50,"Adultos",INFO_Pasajeros[[#This Row],[Edad]]&gt;=51,"Adultos Mayores")</f>
        <v>Adultos</v>
      </c>
    </row>
    <row r="258" spans="1:13" x14ac:dyDescent="0.25">
      <c r="A258" s="3" t="s">
        <v>1319</v>
      </c>
      <c r="B258" s="3" t="s">
        <v>907</v>
      </c>
      <c r="C258" s="3">
        <v>255</v>
      </c>
      <c r="D258" s="5">
        <v>31</v>
      </c>
      <c r="E258" s="3">
        <v>2</v>
      </c>
      <c r="F258" s="3">
        <v>0</v>
      </c>
      <c r="G258" s="3">
        <v>3</v>
      </c>
      <c r="H258" s="3">
        <v>0</v>
      </c>
      <c r="I258" s="3">
        <v>112379</v>
      </c>
      <c r="J258" s="13">
        <v>202.125</v>
      </c>
      <c r="K258" s="3" t="s">
        <v>2210</v>
      </c>
      <c r="L258" s="3" t="s">
        <v>910</v>
      </c>
      <c r="M258" t="str" cm="1">
        <f t="array" ref="M258">_xlfn.IFS(INFO_Pasajeros[[#This Row],[Edad]]&lt;=13,"Niños",INFO_Pasajeros[[#This Row],[Edad]]&lt;=18,"Jóvenes",INFO_Pasajeros[[#This Row],[Edad]]&lt;=50,"Adultos",INFO_Pasajeros[[#This Row],[Edad]]&gt;=51,"Adultos Mayores")</f>
        <v>Adultos</v>
      </c>
    </row>
    <row r="259" spans="1:13" x14ac:dyDescent="0.25">
      <c r="A259" s="3" t="s">
        <v>1320</v>
      </c>
      <c r="B259" s="3" t="s">
        <v>907</v>
      </c>
      <c r="C259" s="3">
        <v>256</v>
      </c>
      <c r="D259" s="5">
        <v>7</v>
      </c>
      <c r="E259" s="3">
        <v>2</v>
      </c>
      <c r="F259" s="3">
        <v>0</v>
      </c>
      <c r="G259" s="3">
        <v>3</v>
      </c>
      <c r="H259" s="3">
        <v>1</v>
      </c>
      <c r="I259" s="3">
        <v>113028</v>
      </c>
      <c r="J259" s="13">
        <v>152.458</v>
      </c>
      <c r="K259" s="3" t="s">
        <v>1449</v>
      </c>
      <c r="L259" s="3" t="s">
        <v>905</v>
      </c>
      <c r="M259" t="str" cm="1">
        <f t="array" ref="M259">_xlfn.IFS(INFO_Pasajeros[[#This Row],[Edad]]&lt;=13,"Niños",INFO_Pasajeros[[#This Row],[Edad]]&lt;=18,"Jóvenes",INFO_Pasajeros[[#This Row],[Edad]]&lt;=50,"Adultos",INFO_Pasajeros[[#This Row],[Edad]]&gt;=51,"Adultos Mayores")</f>
        <v>Niños</v>
      </c>
    </row>
    <row r="260" spans="1:13" x14ac:dyDescent="0.25">
      <c r="A260" s="3" t="s">
        <v>1321</v>
      </c>
      <c r="B260" s="3" t="s">
        <v>907</v>
      </c>
      <c r="C260" s="3">
        <v>257</v>
      </c>
      <c r="D260" s="5">
        <v>46</v>
      </c>
      <c r="E260" s="3">
        <v>0</v>
      </c>
      <c r="F260" s="3">
        <v>0</v>
      </c>
      <c r="G260" s="3">
        <v>1</v>
      </c>
      <c r="H260" s="3">
        <v>1</v>
      </c>
      <c r="I260" s="3">
        <v>113043</v>
      </c>
      <c r="J260" s="13">
        <v>79.2</v>
      </c>
      <c r="K260" s="3" t="s">
        <v>1449</v>
      </c>
      <c r="L260" s="3" t="s">
        <v>905</v>
      </c>
      <c r="M260" t="str" cm="1">
        <f t="array" ref="M260">_xlfn.IFS(INFO_Pasajeros[[#This Row],[Edad]]&lt;=13,"Niños",INFO_Pasajeros[[#This Row],[Edad]]&lt;=18,"Jóvenes",INFO_Pasajeros[[#This Row],[Edad]]&lt;=50,"Adultos",INFO_Pasajeros[[#This Row],[Edad]]&gt;=51,"Adultos Mayores")</f>
        <v>Adultos</v>
      </c>
    </row>
    <row r="261" spans="1:13" x14ac:dyDescent="0.25">
      <c r="A261" s="3" t="s">
        <v>1323</v>
      </c>
      <c r="B261" s="3" t="s">
        <v>907</v>
      </c>
      <c r="C261" s="3">
        <v>258</v>
      </c>
      <c r="D261" s="5">
        <v>45</v>
      </c>
      <c r="E261" s="3">
        <v>0</v>
      </c>
      <c r="F261" s="3">
        <v>0</v>
      </c>
      <c r="G261" s="3">
        <v>1</v>
      </c>
      <c r="H261" s="3">
        <v>1</v>
      </c>
      <c r="I261" s="3">
        <v>113050</v>
      </c>
      <c r="J261" s="13">
        <v>86.5</v>
      </c>
      <c r="K261" s="3" t="s">
        <v>1733</v>
      </c>
      <c r="L261" s="3" t="s">
        <v>905</v>
      </c>
      <c r="M261" t="str" cm="1">
        <f t="array" ref="M261">_xlfn.IFS(INFO_Pasajeros[[#This Row],[Edad]]&lt;=13,"Niños",INFO_Pasajeros[[#This Row],[Edad]]&lt;=18,"Jóvenes",INFO_Pasajeros[[#This Row],[Edad]]&lt;=50,"Adultos",INFO_Pasajeros[[#This Row],[Edad]]&gt;=51,"Adultos Mayores")</f>
        <v>Adultos</v>
      </c>
    </row>
    <row r="262" spans="1:13" x14ac:dyDescent="0.25">
      <c r="A262" s="3" t="s">
        <v>1326</v>
      </c>
      <c r="B262" s="3" t="s">
        <v>907</v>
      </c>
      <c r="C262" s="3">
        <v>259</v>
      </c>
      <c r="D262" s="5">
        <v>30</v>
      </c>
      <c r="E262" s="3">
        <v>0</v>
      </c>
      <c r="F262" s="3">
        <v>0</v>
      </c>
      <c r="G262" s="3">
        <v>1</v>
      </c>
      <c r="H262" s="3">
        <v>1</v>
      </c>
      <c r="I262" s="3">
        <v>113051</v>
      </c>
      <c r="J262" s="13">
        <v>512.32920000000001</v>
      </c>
      <c r="K262" s="3" t="s">
        <v>1611</v>
      </c>
      <c r="L262" s="3" t="s">
        <v>910</v>
      </c>
      <c r="M262" t="str" cm="1">
        <f t="array" ref="M262">_xlfn.IFS(INFO_Pasajeros[[#This Row],[Edad]]&lt;=13,"Niños",INFO_Pasajeros[[#This Row],[Edad]]&lt;=18,"Jóvenes",INFO_Pasajeros[[#This Row],[Edad]]&lt;=50,"Adultos",INFO_Pasajeros[[#This Row],[Edad]]&gt;=51,"Adultos Mayores")</f>
        <v>Adultos</v>
      </c>
    </row>
    <row r="263" spans="1:13" x14ac:dyDescent="0.25">
      <c r="A263" s="3" t="s">
        <v>1328</v>
      </c>
      <c r="B263" s="3" t="s">
        <v>907</v>
      </c>
      <c r="C263" s="3">
        <v>260</v>
      </c>
      <c r="D263" s="5">
        <v>51</v>
      </c>
      <c r="E263" s="3">
        <v>1</v>
      </c>
      <c r="F263" s="3">
        <v>0</v>
      </c>
      <c r="G263" s="3">
        <v>2</v>
      </c>
      <c r="H263" s="3">
        <v>1</v>
      </c>
      <c r="I263" s="3">
        <v>113055</v>
      </c>
      <c r="J263" s="13">
        <v>26</v>
      </c>
      <c r="K263" s="3" t="s">
        <v>2157</v>
      </c>
      <c r="L263" s="3" t="s">
        <v>905</v>
      </c>
      <c r="M263" t="str" cm="1">
        <f t="array" ref="M263">_xlfn.IFS(INFO_Pasajeros[[#This Row],[Edad]]&lt;=13,"Niños",INFO_Pasajeros[[#This Row],[Edad]]&lt;=18,"Jóvenes",INFO_Pasajeros[[#This Row],[Edad]]&lt;=50,"Adultos",INFO_Pasajeros[[#This Row],[Edad]]&gt;=51,"Adultos Mayores")</f>
        <v>Adultos Mayores</v>
      </c>
    </row>
    <row r="264" spans="1:13" x14ac:dyDescent="0.25">
      <c r="A264" s="3" t="s">
        <v>1329</v>
      </c>
      <c r="B264" s="3" t="s">
        <v>902</v>
      </c>
      <c r="C264" s="3">
        <v>261</v>
      </c>
      <c r="D264" s="5">
        <v>71</v>
      </c>
      <c r="E264" s="3">
        <v>0</v>
      </c>
      <c r="F264" s="3">
        <v>0</v>
      </c>
      <c r="G264" s="3">
        <v>3</v>
      </c>
      <c r="H264" s="3">
        <v>0</v>
      </c>
      <c r="I264" s="3">
        <v>113056</v>
      </c>
      <c r="J264" s="13">
        <v>7.75</v>
      </c>
      <c r="K264" s="3" t="s">
        <v>1370</v>
      </c>
      <c r="L264" s="3" t="s">
        <v>905</v>
      </c>
      <c r="M264" t="str" cm="1">
        <f t="array" ref="M264">_xlfn.IFS(INFO_Pasajeros[[#This Row],[Edad]]&lt;=13,"Niños",INFO_Pasajeros[[#This Row],[Edad]]&lt;=18,"Jóvenes",INFO_Pasajeros[[#This Row],[Edad]]&lt;=50,"Adultos",INFO_Pasajeros[[#This Row],[Edad]]&gt;=51,"Adultos Mayores")</f>
        <v>Adultos Mayores</v>
      </c>
    </row>
    <row r="265" spans="1:13" x14ac:dyDescent="0.25">
      <c r="A265" s="3" t="s">
        <v>1330</v>
      </c>
      <c r="B265" s="3" t="s">
        <v>902</v>
      </c>
      <c r="C265" s="3">
        <v>262</v>
      </c>
      <c r="D265" s="5">
        <v>28</v>
      </c>
      <c r="E265" s="3">
        <v>2</v>
      </c>
      <c r="F265" s="3">
        <v>4</v>
      </c>
      <c r="G265" s="3">
        <v>3</v>
      </c>
      <c r="H265" s="3">
        <v>1</v>
      </c>
      <c r="I265" s="3">
        <v>113059</v>
      </c>
      <c r="J265" s="13">
        <v>313.875</v>
      </c>
      <c r="K265" s="3" t="s">
        <v>2210</v>
      </c>
      <c r="L265" s="3" t="s">
        <v>905</v>
      </c>
      <c r="M265" t="str" cm="1">
        <f t="array" ref="M265">_xlfn.IFS(INFO_Pasajeros[[#This Row],[Edad]]&lt;=13,"Niños",INFO_Pasajeros[[#This Row],[Edad]]&lt;=18,"Jóvenes",INFO_Pasajeros[[#This Row],[Edad]]&lt;=50,"Adultos",INFO_Pasajeros[[#This Row],[Edad]]&gt;=51,"Adultos Mayores")</f>
        <v>Adultos</v>
      </c>
    </row>
    <row r="266" spans="1:13" x14ac:dyDescent="0.25">
      <c r="A266" s="3" t="s">
        <v>1331</v>
      </c>
      <c r="B266" s="3" t="s">
        <v>902</v>
      </c>
      <c r="C266" s="3">
        <v>263</v>
      </c>
      <c r="D266" s="5">
        <v>29</v>
      </c>
      <c r="E266" s="3">
        <v>1</v>
      </c>
      <c r="F266" s="3">
        <v>1</v>
      </c>
      <c r="G266" s="3">
        <v>1</v>
      </c>
      <c r="H266" s="3">
        <v>0</v>
      </c>
      <c r="I266" s="3">
        <v>113501</v>
      </c>
      <c r="J266" s="13">
        <v>79.650000000000006</v>
      </c>
      <c r="K266" s="3" t="s">
        <v>2056</v>
      </c>
      <c r="L266" s="3" t="s">
        <v>905</v>
      </c>
      <c r="M266" t="str" cm="1">
        <f t="array" ref="M266">_xlfn.IFS(INFO_Pasajeros[[#This Row],[Edad]]&lt;=13,"Niños",INFO_Pasajeros[[#This Row],[Edad]]&lt;=18,"Jóvenes",INFO_Pasajeros[[#This Row],[Edad]]&lt;=50,"Adultos",INFO_Pasajeros[[#This Row],[Edad]]&gt;=51,"Adultos Mayores")</f>
        <v>Adultos</v>
      </c>
    </row>
    <row r="267" spans="1:13" x14ac:dyDescent="0.25">
      <c r="A267" s="3" t="s">
        <v>1334</v>
      </c>
      <c r="B267" s="3" t="s">
        <v>902</v>
      </c>
      <c r="C267" s="3">
        <v>264</v>
      </c>
      <c r="D267" s="5">
        <v>27</v>
      </c>
      <c r="E267" s="3">
        <v>0</v>
      </c>
      <c r="F267" s="3">
        <v>0</v>
      </c>
      <c r="G267" s="3">
        <v>1</v>
      </c>
      <c r="H267" s="3">
        <v>0</v>
      </c>
      <c r="I267" s="3">
        <v>113503</v>
      </c>
      <c r="J267" s="13">
        <v>0</v>
      </c>
      <c r="K267" s="3" t="s">
        <v>1515</v>
      </c>
      <c r="L267" s="3" t="s">
        <v>910</v>
      </c>
      <c r="M267" t="str" cm="1">
        <f t="array" ref="M267">_xlfn.IFS(INFO_Pasajeros[[#This Row],[Edad]]&lt;=13,"Niños",INFO_Pasajeros[[#This Row],[Edad]]&lt;=18,"Jóvenes",INFO_Pasajeros[[#This Row],[Edad]]&lt;=50,"Adultos",INFO_Pasajeros[[#This Row],[Edad]]&gt;=51,"Adultos Mayores")</f>
        <v>Adultos</v>
      </c>
    </row>
    <row r="268" spans="1:13" x14ac:dyDescent="0.25">
      <c r="A268" s="3" t="s">
        <v>1336</v>
      </c>
      <c r="B268" s="3" t="s">
        <v>907</v>
      </c>
      <c r="C268" s="3">
        <v>265</v>
      </c>
      <c r="D268" s="5">
        <v>54</v>
      </c>
      <c r="E268" s="3">
        <v>0</v>
      </c>
      <c r="F268" s="3">
        <v>0</v>
      </c>
      <c r="G268" s="3">
        <v>3</v>
      </c>
      <c r="H268" s="3">
        <v>0</v>
      </c>
      <c r="I268" s="3">
        <v>113505</v>
      </c>
      <c r="J268" s="13">
        <v>7.75</v>
      </c>
      <c r="K268" s="3" t="s">
        <v>1186</v>
      </c>
      <c r="L268" s="3" t="s">
        <v>905</v>
      </c>
      <c r="M268" t="str" cm="1">
        <f t="array" ref="M268">_xlfn.IFS(INFO_Pasajeros[[#This Row],[Edad]]&lt;=13,"Niños",INFO_Pasajeros[[#This Row],[Edad]]&lt;=18,"Jóvenes",INFO_Pasajeros[[#This Row],[Edad]]&lt;=50,"Adultos",INFO_Pasajeros[[#This Row],[Edad]]&gt;=51,"Adultos Mayores")</f>
        <v>Adultos Mayores</v>
      </c>
    </row>
    <row r="269" spans="1:13" x14ac:dyDescent="0.25">
      <c r="A269" s="3" t="s">
        <v>1337</v>
      </c>
      <c r="B269" s="3" t="s">
        <v>902</v>
      </c>
      <c r="C269" s="3">
        <v>266</v>
      </c>
      <c r="D269" s="5">
        <v>22</v>
      </c>
      <c r="E269" s="3">
        <v>0</v>
      </c>
      <c r="F269" s="3">
        <v>0</v>
      </c>
      <c r="G269" s="3">
        <v>2</v>
      </c>
      <c r="H269" s="3">
        <v>0</v>
      </c>
      <c r="I269" s="3">
        <v>113505</v>
      </c>
      <c r="J269" s="13">
        <v>10.5</v>
      </c>
      <c r="K269" s="3" t="s">
        <v>1186</v>
      </c>
      <c r="L269" s="3" t="s">
        <v>905</v>
      </c>
      <c r="M269" t="str" cm="1">
        <f t="array" ref="M269">_xlfn.IFS(INFO_Pasajeros[[#This Row],[Edad]]&lt;=13,"Niños",INFO_Pasajeros[[#This Row],[Edad]]&lt;=18,"Jóvenes",INFO_Pasajeros[[#This Row],[Edad]]&lt;=50,"Adultos",INFO_Pasajeros[[#This Row],[Edad]]&gt;=51,"Adultos Mayores")</f>
        <v>Adultos</v>
      </c>
    </row>
    <row r="270" spans="1:13" x14ac:dyDescent="0.25">
      <c r="A270" s="3" t="s">
        <v>1339</v>
      </c>
      <c r="B270" s="3" t="s">
        <v>902</v>
      </c>
      <c r="C270" s="3">
        <v>267</v>
      </c>
      <c r="D270" s="5">
        <v>65</v>
      </c>
      <c r="E270" s="3">
        <v>1</v>
      </c>
      <c r="F270" s="3">
        <v>4</v>
      </c>
      <c r="G270" s="3">
        <v>3</v>
      </c>
      <c r="H270" s="3">
        <v>0</v>
      </c>
      <c r="I270" s="3">
        <v>113509</v>
      </c>
      <c r="J270" s="13">
        <v>396.875</v>
      </c>
      <c r="K270" s="3" t="s">
        <v>996</v>
      </c>
      <c r="L270" s="3" t="s">
        <v>910</v>
      </c>
      <c r="M270" t="str" cm="1">
        <f t="array" ref="M270">_xlfn.IFS(INFO_Pasajeros[[#This Row],[Edad]]&lt;=13,"Niños",INFO_Pasajeros[[#This Row],[Edad]]&lt;=18,"Jóvenes",INFO_Pasajeros[[#This Row],[Edad]]&lt;=50,"Adultos",INFO_Pasajeros[[#This Row],[Edad]]&gt;=51,"Adultos Mayores")</f>
        <v>Adultos Mayores</v>
      </c>
    </row>
    <row r="271" spans="1:13" x14ac:dyDescent="0.25">
      <c r="A271" s="3" t="s">
        <v>1340</v>
      </c>
      <c r="B271" s="3" t="s">
        <v>902</v>
      </c>
      <c r="C271" s="3">
        <v>268</v>
      </c>
      <c r="D271" s="5">
        <v>36</v>
      </c>
      <c r="E271" s="3">
        <v>0</v>
      </c>
      <c r="F271" s="3">
        <v>1</v>
      </c>
      <c r="G271" s="3">
        <v>3</v>
      </c>
      <c r="H271" s="3">
        <v>1</v>
      </c>
      <c r="I271" s="3">
        <v>113510</v>
      </c>
      <c r="J271" s="13">
        <v>7.7750000000000004</v>
      </c>
      <c r="K271" s="3" t="s">
        <v>1477</v>
      </c>
      <c r="L271" s="3" t="s">
        <v>905</v>
      </c>
      <c r="M271" t="str" cm="1">
        <f t="array" ref="M271">_xlfn.IFS(INFO_Pasajeros[[#This Row],[Edad]]&lt;=13,"Niños",INFO_Pasajeros[[#This Row],[Edad]]&lt;=18,"Jóvenes",INFO_Pasajeros[[#This Row],[Edad]]&lt;=50,"Adultos",INFO_Pasajeros[[#This Row],[Edad]]&gt;=51,"Adultos Mayores")</f>
        <v>Adultos</v>
      </c>
    </row>
    <row r="272" spans="1:13" x14ac:dyDescent="0.25">
      <c r="A272" s="3" t="s">
        <v>1341</v>
      </c>
      <c r="B272" s="3" t="s">
        <v>907</v>
      </c>
      <c r="C272" s="3">
        <v>269</v>
      </c>
      <c r="D272" s="5">
        <v>62</v>
      </c>
      <c r="E272" s="3">
        <v>1</v>
      </c>
      <c r="F272" s="3">
        <v>0</v>
      </c>
      <c r="G272" s="3">
        <v>1</v>
      </c>
      <c r="H272" s="3">
        <v>1</v>
      </c>
      <c r="I272" s="3">
        <v>113514</v>
      </c>
      <c r="J272" s="13">
        <v>153.46250000000001</v>
      </c>
      <c r="K272" s="3" t="s">
        <v>1316</v>
      </c>
      <c r="L272" s="3" t="s">
        <v>905</v>
      </c>
      <c r="M272" t="str" cm="1">
        <f t="array" ref="M272">_xlfn.IFS(INFO_Pasajeros[[#This Row],[Edad]]&lt;=13,"Niños",INFO_Pasajeros[[#This Row],[Edad]]&lt;=18,"Jóvenes",INFO_Pasajeros[[#This Row],[Edad]]&lt;=50,"Adultos",INFO_Pasajeros[[#This Row],[Edad]]&gt;=51,"Adultos Mayores")</f>
        <v>Adultos Mayores</v>
      </c>
    </row>
    <row r="273" spans="1:13" x14ac:dyDescent="0.25">
      <c r="A273" s="3" t="s">
        <v>1344</v>
      </c>
      <c r="B273" s="3" t="s">
        <v>907</v>
      </c>
      <c r="C273" s="3">
        <v>270</v>
      </c>
      <c r="D273" s="5">
        <v>38</v>
      </c>
      <c r="E273" s="3">
        <v>0</v>
      </c>
      <c r="F273" s="3">
        <v>0</v>
      </c>
      <c r="G273" s="3">
        <v>1</v>
      </c>
      <c r="H273" s="3">
        <v>1</v>
      </c>
      <c r="I273" s="3">
        <v>113572</v>
      </c>
      <c r="J273" s="13">
        <v>135.63330000000002</v>
      </c>
      <c r="K273" s="3" t="s">
        <v>1011</v>
      </c>
      <c r="L273" s="3" t="s">
        <v>905</v>
      </c>
      <c r="M273" t="str" cm="1">
        <f t="array" ref="M273">_xlfn.IFS(INFO_Pasajeros[[#This Row],[Edad]]&lt;=13,"Niños",INFO_Pasajeros[[#This Row],[Edad]]&lt;=18,"Jóvenes",INFO_Pasajeros[[#This Row],[Edad]]&lt;=50,"Adultos",INFO_Pasajeros[[#This Row],[Edad]]&gt;=51,"Adultos Mayores")</f>
        <v>Adultos</v>
      </c>
    </row>
    <row r="274" spans="1:13" x14ac:dyDescent="0.25">
      <c r="A274" s="3" t="s">
        <v>1347</v>
      </c>
      <c r="B274" s="3" t="s">
        <v>902</v>
      </c>
      <c r="C274" s="3">
        <v>271</v>
      </c>
      <c r="D274" s="5">
        <v>62</v>
      </c>
      <c r="E274" s="3">
        <v>0</v>
      </c>
      <c r="F274" s="3">
        <v>0</v>
      </c>
      <c r="G274" s="3">
        <v>1</v>
      </c>
      <c r="H274" s="3">
        <v>0</v>
      </c>
      <c r="I274" s="3">
        <v>113572</v>
      </c>
      <c r="J274" s="13">
        <v>31</v>
      </c>
      <c r="K274" s="3" t="s">
        <v>1011</v>
      </c>
      <c r="L274" s="3" t="s">
        <v>905</v>
      </c>
      <c r="M274" t="str" cm="1">
        <f t="array" ref="M274">_xlfn.IFS(INFO_Pasajeros[[#This Row],[Edad]]&lt;=13,"Niños",INFO_Pasajeros[[#This Row],[Edad]]&lt;=18,"Jóvenes",INFO_Pasajeros[[#This Row],[Edad]]&lt;=50,"Adultos",INFO_Pasajeros[[#This Row],[Edad]]&gt;=51,"Adultos Mayores")</f>
        <v>Adultos Mayores</v>
      </c>
    </row>
    <row r="275" spans="1:13" x14ac:dyDescent="0.25">
      <c r="A275" s="3" t="s">
        <v>1348</v>
      </c>
      <c r="B275" s="3" t="s">
        <v>902</v>
      </c>
      <c r="C275" s="3">
        <v>272</v>
      </c>
      <c r="D275" s="5">
        <v>36</v>
      </c>
      <c r="E275" s="3">
        <v>0</v>
      </c>
      <c r="F275" s="3">
        <v>0</v>
      </c>
      <c r="G275" s="3">
        <v>3</v>
      </c>
      <c r="H275" s="3">
        <v>1</v>
      </c>
      <c r="I275" s="3">
        <v>113760</v>
      </c>
      <c r="J275" s="13">
        <v>0</v>
      </c>
      <c r="K275" s="3" t="s">
        <v>1532</v>
      </c>
      <c r="L275" s="3" t="s">
        <v>905</v>
      </c>
      <c r="M275" t="str" cm="1">
        <f t="array" ref="M275">_xlfn.IFS(INFO_Pasajeros[[#This Row],[Edad]]&lt;=13,"Niños",INFO_Pasajeros[[#This Row],[Edad]]&lt;=18,"Jóvenes",INFO_Pasajeros[[#This Row],[Edad]]&lt;=50,"Adultos",INFO_Pasajeros[[#This Row],[Edad]]&gt;=51,"Adultos Mayores")</f>
        <v>Adultos</v>
      </c>
    </row>
    <row r="276" spans="1:13" x14ac:dyDescent="0.25">
      <c r="A276" s="3" t="s">
        <v>1349</v>
      </c>
      <c r="B276" s="3" t="s">
        <v>907</v>
      </c>
      <c r="C276" s="3">
        <v>273</v>
      </c>
      <c r="D276" s="5">
        <v>14</v>
      </c>
      <c r="E276" s="3">
        <v>1</v>
      </c>
      <c r="F276" s="3">
        <v>0</v>
      </c>
      <c r="G276" s="3">
        <v>2</v>
      </c>
      <c r="H276" s="3">
        <v>1</v>
      </c>
      <c r="I276" s="3">
        <v>113760</v>
      </c>
      <c r="J276" s="13">
        <v>19.5</v>
      </c>
      <c r="K276" s="3" t="s">
        <v>1532</v>
      </c>
      <c r="L276" s="3" t="s">
        <v>905</v>
      </c>
      <c r="M276" t="str" cm="1">
        <f t="array" ref="M276">_xlfn.IFS(INFO_Pasajeros[[#This Row],[Edad]]&lt;=13,"Niños",INFO_Pasajeros[[#This Row],[Edad]]&lt;=18,"Jóvenes",INFO_Pasajeros[[#This Row],[Edad]]&lt;=50,"Adultos",INFO_Pasajeros[[#This Row],[Edad]]&gt;=51,"Adultos Mayores")</f>
        <v>Jóvenes</v>
      </c>
    </row>
    <row r="277" spans="1:13" x14ac:dyDescent="0.25">
      <c r="A277" s="3" t="s">
        <v>1351</v>
      </c>
      <c r="B277" s="3" t="s">
        <v>902</v>
      </c>
      <c r="C277" s="3">
        <v>274</v>
      </c>
      <c r="D277" s="5">
        <v>36</v>
      </c>
      <c r="E277" s="3">
        <v>1</v>
      </c>
      <c r="F277" s="3">
        <v>0</v>
      </c>
      <c r="G277" s="3">
        <v>1</v>
      </c>
      <c r="H277" s="3">
        <v>0</v>
      </c>
      <c r="I277" s="3">
        <v>113760</v>
      </c>
      <c r="J277" s="13">
        <v>29.7</v>
      </c>
      <c r="K277" s="3" t="s">
        <v>1532</v>
      </c>
      <c r="L277" s="3" t="s">
        <v>905</v>
      </c>
      <c r="M277" t="str" cm="1">
        <f t="array" ref="M277">_xlfn.IFS(INFO_Pasajeros[[#This Row],[Edad]]&lt;=13,"Niños",INFO_Pasajeros[[#This Row],[Edad]]&lt;=18,"Jóvenes",INFO_Pasajeros[[#This Row],[Edad]]&lt;=50,"Adultos",INFO_Pasajeros[[#This Row],[Edad]]&gt;=51,"Adultos Mayores")</f>
        <v>Adultos</v>
      </c>
    </row>
    <row r="278" spans="1:13" x14ac:dyDescent="0.25">
      <c r="A278" s="3" t="s">
        <v>1355</v>
      </c>
      <c r="B278" s="3" t="s">
        <v>907</v>
      </c>
      <c r="C278" s="3">
        <v>275</v>
      </c>
      <c r="D278" s="5">
        <v>11</v>
      </c>
      <c r="E278" s="3">
        <v>0</v>
      </c>
      <c r="F278" s="3">
        <v>0</v>
      </c>
      <c r="G278" s="3">
        <v>3</v>
      </c>
      <c r="H278" s="3">
        <v>1</v>
      </c>
      <c r="I278" s="3">
        <v>113760</v>
      </c>
      <c r="J278" s="13">
        <v>7.75</v>
      </c>
      <c r="K278" s="3" t="s">
        <v>1532</v>
      </c>
      <c r="L278" s="3" t="s">
        <v>905</v>
      </c>
      <c r="M278" t="str" cm="1">
        <f t="array" ref="M278">_xlfn.IFS(INFO_Pasajeros[[#This Row],[Edad]]&lt;=13,"Niños",INFO_Pasajeros[[#This Row],[Edad]]&lt;=18,"Jóvenes",INFO_Pasajeros[[#This Row],[Edad]]&lt;=50,"Adultos",INFO_Pasajeros[[#This Row],[Edad]]&gt;=51,"Adultos Mayores")</f>
        <v>Niños</v>
      </c>
    </row>
    <row r="279" spans="1:13" x14ac:dyDescent="0.25">
      <c r="A279" s="3" t="s">
        <v>1356</v>
      </c>
      <c r="B279" s="3" t="s">
        <v>907</v>
      </c>
      <c r="C279" s="3">
        <v>276</v>
      </c>
      <c r="D279" s="5">
        <v>61</v>
      </c>
      <c r="E279" s="3">
        <v>0</v>
      </c>
      <c r="F279" s="3">
        <v>1</v>
      </c>
      <c r="G279" s="3">
        <v>1</v>
      </c>
      <c r="H279" s="3">
        <v>1</v>
      </c>
      <c r="I279" s="3">
        <v>113767</v>
      </c>
      <c r="J279" s="13">
        <v>779.58299999999997</v>
      </c>
      <c r="K279" s="3" t="s">
        <v>1217</v>
      </c>
      <c r="L279" s="3" t="s">
        <v>905</v>
      </c>
      <c r="M279" t="str" cm="1">
        <f t="array" ref="M279">_xlfn.IFS(INFO_Pasajeros[[#This Row],[Edad]]&lt;=13,"Niños",INFO_Pasajeros[[#This Row],[Edad]]&lt;=18,"Jóvenes",INFO_Pasajeros[[#This Row],[Edad]]&lt;=50,"Adultos",INFO_Pasajeros[[#This Row],[Edad]]&gt;=51,"Adultos Mayores")</f>
        <v>Adultos Mayores</v>
      </c>
    </row>
    <row r="280" spans="1:13" x14ac:dyDescent="0.25">
      <c r="A280" s="3" t="s">
        <v>1358</v>
      </c>
      <c r="B280" s="3" t="s">
        <v>907</v>
      </c>
      <c r="C280" s="3">
        <v>277</v>
      </c>
      <c r="D280" s="5">
        <v>19</v>
      </c>
      <c r="E280" s="3">
        <v>0</v>
      </c>
      <c r="F280" s="3">
        <v>0</v>
      </c>
      <c r="G280" s="3">
        <v>3</v>
      </c>
      <c r="H280" s="3">
        <v>0</v>
      </c>
      <c r="I280" s="3">
        <v>113773</v>
      </c>
      <c r="J280" s="13">
        <v>7.75</v>
      </c>
      <c r="K280" s="3" t="s">
        <v>2013</v>
      </c>
      <c r="L280" s="3" t="s">
        <v>905</v>
      </c>
      <c r="M280" t="str" cm="1">
        <f t="array" ref="M280">_xlfn.IFS(INFO_Pasajeros[[#This Row],[Edad]]&lt;=13,"Niños",INFO_Pasajeros[[#This Row],[Edad]]&lt;=18,"Jóvenes",INFO_Pasajeros[[#This Row],[Edad]]&lt;=50,"Adultos",INFO_Pasajeros[[#This Row],[Edad]]&gt;=51,"Adultos Mayores")</f>
        <v>Adultos</v>
      </c>
    </row>
    <row r="281" spans="1:13" x14ac:dyDescent="0.25">
      <c r="A281" s="3" t="s">
        <v>1359</v>
      </c>
      <c r="B281" s="3" t="s">
        <v>902</v>
      </c>
      <c r="C281" s="3">
        <v>278</v>
      </c>
      <c r="D281" s="5">
        <v>22</v>
      </c>
      <c r="E281" s="3">
        <v>0</v>
      </c>
      <c r="F281" s="3">
        <v>0</v>
      </c>
      <c r="G281" s="3">
        <v>2</v>
      </c>
      <c r="H281" s="3">
        <v>0</v>
      </c>
      <c r="I281" s="3">
        <v>113776</v>
      </c>
      <c r="J281" s="13">
        <v>0</v>
      </c>
      <c r="K281" s="3" t="s">
        <v>1158</v>
      </c>
      <c r="L281" s="3" t="s">
        <v>905</v>
      </c>
      <c r="M281" t="str" cm="1">
        <f t="array" ref="M281">_xlfn.IFS(INFO_Pasajeros[[#This Row],[Edad]]&lt;=13,"Niños",INFO_Pasajeros[[#This Row],[Edad]]&lt;=18,"Jóvenes",INFO_Pasajeros[[#This Row],[Edad]]&lt;=50,"Adultos",INFO_Pasajeros[[#This Row],[Edad]]&gt;=51,"Adultos Mayores")</f>
        <v>Adultos</v>
      </c>
    </row>
    <row r="282" spans="1:13" x14ac:dyDescent="0.25">
      <c r="A282" s="3" t="s">
        <v>1360</v>
      </c>
      <c r="B282" s="3" t="s">
        <v>902</v>
      </c>
      <c r="C282" s="3">
        <v>279</v>
      </c>
      <c r="D282" s="5">
        <v>29</v>
      </c>
      <c r="E282" s="3">
        <v>1</v>
      </c>
      <c r="F282" s="3">
        <v>4</v>
      </c>
      <c r="G282" s="3">
        <v>3</v>
      </c>
      <c r="H282" s="3">
        <v>0</v>
      </c>
      <c r="I282" s="3">
        <v>113776</v>
      </c>
      <c r="J282" s="13">
        <v>29.125</v>
      </c>
      <c r="K282" s="3" t="s">
        <v>1158</v>
      </c>
      <c r="L282" s="3" t="s">
        <v>905</v>
      </c>
      <c r="M282" t="str" cm="1">
        <f t="array" ref="M282">_xlfn.IFS(INFO_Pasajeros[[#This Row],[Edad]]&lt;=13,"Niños",INFO_Pasajeros[[#This Row],[Edad]]&lt;=18,"Jóvenes",INFO_Pasajeros[[#This Row],[Edad]]&lt;=50,"Adultos",INFO_Pasajeros[[#This Row],[Edad]]&gt;=51,"Adultos Mayores")</f>
        <v>Adultos</v>
      </c>
    </row>
    <row r="283" spans="1:13" x14ac:dyDescent="0.25">
      <c r="A283" s="3" t="s">
        <v>1361</v>
      </c>
      <c r="B283" s="3" t="s">
        <v>907</v>
      </c>
      <c r="C283" s="3">
        <v>280</v>
      </c>
      <c r="D283" s="5">
        <v>2</v>
      </c>
      <c r="E283" s="3">
        <v>1</v>
      </c>
      <c r="F283" s="3">
        <v>1</v>
      </c>
      <c r="G283" s="3">
        <v>3</v>
      </c>
      <c r="H283" s="3">
        <v>1</v>
      </c>
      <c r="I283" s="3">
        <v>113781</v>
      </c>
      <c r="J283" s="13">
        <v>20.25</v>
      </c>
      <c r="K283" s="3" t="s">
        <v>1392</v>
      </c>
      <c r="L283" s="3" t="s">
        <v>905</v>
      </c>
      <c r="M283" t="str" cm="1">
        <f t="array" ref="M283">_xlfn.IFS(INFO_Pasajeros[[#This Row],[Edad]]&lt;=13,"Niños",INFO_Pasajeros[[#This Row],[Edad]]&lt;=18,"Jóvenes",INFO_Pasajeros[[#This Row],[Edad]]&lt;=50,"Adultos",INFO_Pasajeros[[#This Row],[Edad]]&gt;=51,"Adultos Mayores")</f>
        <v>Niños</v>
      </c>
    </row>
    <row r="284" spans="1:13" x14ac:dyDescent="0.25">
      <c r="A284" s="3" t="s">
        <v>1364</v>
      </c>
      <c r="B284" s="3" t="s">
        <v>902</v>
      </c>
      <c r="C284" s="3">
        <v>281</v>
      </c>
      <c r="D284" s="5">
        <v>1</v>
      </c>
      <c r="E284" s="3">
        <v>0</v>
      </c>
      <c r="F284" s="3">
        <v>0</v>
      </c>
      <c r="G284" s="3">
        <v>3</v>
      </c>
      <c r="H284" s="3">
        <v>0</v>
      </c>
      <c r="I284" s="3">
        <v>113781</v>
      </c>
      <c r="J284" s="13">
        <v>7.75</v>
      </c>
      <c r="K284" s="3" t="s">
        <v>1392</v>
      </c>
      <c r="L284" s="3" t="s">
        <v>905</v>
      </c>
      <c r="M284" t="str" cm="1">
        <f t="array" ref="M284">_xlfn.IFS(INFO_Pasajeros[[#This Row],[Edad]]&lt;=13,"Niños",INFO_Pasajeros[[#This Row],[Edad]]&lt;=18,"Jóvenes",INFO_Pasajeros[[#This Row],[Edad]]&lt;=50,"Adultos",INFO_Pasajeros[[#This Row],[Edad]]&gt;=51,"Adultos Mayores")</f>
        <v>Niños</v>
      </c>
    </row>
    <row r="285" spans="1:13" x14ac:dyDescent="0.25">
      <c r="A285" s="3" t="s">
        <v>1365</v>
      </c>
      <c r="B285" s="3" t="s">
        <v>902</v>
      </c>
      <c r="C285" s="3">
        <v>282</v>
      </c>
      <c r="D285" s="5">
        <v>25</v>
      </c>
      <c r="E285" s="3">
        <v>0</v>
      </c>
      <c r="F285" s="3">
        <v>0</v>
      </c>
      <c r="G285" s="3">
        <v>3</v>
      </c>
      <c r="H285" s="3">
        <v>0</v>
      </c>
      <c r="I285" s="3">
        <v>113781</v>
      </c>
      <c r="J285" s="13">
        <v>78.542000000000002</v>
      </c>
      <c r="K285" s="3" t="s">
        <v>1392</v>
      </c>
      <c r="L285" s="3" t="s">
        <v>905</v>
      </c>
      <c r="M285" t="str" cm="1">
        <f t="array" ref="M285">_xlfn.IFS(INFO_Pasajeros[[#This Row],[Edad]]&lt;=13,"Niños",INFO_Pasajeros[[#This Row],[Edad]]&lt;=18,"Jóvenes",INFO_Pasajeros[[#This Row],[Edad]]&lt;=50,"Adultos",INFO_Pasajeros[[#This Row],[Edad]]&gt;=51,"Adultos Mayores")</f>
        <v>Adultos</v>
      </c>
    </row>
    <row r="286" spans="1:13" x14ac:dyDescent="0.25">
      <c r="A286" s="3" t="s">
        <v>1366</v>
      </c>
      <c r="B286" s="3" t="s">
        <v>902</v>
      </c>
      <c r="C286" s="3">
        <v>283</v>
      </c>
      <c r="D286" s="5">
        <v>22</v>
      </c>
      <c r="E286" s="3">
        <v>0</v>
      </c>
      <c r="F286" s="3">
        <v>0</v>
      </c>
      <c r="G286" s="3">
        <v>3</v>
      </c>
      <c r="H286" s="3">
        <v>0</v>
      </c>
      <c r="I286" s="3">
        <v>113781</v>
      </c>
      <c r="J286" s="13">
        <v>9.5</v>
      </c>
      <c r="K286" s="3" t="s">
        <v>2210</v>
      </c>
      <c r="L286" s="3" t="s">
        <v>905</v>
      </c>
      <c r="M286" t="str" cm="1">
        <f t="array" ref="M286">_xlfn.IFS(INFO_Pasajeros[[#This Row],[Edad]]&lt;=13,"Niños",INFO_Pasajeros[[#This Row],[Edad]]&lt;=18,"Jóvenes",INFO_Pasajeros[[#This Row],[Edad]]&lt;=50,"Adultos",INFO_Pasajeros[[#This Row],[Edad]]&gt;=51,"Adultos Mayores")</f>
        <v>Adultos</v>
      </c>
    </row>
    <row r="287" spans="1:13" x14ac:dyDescent="0.25">
      <c r="A287" s="3" t="s">
        <v>1367</v>
      </c>
      <c r="B287" s="3" t="s">
        <v>902</v>
      </c>
      <c r="C287" s="3">
        <v>284</v>
      </c>
      <c r="D287" s="5">
        <v>58</v>
      </c>
      <c r="E287" s="3">
        <v>0</v>
      </c>
      <c r="F287" s="3">
        <v>0</v>
      </c>
      <c r="G287" s="3">
        <v>3</v>
      </c>
      <c r="H287" s="3">
        <v>1</v>
      </c>
      <c r="I287" s="3">
        <v>113783</v>
      </c>
      <c r="J287" s="13">
        <v>8.0500000000000007</v>
      </c>
      <c r="K287" s="3" t="s">
        <v>931</v>
      </c>
      <c r="L287" s="3" t="s">
        <v>905</v>
      </c>
      <c r="M287" t="str" cm="1">
        <f t="array" ref="M287">_xlfn.IFS(INFO_Pasajeros[[#This Row],[Edad]]&lt;=13,"Niños",INFO_Pasajeros[[#This Row],[Edad]]&lt;=18,"Jóvenes",INFO_Pasajeros[[#This Row],[Edad]]&lt;=50,"Adultos",INFO_Pasajeros[[#This Row],[Edad]]&gt;=51,"Adultos Mayores")</f>
        <v>Adultos Mayores</v>
      </c>
    </row>
    <row r="288" spans="1:13" x14ac:dyDescent="0.25">
      <c r="A288" s="3" t="s">
        <v>1369</v>
      </c>
      <c r="B288" s="3" t="s">
        <v>902</v>
      </c>
      <c r="C288" s="3">
        <v>285</v>
      </c>
      <c r="D288" s="5">
        <v>45</v>
      </c>
      <c r="E288" s="3">
        <v>0</v>
      </c>
      <c r="F288" s="3">
        <v>0</v>
      </c>
      <c r="G288" s="3">
        <v>1</v>
      </c>
      <c r="H288" s="3">
        <v>0</v>
      </c>
      <c r="I288" s="3">
        <v>113784</v>
      </c>
      <c r="J288" s="13">
        <v>26</v>
      </c>
      <c r="K288" s="3" t="s">
        <v>1462</v>
      </c>
      <c r="L288" s="3" t="s">
        <v>905</v>
      </c>
      <c r="M288" t="str" cm="1">
        <f t="array" ref="M288">_xlfn.IFS(INFO_Pasajeros[[#This Row],[Edad]]&lt;=13,"Niños",INFO_Pasajeros[[#This Row],[Edad]]&lt;=18,"Jóvenes",INFO_Pasajeros[[#This Row],[Edad]]&lt;=50,"Adultos",INFO_Pasajeros[[#This Row],[Edad]]&gt;=51,"Adultos Mayores")</f>
        <v>Adultos</v>
      </c>
    </row>
    <row r="289" spans="1:13" x14ac:dyDescent="0.25">
      <c r="A289" s="3" t="s">
        <v>1371</v>
      </c>
      <c r="B289" s="3" t="s">
        <v>902</v>
      </c>
      <c r="C289" s="3">
        <v>286</v>
      </c>
      <c r="D289" s="5">
        <v>52</v>
      </c>
      <c r="E289" s="3">
        <v>0</v>
      </c>
      <c r="F289" s="3">
        <v>0</v>
      </c>
      <c r="G289" s="3">
        <v>3</v>
      </c>
      <c r="H289" s="3">
        <v>0</v>
      </c>
      <c r="I289" s="3">
        <v>113786</v>
      </c>
      <c r="J289" s="13">
        <v>86.625</v>
      </c>
      <c r="K289" s="3" t="s">
        <v>1607</v>
      </c>
      <c r="L289" s="3" t="s">
        <v>905</v>
      </c>
      <c r="M289" t="str" cm="1">
        <f t="array" ref="M289">_xlfn.IFS(INFO_Pasajeros[[#This Row],[Edad]]&lt;=13,"Niños",INFO_Pasajeros[[#This Row],[Edad]]&lt;=18,"Jóvenes",INFO_Pasajeros[[#This Row],[Edad]]&lt;=50,"Adultos",INFO_Pasajeros[[#This Row],[Edad]]&gt;=51,"Adultos Mayores")</f>
        <v>Adultos Mayores</v>
      </c>
    </row>
    <row r="290" spans="1:13" x14ac:dyDescent="0.25">
      <c r="A290" s="3" t="s">
        <v>1372</v>
      </c>
      <c r="B290" s="3" t="s">
        <v>902</v>
      </c>
      <c r="C290" s="3">
        <v>287</v>
      </c>
      <c r="D290" s="5">
        <v>55</v>
      </c>
      <c r="E290" s="3">
        <v>0</v>
      </c>
      <c r="F290" s="3">
        <v>0</v>
      </c>
      <c r="G290" s="3">
        <v>3</v>
      </c>
      <c r="H290" s="3">
        <v>1</v>
      </c>
      <c r="I290" s="3">
        <v>113787</v>
      </c>
      <c r="J290" s="13">
        <v>9.5</v>
      </c>
      <c r="K290" s="3" t="s">
        <v>1669</v>
      </c>
      <c r="L290" s="3" t="s">
        <v>905</v>
      </c>
      <c r="M290" t="str" cm="1">
        <f t="array" ref="M290">_xlfn.IFS(INFO_Pasajeros[[#This Row],[Edad]]&lt;=13,"Niños",INFO_Pasajeros[[#This Row],[Edad]]&lt;=18,"Jóvenes",INFO_Pasajeros[[#This Row],[Edad]]&lt;=50,"Adultos",INFO_Pasajeros[[#This Row],[Edad]]&gt;=51,"Adultos Mayores")</f>
        <v>Adultos Mayores</v>
      </c>
    </row>
    <row r="291" spans="1:13" x14ac:dyDescent="0.25">
      <c r="A291" s="3" t="s">
        <v>1373</v>
      </c>
      <c r="B291" s="3" t="s">
        <v>902</v>
      </c>
      <c r="C291" s="3">
        <v>288</v>
      </c>
      <c r="D291" s="5">
        <v>28</v>
      </c>
      <c r="E291" s="3">
        <v>0</v>
      </c>
      <c r="F291" s="3">
        <v>0</v>
      </c>
      <c r="G291" s="3">
        <v>3</v>
      </c>
      <c r="H291" s="3">
        <v>0</v>
      </c>
      <c r="I291" s="3">
        <v>113788</v>
      </c>
      <c r="J291" s="13">
        <v>78.957999999999998</v>
      </c>
      <c r="K291" s="3" t="s">
        <v>947</v>
      </c>
      <c r="L291" s="3" t="s">
        <v>905</v>
      </c>
      <c r="M291" t="str" cm="1">
        <f t="array" ref="M291">_xlfn.IFS(INFO_Pasajeros[[#This Row],[Edad]]&lt;=13,"Niños",INFO_Pasajeros[[#This Row],[Edad]]&lt;=18,"Jóvenes",INFO_Pasajeros[[#This Row],[Edad]]&lt;=50,"Adultos",INFO_Pasajeros[[#This Row],[Edad]]&gt;=51,"Adultos Mayores")</f>
        <v>Adultos</v>
      </c>
    </row>
    <row r="292" spans="1:13" x14ac:dyDescent="0.25">
      <c r="A292" s="3" t="s">
        <v>1374</v>
      </c>
      <c r="B292" s="3" t="s">
        <v>902</v>
      </c>
      <c r="C292" s="3">
        <v>289</v>
      </c>
      <c r="D292" s="5">
        <v>42</v>
      </c>
      <c r="E292" s="3">
        <v>0</v>
      </c>
      <c r="F292" s="3">
        <v>0</v>
      </c>
      <c r="G292" s="3">
        <v>2</v>
      </c>
      <c r="H292" s="3">
        <v>1</v>
      </c>
      <c r="I292" s="3">
        <v>113789</v>
      </c>
      <c r="J292" s="13">
        <v>13</v>
      </c>
      <c r="K292" s="3" t="s">
        <v>2210</v>
      </c>
      <c r="L292" s="3" t="s">
        <v>905</v>
      </c>
      <c r="M292" t="str" cm="1">
        <f t="array" ref="M292">_xlfn.IFS(INFO_Pasajeros[[#This Row],[Edad]]&lt;=13,"Niños",INFO_Pasajeros[[#This Row],[Edad]]&lt;=18,"Jóvenes",INFO_Pasajeros[[#This Row],[Edad]]&lt;=50,"Adultos",INFO_Pasajeros[[#This Row],[Edad]]&gt;=51,"Adultos Mayores")</f>
        <v>Adultos</v>
      </c>
    </row>
    <row r="293" spans="1:13" x14ac:dyDescent="0.25">
      <c r="A293" s="3" t="s">
        <v>1375</v>
      </c>
      <c r="B293" s="3" t="s">
        <v>907</v>
      </c>
      <c r="C293" s="3">
        <v>290</v>
      </c>
      <c r="D293" s="5">
        <v>35</v>
      </c>
      <c r="E293" s="3">
        <v>0</v>
      </c>
      <c r="F293" s="3">
        <v>0</v>
      </c>
      <c r="G293" s="3">
        <v>3</v>
      </c>
      <c r="H293" s="3">
        <v>1</v>
      </c>
      <c r="I293" s="3">
        <v>113789</v>
      </c>
      <c r="J293" s="13">
        <v>7.75</v>
      </c>
      <c r="K293" s="3" t="s">
        <v>2210</v>
      </c>
      <c r="L293" s="3" t="s">
        <v>905</v>
      </c>
      <c r="M293" t="str" cm="1">
        <f t="array" ref="M293">_xlfn.IFS(INFO_Pasajeros[[#This Row],[Edad]]&lt;=13,"Niños",INFO_Pasajeros[[#This Row],[Edad]]&lt;=18,"Jóvenes",INFO_Pasajeros[[#This Row],[Edad]]&lt;=50,"Adultos",INFO_Pasajeros[[#This Row],[Edad]]&gt;=51,"Adultos Mayores")</f>
        <v>Adultos</v>
      </c>
    </row>
    <row r="294" spans="1:13" x14ac:dyDescent="0.25">
      <c r="A294" s="3" t="s">
        <v>1376</v>
      </c>
      <c r="B294" s="3" t="s">
        <v>907</v>
      </c>
      <c r="C294" s="3">
        <v>291</v>
      </c>
      <c r="D294" s="5">
        <v>56</v>
      </c>
      <c r="E294" s="3">
        <v>0</v>
      </c>
      <c r="F294" s="3">
        <v>0</v>
      </c>
      <c r="G294" s="3">
        <v>1</v>
      </c>
      <c r="H294" s="3">
        <v>1</v>
      </c>
      <c r="I294" s="3">
        <v>113792</v>
      </c>
      <c r="J294" s="13">
        <v>78.849999999999994</v>
      </c>
      <c r="K294" s="3" t="s">
        <v>2210</v>
      </c>
      <c r="L294" s="3" t="s">
        <v>905</v>
      </c>
      <c r="M294" t="str" cm="1">
        <f t="array" ref="M294">_xlfn.IFS(INFO_Pasajeros[[#This Row],[Edad]]&lt;=13,"Niños",INFO_Pasajeros[[#This Row],[Edad]]&lt;=18,"Jóvenes",INFO_Pasajeros[[#This Row],[Edad]]&lt;=50,"Adultos",INFO_Pasajeros[[#This Row],[Edad]]&gt;=51,"Adultos Mayores")</f>
        <v>Adultos Mayores</v>
      </c>
    </row>
    <row r="295" spans="1:13" x14ac:dyDescent="0.25">
      <c r="A295" s="3" t="s">
        <v>1378</v>
      </c>
      <c r="B295" s="3" t="s">
        <v>907</v>
      </c>
      <c r="C295" s="3">
        <v>292</v>
      </c>
      <c r="D295" s="5">
        <v>34</v>
      </c>
      <c r="E295" s="3">
        <v>0</v>
      </c>
      <c r="F295" s="3">
        <v>1</v>
      </c>
      <c r="G295" s="3">
        <v>1</v>
      </c>
      <c r="H295" s="3">
        <v>1</v>
      </c>
      <c r="I295" s="3">
        <v>113794</v>
      </c>
      <c r="J295" s="13">
        <v>910.79200000000003</v>
      </c>
      <c r="K295" s="3" t="s">
        <v>2210</v>
      </c>
      <c r="L295" s="3" t="s">
        <v>905</v>
      </c>
      <c r="M295" t="str" cm="1">
        <f t="array" ref="M295">_xlfn.IFS(INFO_Pasajeros[[#This Row],[Edad]]&lt;=13,"Niños",INFO_Pasajeros[[#This Row],[Edad]]&lt;=18,"Jóvenes",INFO_Pasajeros[[#This Row],[Edad]]&lt;=50,"Adultos",INFO_Pasajeros[[#This Row],[Edad]]&gt;=51,"Adultos Mayores")</f>
        <v>Adultos</v>
      </c>
    </row>
    <row r="296" spans="1:13" x14ac:dyDescent="0.25">
      <c r="A296" s="3" t="s">
        <v>1380</v>
      </c>
      <c r="B296" s="3" t="s">
        <v>902</v>
      </c>
      <c r="C296" s="3">
        <v>293</v>
      </c>
      <c r="D296" s="5">
        <v>27</v>
      </c>
      <c r="E296" s="3">
        <v>0</v>
      </c>
      <c r="F296" s="3">
        <v>0</v>
      </c>
      <c r="G296" s="3">
        <v>2</v>
      </c>
      <c r="H296" s="3">
        <v>0</v>
      </c>
      <c r="I296" s="3">
        <v>113796</v>
      </c>
      <c r="J296" s="13">
        <v>12.875</v>
      </c>
      <c r="K296" s="3" t="s">
        <v>2210</v>
      </c>
      <c r="L296" s="3" t="s">
        <v>905</v>
      </c>
      <c r="M296" t="str" cm="1">
        <f t="array" ref="M296">_xlfn.IFS(INFO_Pasajeros[[#This Row],[Edad]]&lt;=13,"Niños",INFO_Pasajeros[[#This Row],[Edad]]&lt;=18,"Jóvenes",INFO_Pasajeros[[#This Row],[Edad]]&lt;=50,"Adultos",INFO_Pasajeros[[#This Row],[Edad]]&gt;=51,"Adultos Mayores")</f>
        <v>Adultos</v>
      </c>
    </row>
    <row r="297" spans="1:13" x14ac:dyDescent="0.25">
      <c r="A297" s="3" t="s">
        <v>1383</v>
      </c>
      <c r="B297" s="3" t="s">
        <v>907</v>
      </c>
      <c r="C297" s="3">
        <v>294</v>
      </c>
      <c r="D297" s="5">
        <v>9</v>
      </c>
      <c r="E297" s="3">
        <v>0</v>
      </c>
      <c r="F297" s="3">
        <v>0</v>
      </c>
      <c r="G297" s="3">
        <v>3</v>
      </c>
      <c r="H297" s="3">
        <v>0</v>
      </c>
      <c r="I297" s="3">
        <v>113798</v>
      </c>
      <c r="J297" s="13">
        <v>8.85</v>
      </c>
      <c r="K297" s="3" t="s">
        <v>2210</v>
      </c>
      <c r="L297" s="3" t="s">
        <v>905</v>
      </c>
      <c r="M297" t="str" cm="1">
        <f t="array" ref="M297">_xlfn.IFS(INFO_Pasajeros[[#This Row],[Edad]]&lt;=13,"Niños",INFO_Pasajeros[[#This Row],[Edad]]&lt;=18,"Jóvenes",INFO_Pasajeros[[#This Row],[Edad]]&lt;=50,"Adultos",INFO_Pasajeros[[#This Row],[Edad]]&gt;=51,"Adultos Mayores")</f>
        <v>Niños</v>
      </c>
    </row>
    <row r="298" spans="1:13" x14ac:dyDescent="0.25">
      <c r="A298" s="3" t="s">
        <v>1385</v>
      </c>
      <c r="B298" s="3" t="s">
        <v>902</v>
      </c>
      <c r="C298" s="3">
        <v>295</v>
      </c>
      <c r="D298" s="5">
        <v>30</v>
      </c>
      <c r="E298" s="3">
        <v>0</v>
      </c>
      <c r="F298" s="3">
        <v>0</v>
      </c>
      <c r="G298" s="3">
        <v>3</v>
      </c>
      <c r="H298" s="3">
        <v>0</v>
      </c>
      <c r="I298" s="3">
        <v>113798</v>
      </c>
      <c r="J298" s="13">
        <v>78.957999999999998</v>
      </c>
      <c r="K298" s="3" t="s">
        <v>2210</v>
      </c>
      <c r="L298" s="3" t="s">
        <v>910</v>
      </c>
      <c r="M298" t="str" cm="1">
        <f t="array" ref="M298">_xlfn.IFS(INFO_Pasajeros[[#This Row],[Edad]]&lt;=13,"Niños",INFO_Pasajeros[[#This Row],[Edad]]&lt;=18,"Jóvenes",INFO_Pasajeros[[#This Row],[Edad]]&lt;=50,"Adultos",INFO_Pasajeros[[#This Row],[Edad]]&gt;=51,"Adultos Mayores")</f>
        <v>Adultos</v>
      </c>
    </row>
    <row r="299" spans="1:13" x14ac:dyDescent="0.25">
      <c r="A299" s="3" t="s">
        <v>1386</v>
      </c>
      <c r="B299" s="3" t="s">
        <v>902</v>
      </c>
      <c r="C299" s="3">
        <v>296</v>
      </c>
      <c r="D299" s="5">
        <v>60</v>
      </c>
      <c r="E299" s="3">
        <v>0</v>
      </c>
      <c r="F299" s="3">
        <v>0</v>
      </c>
      <c r="G299" s="3">
        <v>1</v>
      </c>
      <c r="H299" s="3">
        <v>0</v>
      </c>
      <c r="I299" s="3">
        <v>113800</v>
      </c>
      <c r="J299" s="13">
        <v>277.20800000000003</v>
      </c>
      <c r="K299" s="3" t="s">
        <v>2210</v>
      </c>
      <c r="L299" s="3" t="s">
        <v>905</v>
      </c>
      <c r="M299" t="str" cm="1">
        <f t="array" ref="M299">_xlfn.IFS(INFO_Pasajeros[[#This Row],[Edad]]&lt;=13,"Niños",INFO_Pasajeros[[#This Row],[Edad]]&lt;=18,"Jóvenes",INFO_Pasajeros[[#This Row],[Edad]]&lt;=50,"Adultos",INFO_Pasajeros[[#This Row],[Edad]]&gt;=51,"Adultos Mayores")</f>
        <v>Adultos Mayores</v>
      </c>
    </row>
    <row r="300" spans="1:13" x14ac:dyDescent="0.25">
      <c r="A300" s="3" t="s">
        <v>1388</v>
      </c>
      <c r="B300" s="3" t="s">
        <v>902</v>
      </c>
      <c r="C300" s="3">
        <v>297</v>
      </c>
      <c r="D300" s="5">
        <v>35</v>
      </c>
      <c r="E300" s="3">
        <v>0</v>
      </c>
      <c r="F300" s="3">
        <v>0</v>
      </c>
      <c r="G300" s="3">
        <v>3</v>
      </c>
      <c r="H300" s="3">
        <v>0</v>
      </c>
      <c r="I300" s="3">
        <v>113803</v>
      </c>
      <c r="J300" s="13">
        <v>72.292000000000002</v>
      </c>
      <c r="K300" s="3" t="s">
        <v>915</v>
      </c>
      <c r="L300" s="3" t="s">
        <v>905</v>
      </c>
      <c r="M300" t="str" cm="1">
        <f t="array" ref="M300">_xlfn.IFS(INFO_Pasajeros[[#This Row],[Edad]]&lt;=13,"Niños",INFO_Pasajeros[[#This Row],[Edad]]&lt;=18,"Jóvenes",INFO_Pasajeros[[#This Row],[Edad]]&lt;=50,"Adultos",INFO_Pasajeros[[#This Row],[Edad]]&gt;=51,"Adultos Mayores")</f>
        <v>Adultos</v>
      </c>
    </row>
    <row r="301" spans="1:13" x14ac:dyDescent="0.25">
      <c r="A301" s="3" t="s">
        <v>1390</v>
      </c>
      <c r="B301" s="3" t="s">
        <v>907</v>
      </c>
      <c r="C301" s="3">
        <v>298</v>
      </c>
      <c r="D301" s="5">
        <v>37</v>
      </c>
      <c r="E301" s="3">
        <v>2</v>
      </c>
      <c r="F301" s="3">
        <v>1</v>
      </c>
      <c r="G301" s="3">
        <v>1</v>
      </c>
      <c r="H301" s="3">
        <v>0</v>
      </c>
      <c r="I301" s="3">
        <v>113803</v>
      </c>
      <c r="J301" s="13">
        <v>151.55000000000001</v>
      </c>
      <c r="K301" s="3" t="s">
        <v>915</v>
      </c>
      <c r="L301" s="3" t="s">
        <v>905</v>
      </c>
      <c r="M301" t="str" cm="1">
        <f t="array" ref="M301">_xlfn.IFS(INFO_Pasajeros[[#This Row],[Edad]]&lt;=13,"Niños",INFO_Pasajeros[[#This Row],[Edad]]&lt;=18,"Jóvenes",INFO_Pasajeros[[#This Row],[Edad]]&lt;=50,"Adultos",INFO_Pasajeros[[#This Row],[Edad]]&gt;=51,"Adultos Mayores")</f>
        <v>Adultos</v>
      </c>
    </row>
    <row r="302" spans="1:13" x14ac:dyDescent="0.25">
      <c r="A302" s="3" t="s">
        <v>1393</v>
      </c>
      <c r="B302" s="3" t="s">
        <v>902</v>
      </c>
      <c r="C302" s="3">
        <v>299</v>
      </c>
      <c r="D302" s="5">
        <v>27</v>
      </c>
      <c r="E302" s="3">
        <v>0</v>
      </c>
      <c r="F302" s="3">
        <v>0</v>
      </c>
      <c r="G302" s="3">
        <v>1</v>
      </c>
      <c r="H302" s="3">
        <v>1</v>
      </c>
      <c r="I302" s="3">
        <v>113804</v>
      </c>
      <c r="J302" s="13">
        <v>30.5</v>
      </c>
      <c r="K302" s="3" t="s">
        <v>2210</v>
      </c>
      <c r="L302" s="3" t="s">
        <v>905</v>
      </c>
      <c r="M302" t="str" cm="1">
        <f t="array" ref="M302">_xlfn.IFS(INFO_Pasajeros[[#This Row],[Edad]]&lt;=13,"Niños",INFO_Pasajeros[[#This Row],[Edad]]&lt;=18,"Jóvenes",INFO_Pasajeros[[#This Row],[Edad]]&lt;=50,"Adultos",INFO_Pasajeros[[#This Row],[Edad]]&gt;=51,"Adultos Mayores")</f>
        <v>Adultos</v>
      </c>
    </row>
    <row r="303" spans="1:13" x14ac:dyDescent="0.25">
      <c r="A303" s="3" t="s">
        <v>1396</v>
      </c>
      <c r="B303" s="3" t="s">
        <v>907</v>
      </c>
      <c r="C303" s="3">
        <v>300</v>
      </c>
      <c r="D303" s="5">
        <v>27</v>
      </c>
      <c r="E303" s="3">
        <v>1</v>
      </c>
      <c r="F303" s="3">
        <v>0</v>
      </c>
      <c r="G303" s="3">
        <v>1</v>
      </c>
      <c r="H303" s="3">
        <v>1</v>
      </c>
      <c r="I303" s="3">
        <v>113806</v>
      </c>
      <c r="J303" s="13">
        <v>247.52080000000001</v>
      </c>
      <c r="K303" s="3" t="s">
        <v>1983</v>
      </c>
      <c r="L303" s="3" t="s">
        <v>905</v>
      </c>
      <c r="M303" t="str" cm="1">
        <f t="array" ref="M303">_xlfn.IFS(INFO_Pasajeros[[#This Row],[Edad]]&lt;=13,"Niños",INFO_Pasajeros[[#This Row],[Edad]]&lt;=18,"Jóvenes",INFO_Pasajeros[[#This Row],[Edad]]&lt;=50,"Adultos",INFO_Pasajeros[[#This Row],[Edad]]&gt;=51,"Adultos Mayores")</f>
        <v>Adultos</v>
      </c>
    </row>
    <row r="304" spans="1:13" x14ac:dyDescent="0.25">
      <c r="A304" s="3" t="s">
        <v>1397</v>
      </c>
      <c r="B304" s="3" t="s">
        <v>907</v>
      </c>
      <c r="C304" s="3">
        <v>301</v>
      </c>
      <c r="D304" s="5">
        <v>33</v>
      </c>
      <c r="E304" s="3">
        <v>0</v>
      </c>
      <c r="F304" s="3">
        <v>0</v>
      </c>
      <c r="G304" s="3">
        <v>3</v>
      </c>
      <c r="H304" s="3">
        <v>1</v>
      </c>
      <c r="I304" s="3">
        <v>113806</v>
      </c>
      <c r="J304" s="13">
        <v>7.75</v>
      </c>
      <c r="K304" s="3" t="s">
        <v>1983</v>
      </c>
      <c r="L304" s="3" t="s">
        <v>905</v>
      </c>
      <c r="M304" t="str" cm="1">
        <f t="array" ref="M304">_xlfn.IFS(INFO_Pasajeros[[#This Row],[Edad]]&lt;=13,"Niños",INFO_Pasajeros[[#This Row],[Edad]]&lt;=18,"Jóvenes",INFO_Pasajeros[[#This Row],[Edad]]&lt;=50,"Adultos",INFO_Pasajeros[[#This Row],[Edad]]&gt;=51,"Adultos Mayores")</f>
        <v>Adultos</v>
      </c>
    </row>
    <row r="305" spans="1:13" x14ac:dyDescent="0.25">
      <c r="A305" s="3" t="s">
        <v>1398</v>
      </c>
      <c r="B305" s="3" t="s">
        <v>902</v>
      </c>
      <c r="C305" s="3">
        <v>302</v>
      </c>
      <c r="D305" s="5">
        <v>62</v>
      </c>
      <c r="E305" s="3">
        <v>0</v>
      </c>
      <c r="F305" s="3">
        <v>2</v>
      </c>
      <c r="G305" s="3">
        <v>3</v>
      </c>
      <c r="H305" s="3">
        <v>1</v>
      </c>
      <c r="I305" s="3">
        <v>113807</v>
      </c>
      <c r="J305" s="13">
        <v>23.25</v>
      </c>
      <c r="K305" s="3" t="s">
        <v>2210</v>
      </c>
      <c r="L305" s="3" t="s">
        <v>905</v>
      </c>
      <c r="M305" t="str" cm="1">
        <f t="array" ref="M305">_xlfn.IFS(INFO_Pasajeros[[#This Row],[Edad]]&lt;=13,"Niños",INFO_Pasajeros[[#This Row],[Edad]]&lt;=18,"Jóvenes",INFO_Pasajeros[[#This Row],[Edad]]&lt;=50,"Adultos",INFO_Pasajeros[[#This Row],[Edad]]&gt;=51,"Adultos Mayores")</f>
        <v>Adultos Mayores</v>
      </c>
    </row>
    <row r="306" spans="1:13" x14ac:dyDescent="0.25">
      <c r="A306" s="3" t="s">
        <v>1400</v>
      </c>
      <c r="B306" s="3" t="s">
        <v>902</v>
      </c>
      <c r="C306" s="3">
        <v>303</v>
      </c>
      <c r="D306" s="5">
        <v>27</v>
      </c>
      <c r="E306" s="3">
        <v>0</v>
      </c>
      <c r="F306" s="3">
        <v>0</v>
      </c>
      <c r="G306" s="3">
        <v>3</v>
      </c>
      <c r="H306" s="3">
        <v>0</v>
      </c>
      <c r="I306" s="3">
        <v>211536</v>
      </c>
      <c r="J306" s="13">
        <v>0</v>
      </c>
      <c r="K306" s="3" t="s">
        <v>2210</v>
      </c>
      <c r="L306" s="3" t="s">
        <v>905</v>
      </c>
      <c r="M306" t="str" cm="1">
        <f t="array" ref="M306">_xlfn.IFS(INFO_Pasajeros[[#This Row],[Edad]]&lt;=13,"Niños",INFO_Pasajeros[[#This Row],[Edad]]&lt;=18,"Jóvenes",INFO_Pasajeros[[#This Row],[Edad]]&lt;=50,"Adultos",INFO_Pasajeros[[#This Row],[Edad]]&gt;=51,"Adultos Mayores")</f>
        <v>Adultos</v>
      </c>
    </row>
    <row r="307" spans="1:13" x14ac:dyDescent="0.25">
      <c r="A307" s="3" t="s">
        <v>1401</v>
      </c>
      <c r="B307" s="3" t="s">
        <v>907</v>
      </c>
      <c r="C307" s="3">
        <v>304</v>
      </c>
      <c r="D307" s="5">
        <v>28</v>
      </c>
      <c r="E307" s="3">
        <v>0</v>
      </c>
      <c r="F307" s="3">
        <v>0</v>
      </c>
      <c r="G307" s="3">
        <v>2</v>
      </c>
      <c r="H307" s="3">
        <v>1</v>
      </c>
      <c r="I307" s="3">
        <v>218629</v>
      </c>
      <c r="J307" s="13">
        <v>12.35</v>
      </c>
      <c r="K307" s="3" t="s">
        <v>2210</v>
      </c>
      <c r="L307" s="3" t="s">
        <v>905</v>
      </c>
      <c r="M307" t="str" cm="1">
        <f t="array" ref="M307">_xlfn.IFS(INFO_Pasajeros[[#This Row],[Edad]]&lt;=13,"Niños",INFO_Pasajeros[[#This Row],[Edad]]&lt;=18,"Jóvenes",INFO_Pasajeros[[#This Row],[Edad]]&lt;=50,"Adultos",INFO_Pasajeros[[#This Row],[Edad]]&gt;=51,"Adultos Mayores")</f>
        <v>Adultos</v>
      </c>
    </row>
    <row r="308" spans="1:13" x14ac:dyDescent="0.25">
      <c r="A308" s="3" t="s">
        <v>1403</v>
      </c>
      <c r="B308" s="3" t="s">
        <v>902</v>
      </c>
      <c r="C308" s="3">
        <v>305</v>
      </c>
      <c r="D308" s="5">
        <v>57</v>
      </c>
      <c r="E308" s="3">
        <v>0</v>
      </c>
      <c r="F308" s="3">
        <v>0</v>
      </c>
      <c r="G308" s="3">
        <v>3</v>
      </c>
      <c r="H308" s="3">
        <v>0</v>
      </c>
      <c r="I308" s="3">
        <v>219533</v>
      </c>
      <c r="J308" s="13">
        <v>8.0500000000000007</v>
      </c>
      <c r="K308" s="3" t="s">
        <v>2210</v>
      </c>
      <c r="L308" s="3" t="s">
        <v>919</v>
      </c>
      <c r="M308" t="str" cm="1">
        <f t="array" ref="M308">_xlfn.IFS(INFO_Pasajeros[[#This Row],[Edad]]&lt;=13,"Niños",INFO_Pasajeros[[#This Row],[Edad]]&lt;=18,"Jóvenes",INFO_Pasajeros[[#This Row],[Edad]]&lt;=50,"Adultos",INFO_Pasajeros[[#This Row],[Edad]]&gt;=51,"Adultos Mayores")</f>
        <v>Adultos Mayores</v>
      </c>
    </row>
    <row r="309" spans="1:13" x14ac:dyDescent="0.25">
      <c r="A309" s="3" t="s">
        <v>1405</v>
      </c>
      <c r="B309" s="3" t="s">
        <v>902</v>
      </c>
      <c r="C309" s="3">
        <v>306</v>
      </c>
      <c r="D309" s="5">
        <v>27</v>
      </c>
      <c r="E309" s="3">
        <v>2</v>
      </c>
      <c r="F309" s="3">
        <v>1</v>
      </c>
      <c r="G309" s="3">
        <v>1</v>
      </c>
      <c r="H309" s="3">
        <v>1</v>
      </c>
      <c r="I309" s="3">
        <v>220367</v>
      </c>
      <c r="J309" s="13">
        <v>151.55000000000001</v>
      </c>
      <c r="K309" s="3" t="s">
        <v>2210</v>
      </c>
      <c r="L309" s="3" t="s">
        <v>905</v>
      </c>
      <c r="M309" t="str" cm="1">
        <f t="array" ref="M309">_xlfn.IFS(INFO_Pasajeros[[#This Row],[Edad]]&lt;=13,"Niños",INFO_Pasajeros[[#This Row],[Edad]]&lt;=18,"Jóvenes",INFO_Pasajeros[[#This Row],[Edad]]&lt;=50,"Adultos",INFO_Pasajeros[[#This Row],[Edad]]&gt;=51,"Adultos Mayores")</f>
        <v>Adultos</v>
      </c>
    </row>
    <row r="310" spans="1:13" x14ac:dyDescent="0.25">
      <c r="A310" s="3" t="s">
        <v>1407</v>
      </c>
      <c r="B310" s="3" t="s">
        <v>907</v>
      </c>
      <c r="C310" s="3">
        <v>307</v>
      </c>
      <c r="D310" s="5">
        <v>24</v>
      </c>
      <c r="E310" s="3">
        <v>0</v>
      </c>
      <c r="F310" s="3">
        <v>0</v>
      </c>
      <c r="G310" s="3">
        <v>1</v>
      </c>
      <c r="H310" s="3">
        <v>1</v>
      </c>
      <c r="I310" s="3">
        <v>220845</v>
      </c>
      <c r="J310" s="13">
        <v>110.88330000000001</v>
      </c>
      <c r="K310" s="3" t="s">
        <v>2210</v>
      </c>
      <c r="L310" s="3" t="s">
        <v>905</v>
      </c>
      <c r="M310" t="str" cm="1">
        <f t="array" ref="M310">_xlfn.IFS(INFO_Pasajeros[[#This Row],[Edad]]&lt;=13,"Niños",INFO_Pasajeros[[#This Row],[Edad]]&lt;=18,"Jóvenes",INFO_Pasajeros[[#This Row],[Edad]]&lt;=50,"Adultos",INFO_Pasajeros[[#This Row],[Edad]]&gt;=51,"Adultos Mayores")</f>
        <v>Adultos</v>
      </c>
    </row>
    <row r="311" spans="1:13" x14ac:dyDescent="0.25">
      <c r="A311" s="3" t="s">
        <v>1408</v>
      </c>
      <c r="B311" s="3" t="s">
        <v>907</v>
      </c>
      <c r="C311" s="3">
        <v>308</v>
      </c>
      <c r="D311" s="5">
        <v>48</v>
      </c>
      <c r="E311" s="3">
        <v>0</v>
      </c>
      <c r="F311" s="3">
        <v>1</v>
      </c>
      <c r="G311" s="3">
        <v>1</v>
      </c>
      <c r="H311" s="3">
        <v>1</v>
      </c>
      <c r="I311" s="3">
        <v>220845</v>
      </c>
      <c r="J311" s="13">
        <v>108.9</v>
      </c>
      <c r="K311" s="3" t="s">
        <v>2210</v>
      </c>
      <c r="L311" s="3" t="s">
        <v>905</v>
      </c>
      <c r="M311" t="str" cm="1">
        <f t="array" ref="M311">_xlfn.IFS(INFO_Pasajeros[[#This Row],[Edad]]&lt;=13,"Niños",INFO_Pasajeros[[#This Row],[Edad]]&lt;=18,"Jóvenes",INFO_Pasajeros[[#This Row],[Edad]]&lt;=50,"Adultos",INFO_Pasajeros[[#This Row],[Edad]]&gt;=51,"Adultos Mayores")</f>
        <v>Adultos</v>
      </c>
    </row>
    <row r="312" spans="1:13" x14ac:dyDescent="0.25">
      <c r="A312" s="3" t="s">
        <v>1412</v>
      </c>
      <c r="B312" s="3" t="s">
        <v>902</v>
      </c>
      <c r="C312" s="3">
        <v>309</v>
      </c>
      <c r="D312" s="5">
        <v>45</v>
      </c>
      <c r="E312" s="3">
        <v>0</v>
      </c>
      <c r="F312" s="3">
        <v>1</v>
      </c>
      <c r="G312" s="3">
        <v>2</v>
      </c>
      <c r="H312" s="3">
        <v>0</v>
      </c>
      <c r="I312" s="3">
        <v>223596</v>
      </c>
      <c r="J312" s="13">
        <v>24</v>
      </c>
      <c r="K312" s="3" t="s">
        <v>2210</v>
      </c>
      <c r="L312" s="3" t="s">
        <v>905</v>
      </c>
      <c r="M312" t="str" cm="1">
        <f t="array" ref="M312">_xlfn.IFS(INFO_Pasajeros[[#This Row],[Edad]]&lt;=13,"Niños",INFO_Pasajeros[[#This Row],[Edad]]&lt;=18,"Jóvenes",INFO_Pasajeros[[#This Row],[Edad]]&lt;=50,"Adultos",INFO_Pasajeros[[#This Row],[Edad]]&gt;=51,"Adultos Mayores")</f>
        <v>Adultos</v>
      </c>
    </row>
    <row r="313" spans="1:13" x14ac:dyDescent="0.25">
      <c r="A313" s="3" t="s">
        <v>1414</v>
      </c>
      <c r="B313" s="3" t="s">
        <v>907</v>
      </c>
      <c r="C313" s="3">
        <v>310</v>
      </c>
      <c r="D313" s="5">
        <v>46</v>
      </c>
      <c r="E313" s="3">
        <v>0</v>
      </c>
      <c r="F313" s="3">
        <v>0</v>
      </c>
      <c r="G313" s="3">
        <v>1</v>
      </c>
      <c r="H313" s="3">
        <v>1</v>
      </c>
      <c r="I313" s="3">
        <v>226593</v>
      </c>
      <c r="J313" s="13">
        <v>569.29200000000003</v>
      </c>
      <c r="K313" s="3" t="s">
        <v>1109</v>
      </c>
      <c r="L313" s="3" t="s">
        <v>919</v>
      </c>
      <c r="M313" t="str" cm="1">
        <f t="array" ref="M313">_xlfn.IFS(INFO_Pasajeros[[#This Row],[Edad]]&lt;=13,"Niños",INFO_Pasajeros[[#This Row],[Edad]]&lt;=18,"Jóvenes",INFO_Pasajeros[[#This Row],[Edad]]&lt;=50,"Adultos",INFO_Pasajeros[[#This Row],[Edad]]&gt;=51,"Adultos Mayores")</f>
        <v>Adultos</v>
      </c>
    </row>
    <row r="314" spans="1:13" x14ac:dyDescent="0.25">
      <c r="A314" s="3" t="s">
        <v>1417</v>
      </c>
      <c r="B314" s="3" t="s">
        <v>907</v>
      </c>
      <c r="C314" s="3">
        <v>311</v>
      </c>
      <c r="D314" s="5">
        <v>36</v>
      </c>
      <c r="E314" s="3">
        <v>0</v>
      </c>
      <c r="F314" s="3">
        <v>0</v>
      </c>
      <c r="G314" s="3">
        <v>1</v>
      </c>
      <c r="H314" s="3">
        <v>1</v>
      </c>
      <c r="I314" s="3">
        <v>226875</v>
      </c>
      <c r="J314" s="13">
        <v>831.58299999999997</v>
      </c>
      <c r="K314" s="3" t="s">
        <v>2210</v>
      </c>
      <c r="L314" s="3" t="s">
        <v>905</v>
      </c>
      <c r="M314" t="str" cm="1">
        <f t="array" ref="M314">_xlfn.IFS(INFO_Pasajeros[[#This Row],[Edad]]&lt;=13,"Niños",INFO_Pasajeros[[#This Row],[Edad]]&lt;=18,"Jóvenes",INFO_Pasajeros[[#This Row],[Edad]]&lt;=50,"Adultos",INFO_Pasajeros[[#This Row],[Edad]]&gt;=51,"Adultos Mayores")</f>
        <v>Adultos</v>
      </c>
    </row>
    <row r="315" spans="1:13" x14ac:dyDescent="0.25">
      <c r="A315" s="3" t="s">
        <v>1419</v>
      </c>
      <c r="B315" s="3" t="s">
        <v>907</v>
      </c>
      <c r="C315" s="3">
        <v>312</v>
      </c>
      <c r="D315" s="5">
        <v>29</v>
      </c>
      <c r="E315" s="3">
        <v>2</v>
      </c>
      <c r="F315" s="3">
        <v>2</v>
      </c>
      <c r="G315" s="3">
        <v>1</v>
      </c>
      <c r="H315" s="3">
        <v>1</v>
      </c>
      <c r="I315" s="3">
        <v>228414</v>
      </c>
      <c r="J315" s="13">
        <v>262.375</v>
      </c>
      <c r="K315" s="3" t="s">
        <v>2210</v>
      </c>
      <c r="L315" s="3" t="s">
        <v>905</v>
      </c>
      <c r="M315" t="str" cm="1">
        <f t="array" ref="M315">_xlfn.IFS(INFO_Pasajeros[[#This Row],[Edad]]&lt;=13,"Niños",INFO_Pasajeros[[#This Row],[Edad]]&lt;=18,"Jóvenes",INFO_Pasajeros[[#This Row],[Edad]]&lt;=50,"Adultos",INFO_Pasajeros[[#This Row],[Edad]]&gt;=51,"Adultos Mayores")</f>
        <v>Adultos</v>
      </c>
    </row>
    <row r="316" spans="1:13" x14ac:dyDescent="0.25">
      <c r="A316" s="3" t="s">
        <v>1422</v>
      </c>
      <c r="B316" s="3" t="s">
        <v>907</v>
      </c>
      <c r="C316" s="3">
        <v>313</v>
      </c>
      <c r="D316" s="5">
        <v>36</v>
      </c>
      <c r="E316" s="3">
        <v>1</v>
      </c>
      <c r="F316" s="3">
        <v>1</v>
      </c>
      <c r="G316" s="3">
        <v>2</v>
      </c>
      <c r="H316" s="3">
        <v>0</v>
      </c>
      <c r="I316" s="3">
        <v>229236</v>
      </c>
      <c r="J316" s="13">
        <v>26</v>
      </c>
      <c r="K316" s="3" t="s">
        <v>2210</v>
      </c>
      <c r="L316" s="3" t="s">
        <v>905</v>
      </c>
      <c r="M316" t="str" cm="1">
        <f t="array" ref="M316">_xlfn.IFS(INFO_Pasajeros[[#This Row],[Edad]]&lt;=13,"Niños",INFO_Pasajeros[[#This Row],[Edad]]&lt;=18,"Jóvenes",INFO_Pasajeros[[#This Row],[Edad]]&lt;=50,"Adultos",INFO_Pasajeros[[#This Row],[Edad]]&gt;=51,"Adultos Mayores")</f>
        <v>Adultos</v>
      </c>
    </row>
    <row r="317" spans="1:13" x14ac:dyDescent="0.25">
      <c r="A317" s="3" t="s">
        <v>1423</v>
      </c>
      <c r="B317" s="3" t="s">
        <v>902</v>
      </c>
      <c r="C317" s="3">
        <v>314</v>
      </c>
      <c r="D317" s="5">
        <v>37</v>
      </c>
      <c r="E317" s="3">
        <v>0</v>
      </c>
      <c r="F317" s="3">
        <v>0</v>
      </c>
      <c r="G317" s="3">
        <v>3</v>
      </c>
      <c r="H317" s="3">
        <v>0</v>
      </c>
      <c r="I317" s="3">
        <v>230080</v>
      </c>
      <c r="J317" s="13">
        <v>78.957999999999998</v>
      </c>
      <c r="K317" s="3" t="s">
        <v>1152</v>
      </c>
      <c r="L317" s="3" t="s">
        <v>905</v>
      </c>
      <c r="M317" t="str" cm="1">
        <f t="array" ref="M317">_xlfn.IFS(INFO_Pasajeros[[#This Row],[Edad]]&lt;=13,"Niños",INFO_Pasajeros[[#This Row],[Edad]]&lt;=18,"Jóvenes",INFO_Pasajeros[[#This Row],[Edad]]&lt;=50,"Adultos",INFO_Pasajeros[[#This Row],[Edad]]&gt;=51,"Adultos Mayores")</f>
        <v>Adultos</v>
      </c>
    </row>
    <row r="318" spans="1:13" x14ac:dyDescent="0.25">
      <c r="A318" s="3" t="s">
        <v>1424</v>
      </c>
      <c r="B318" s="3" t="s">
        <v>902</v>
      </c>
      <c r="C318" s="3">
        <v>315</v>
      </c>
      <c r="D318" s="5">
        <v>3</v>
      </c>
      <c r="E318" s="3">
        <v>1</v>
      </c>
      <c r="F318" s="3">
        <v>1</v>
      </c>
      <c r="G318" s="3">
        <v>2</v>
      </c>
      <c r="H318" s="3">
        <v>0</v>
      </c>
      <c r="I318" s="3">
        <v>230080</v>
      </c>
      <c r="J318" s="13">
        <v>26.25</v>
      </c>
      <c r="K318" s="3" t="s">
        <v>1152</v>
      </c>
      <c r="L318" s="3" t="s">
        <v>905</v>
      </c>
      <c r="M318" t="str" cm="1">
        <f t="array" ref="M318">_xlfn.IFS(INFO_Pasajeros[[#This Row],[Edad]]&lt;=13,"Niños",INFO_Pasajeros[[#This Row],[Edad]]&lt;=18,"Jóvenes",INFO_Pasajeros[[#This Row],[Edad]]&lt;=50,"Adultos",INFO_Pasajeros[[#This Row],[Edad]]&gt;=51,"Adultos Mayores")</f>
        <v>Niños</v>
      </c>
    </row>
    <row r="319" spans="1:13" x14ac:dyDescent="0.25">
      <c r="A319" s="3" t="s">
        <v>1426</v>
      </c>
      <c r="B319" s="3" t="s">
        <v>907</v>
      </c>
      <c r="C319" s="3">
        <v>316</v>
      </c>
      <c r="D319" s="5">
        <v>2</v>
      </c>
      <c r="E319" s="3">
        <v>0</v>
      </c>
      <c r="F319" s="3">
        <v>0</v>
      </c>
      <c r="G319" s="3">
        <v>3</v>
      </c>
      <c r="H319" s="3">
        <v>1</v>
      </c>
      <c r="I319" s="3">
        <v>230080</v>
      </c>
      <c r="J319" s="13">
        <v>78.542000000000002</v>
      </c>
      <c r="K319" s="3" t="s">
        <v>1152</v>
      </c>
      <c r="L319" s="3" t="s">
        <v>905</v>
      </c>
      <c r="M319" t="str" cm="1">
        <f t="array" ref="M319">_xlfn.IFS(INFO_Pasajeros[[#This Row],[Edad]]&lt;=13,"Niños",INFO_Pasajeros[[#This Row],[Edad]]&lt;=18,"Jóvenes",INFO_Pasajeros[[#This Row],[Edad]]&lt;=50,"Adultos",INFO_Pasajeros[[#This Row],[Edad]]&gt;=51,"Adultos Mayores")</f>
        <v>Niños</v>
      </c>
    </row>
    <row r="320" spans="1:13" x14ac:dyDescent="0.25">
      <c r="A320" s="3" t="s">
        <v>1427</v>
      </c>
      <c r="B320" s="3" t="s">
        <v>907</v>
      </c>
      <c r="C320" s="3">
        <v>317</v>
      </c>
      <c r="D320" s="5">
        <v>1</v>
      </c>
      <c r="E320" s="3">
        <v>0</v>
      </c>
      <c r="F320" s="3">
        <v>1</v>
      </c>
      <c r="G320" s="3">
        <v>2</v>
      </c>
      <c r="H320" s="3">
        <v>1</v>
      </c>
      <c r="I320" s="3">
        <v>230136</v>
      </c>
      <c r="J320" s="13">
        <v>26</v>
      </c>
      <c r="K320" s="3" t="s">
        <v>1214</v>
      </c>
      <c r="L320" s="3" t="s">
        <v>905</v>
      </c>
      <c r="M320" t="str" cm="1">
        <f t="array" ref="M320">_xlfn.IFS(INFO_Pasajeros[[#This Row],[Edad]]&lt;=13,"Niños",INFO_Pasajeros[[#This Row],[Edad]]&lt;=18,"Jóvenes",INFO_Pasajeros[[#This Row],[Edad]]&lt;=50,"Adultos",INFO_Pasajeros[[#This Row],[Edad]]&gt;=51,"Adultos Mayores")</f>
        <v>Niños</v>
      </c>
    </row>
    <row r="321" spans="1:13" x14ac:dyDescent="0.25">
      <c r="A321" s="3" t="s">
        <v>1428</v>
      </c>
      <c r="B321" s="3" t="s">
        <v>902</v>
      </c>
      <c r="C321" s="3">
        <v>318</v>
      </c>
      <c r="D321" s="5">
        <v>4</v>
      </c>
      <c r="E321" s="3">
        <v>0</v>
      </c>
      <c r="F321" s="3">
        <v>0</v>
      </c>
      <c r="G321" s="3">
        <v>2</v>
      </c>
      <c r="H321" s="3">
        <v>0</v>
      </c>
      <c r="I321" s="3">
        <v>230136</v>
      </c>
      <c r="J321" s="13">
        <v>14</v>
      </c>
      <c r="K321" s="3" t="s">
        <v>1214</v>
      </c>
      <c r="L321" s="3" t="s">
        <v>905</v>
      </c>
      <c r="M321" t="str" cm="1">
        <f t="array" ref="M321">_xlfn.IFS(INFO_Pasajeros[[#This Row],[Edad]]&lt;=13,"Niños",INFO_Pasajeros[[#This Row],[Edad]]&lt;=18,"Jóvenes",INFO_Pasajeros[[#This Row],[Edad]]&lt;=50,"Adultos",INFO_Pasajeros[[#This Row],[Edad]]&gt;=51,"Adultos Mayores")</f>
        <v>Niños</v>
      </c>
    </row>
    <row r="322" spans="1:13" x14ac:dyDescent="0.25">
      <c r="A322" s="3" t="s">
        <v>1429</v>
      </c>
      <c r="B322" s="3" t="s">
        <v>907</v>
      </c>
      <c r="C322" s="3">
        <v>319</v>
      </c>
      <c r="D322" s="5">
        <v>50</v>
      </c>
      <c r="E322" s="3">
        <v>2</v>
      </c>
      <c r="F322" s="3">
        <v>0</v>
      </c>
      <c r="G322" s="3">
        <v>1</v>
      </c>
      <c r="H322" s="3">
        <v>1</v>
      </c>
      <c r="I322" s="3">
        <v>230433</v>
      </c>
      <c r="J322" s="13">
        <v>164.86669999999998</v>
      </c>
      <c r="K322" s="3" t="s">
        <v>2210</v>
      </c>
      <c r="L322" s="3" t="s">
        <v>905</v>
      </c>
      <c r="M322" t="str" cm="1">
        <f t="array" ref="M322">_xlfn.IFS(INFO_Pasajeros[[#This Row],[Edad]]&lt;=13,"Niños",INFO_Pasajeros[[#This Row],[Edad]]&lt;=18,"Jóvenes",INFO_Pasajeros[[#This Row],[Edad]]&lt;=50,"Adultos",INFO_Pasajeros[[#This Row],[Edad]]&gt;=51,"Adultos Mayores")</f>
        <v>Adultos</v>
      </c>
    </row>
    <row r="323" spans="1:13" x14ac:dyDescent="0.25">
      <c r="A323" s="3" t="s">
        <v>1431</v>
      </c>
      <c r="B323" s="3" t="s">
        <v>907</v>
      </c>
      <c r="C323" s="3">
        <v>320</v>
      </c>
      <c r="D323" s="5">
        <v>25</v>
      </c>
      <c r="E323" s="3">
        <v>1</v>
      </c>
      <c r="F323" s="3">
        <v>1</v>
      </c>
      <c r="G323" s="3">
        <v>1</v>
      </c>
      <c r="H323" s="3">
        <v>1</v>
      </c>
      <c r="I323" s="3">
        <v>230433</v>
      </c>
      <c r="J323" s="13">
        <v>134.5</v>
      </c>
      <c r="K323" s="3" t="s">
        <v>2210</v>
      </c>
      <c r="L323" s="3" t="s">
        <v>905</v>
      </c>
      <c r="M323" t="str" cm="1">
        <f t="array" ref="M323">_xlfn.IFS(INFO_Pasajeros[[#This Row],[Edad]]&lt;=13,"Niños",INFO_Pasajeros[[#This Row],[Edad]]&lt;=18,"Jóvenes",INFO_Pasajeros[[#This Row],[Edad]]&lt;=50,"Adultos",INFO_Pasajeros[[#This Row],[Edad]]&gt;=51,"Adultos Mayores")</f>
        <v>Adultos</v>
      </c>
    </row>
    <row r="324" spans="1:13" x14ac:dyDescent="0.25">
      <c r="A324" s="3" t="s">
        <v>1434</v>
      </c>
      <c r="B324" s="3" t="s">
        <v>902</v>
      </c>
      <c r="C324" s="3">
        <v>321</v>
      </c>
      <c r="D324" s="5">
        <v>28</v>
      </c>
      <c r="E324" s="3">
        <v>0</v>
      </c>
      <c r="F324" s="3">
        <v>0</v>
      </c>
      <c r="G324" s="3">
        <v>3</v>
      </c>
      <c r="H324" s="3">
        <v>0</v>
      </c>
      <c r="I324" s="3">
        <v>230434</v>
      </c>
      <c r="J324" s="13">
        <v>7.25</v>
      </c>
      <c r="K324" s="3" t="s">
        <v>2210</v>
      </c>
      <c r="L324" s="3" t="s">
        <v>905</v>
      </c>
      <c r="M324" t="str" cm="1">
        <f t="array" ref="M324">_xlfn.IFS(INFO_Pasajeros[[#This Row],[Edad]]&lt;=13,"Niños",INFO_Pasajeros[[#This Row],[Edad]]&lt;=18,"Jóvenes",INFO_Pasajeros[[#This Row],[Edad]]&lt;=50,"Adultos",INFO_Pasajeros[[#This Row],[Edad]]&gt;=51,"Adultos Mayores")</f>
        <v>Adultos</v>
      </c>
    </row>
    <row r="325" spans="1:13" x14ac:dyDescent="0.25">
      <c r="A325" s="3" t="s">
        <v>1436</v>
      </c>
      <c r="B325" s="3" t="s">
        <v>902</v>
      </c>
      <c r="C325" s="3">
        <v>322</v>
      </c>
      <c r="D325" s="5">
        <v>34</v>
      </c>
      <c r="E325" s="3">
        <v>0</v>
      </c>
      <c r="F325" s="3">
        <v>0</v>
      </c>
      <c r="G325" s="3">
        <v>3</v>
      </c>
      <c r="H325" s="3">
        <v>0</v>
      </c>
      <c r="I325" s="3">
        <v>231919</v>
      </c>
      <c r="J325" s="13">
        <v>78.957999999999998</v>
      </c>
      <c r="K325" s="3" t="s">
        <v>2210</v>
      </c>
      <c r="L325" s="3" t="s">
        <v>905</v>
      </c>
      <c r="M325" t="str" cm="1">
        <f t="array" ref="M325">_xlfn.IFS(INFO_Pasajeros[[#This Row],[Edad]]&lt;=13,"Niños",INFO_Pasajeros[[#This Row],[Edad]]&lt;=18,"Jóvenes",INFO_Pasajeros[[#This Row],[Edad]]&lt;=50,"Adultos",INFO_Pasajeros[[#This Row],[Edad]]&gt;=51,"Adultos Mayores")</f>
        <v>Adultos</v>
      </c>
    </row>
    <row r="326" spans="1:13" x14ac:dyDescent="0.25">
      <c r="A326" s="3" t="s">
        <v>1437</v>
      </c>
      <c r="B326" s="3" t="s">
        <v>907</v>
      </c>
      <c r="C326" s="3">
        <v>323</v>
      </c>
      <c r="D326" s="5">
        <v>18</v>
      </c>
      <c r="E326" s="3">
        <v>0</v>
      </c>
      <c r="F326" s="3">
        <v>0</v>
      </c>
      <c r="G326" s="3">
        <v>2</v>
      </c>
      <c r="H326" s="3">
        <v>1</v>
      </c>
      <c r="I326" s="3">
        <v>231919</v>
      </c>
      <c r="J326" s="13">
        <v>12.35</v>
      </c>
      <c r="K326" s="3" t="s">
        <v>2210</v>
      </c>
      <c r="L326" s="3" t="s">
        <v>905</v>
      </c>
      <c r="M326" t="str" cm="1">
        <f t="array" ref="M326">_xlfn.IFS(INFO_Pasajeros[[#This Row],[Edad]]&lt;=13,"Niños",INFO_Pasajeros[[#This Row],[Edad]]&lt;=18,"Jóvenes",INFO_Pasajeros[[#This Row],[Edad]]&lt;=50,"Adultos",INFO_Pasajeros[[#This Row],[Edad]]&gt;=51,"Adultos Mayores")</f>
        <v>Jóvenes</v>
      </c>
    </row>
    <row r="327" spans="1:13" x14ac:dyDescent="0.25">
      <c r="A327" s="3" t="s">
        <v>1438</v>
      </c>
      <c r="B327" s="3" t="s">
        <v>907</v>
      </c>
      <c r="C327" s="3">
        <v>324</v>
      </c>
      <c r="D327" s="5">
        <v>18</v>
      </c>
      <c r="E327" s="3">
        <v>1</v>
      </c>
      <c r="F327" s="3">
        <v>1</v>
      </c>
      <c r="G327" s="3">
        <v>2</v>
      </c>
      <c r="H327" s="3">
        <v>1</v>
      </c>
      <c r="I327" s="3">
        <v>231945</v>
      </c>
      <c r="J327" s="13">
        <v>29</v>
      </c>
      <c r="K327" s="3" t="s">
        <v>2210</v>
      </c>
      <c r="L327" s="3" t="s">
        <v>905</v>
      </c>
      <c r="M327" t="str" cm="1">
        <f t="array" ref="M327">_xlfn.IFS(INFO_Pasajeros[[#This Row],[Edad]]&lt;=13,"Niños",INFO_Pasajeros[[#This Row],[Edad]]&lt;=18,"Jóvenes",INFO_Pasajeros[[#This Row],[Edad]]&lt;=50,"Adultos",INFO_Pasajeros[[#This Row],[Edad]]&gt;=51,"Adultos Mayores")</f>
        <v>Jóvenes</v>
      </c>
    </row>
    <row r="328" spans="1:13" x14ac:dyDescent="0.25">
      <c r="A328" s="3" t="s">
        <v>1439</v>
      </c>
      <c r="B328" s="3" t="s">
        <v>902</v>
      </c>
      <c r="C328" s="3">
        <v>325</v>
      </c>
      <c r="D328" s="5">
        <v>23</v>
      </c>
      <c r="E328" s="3">
        <v>2</v>
      </c>
      <c r="F328" s="3">
        <v>8</v>
      </c>
      <c r="G328" s="3">
        <v>3</v>
      </c>
      <c r="H328" s="3">
        <v>0</v>
      </c>
      <c r="I328" s="3">
        <v>233639</v>
      </c>
      <c r="J328" s="13">
        <v>69.55</v>
      </c>
      <c r="K328" s="3" t="s">
        <v>2210</v>
      </c>
      <c r="L328" s="3" t="s">
        <v>905</v>
      </c>
      <c r="M328" t="str" cm="1">
        <f t="array" ref="M328">_xlfn.IFS(INFO_Pasajeros[[#This Row],[Edad]]&lt;=13,"Niños",INFO_Pasajeros[[#This Row],[Edad]]&lt;=18,"Jóvenes",INFO_Pasajeros[[#This Row],[Edad]]&lt;=50,"Adultos",INFO_Pasajeros[[#This Row],[Edad]]&gt;=51,"Adultos Mayores")</f>
        <v>Adultos</v>
      </c>
    </row>
    <row r="329" spans="1:13" x14ac:dyDescent="0.25">
      <c r="A329" s="3" t="s">
        <v>1440</v>
      </c>
      <c r="B329" s="3" t="s">
        <v>907</v>
      </c>
      <c r="C329" s="3">
        <v>326</v>
      </c>
      <c r="D329" s="5">
        <v>24</v>
      </c>
      <c r="E329" s="3">
        <v>0</v>
      </c>
      <c r="F329" s="3">
        <v>0</v>
      </c>
      <c r="G329" s="3">
        <v>1</v>
      </c>
      <c r="H329" s="3">
        <v>1</v>
      </c>
      <c r="I329" s="3">
        <v>233866</v>
      </c>
      <c r="J329" s="13">
        <v>135.63330000000002</v>
      </c>
      <c r="K329" s="3" t="s">
        <v>2210</v>
      </c>
      <c r="L329" s="3" t="s">
        <v>905</v>
      </c>
      <c r="M329" t="str" cm="1">
        <f t="array" ref="M329">_xlfn.IFS(INFO_Pasajeros[[#This Row],[Edad]]&lt;=13,"Niños",INFO_Pasajeros[[#This Row],[Edad]]&lt;=18,"Jóvenes",INFO_Pasajeros[[#This Row],[Edad]]&lt;=50,"Adultos",INFO_Pasajeros[[#This Row],[Edad]]&gt;=51,"Adultos Mayores")</f>
        <v>Adultos</v>
      </c>
    </row>
    <row r="330" spans="1:13" x14ac:dyDescent="0.25">
      <c r="A330" s="3" t="s">
        <v>1442</v>
      </c>
      <c r="B330" s="3" t="s">
        <v>902</v>
      </c>
      <c r="C330" s="3">
        <v>327</v>
      </c>
      <c r="D330" s="5">
        <v>48</v>
      </c>
      <c r="E330" s="3">
        <v>0</v>
      </c>
      <c r="F330" s="3">
        <v>0</v>
      </c>
      <c r="G330" s="3">
        <v>3</v>
      </c>
      <c r="H330" s="3">
        <v>0</v>
      </c>
      <c r="I330" s="3">
        <v>234360</v>
      </c>
      <c r="J330" s="13">
        <v>62.375</v>
      </c>
      <c r="K330" s="3" t="s">
        <v>2210</v>
      </c>
      <c r="L330" s="3" t="s">
        <v>905</v>
      </c>
      <c r="M330" t="str" cm="1">
        <f t="array" ref="M330">_xlfn.IFS(INFO_Pasajeros[[#This Row],[Edad]]&lt;=13,"Niños",INFO_Pasajeros[[#This Row],[Edad]]&lt;=18,"Jóvenes",INFO_Pasajeros[[#This Row],[Edad]]&lt;=50,"Adultos",INFO_Pasajeros[[#This Row],[Edad]]&gt;=51,"Adultos Mayores")</f>
        <v>Adultos</v>
      </c>
    </row>
    <row r="331" spans="1:13" x14ac:dyDescent="0.25">
      <c r="A331" s="3" t="s">
        <v>1443</v>
      </c>
      <c r="B331" s="3" t="s">
        <v>907</v>
      </c>
      <c r="C331" s="3">
        <v>328</v>
      </c>
      <c r="D331" s="5">
        <v>32</v>
      </c>
      <c r="E331" s="3">
        <v>0</v>
      </c>
      <c r="F331" s="3">
        <v>0</v>
      </c>
      <c r="G331" s="3">
        <v>2</v>
      </c>
      <c r="H331" s="3">
        <v>1</v>
      </c>
      <c r="I331" s="3">
        <v>234604</v>
      </c>
      <c r="J331" s="13">
        <v>13</v>
      </c>
      <c r="K331" s="3" t="s">
        <v>2210</v>
      </c>
      <c r="L331" s="3" t="s">
        <v>905</v>
      </c>
      <c r="M331" t="str" cm="1">
        <f t="array" ref="M331">_xlfn.IFS(INFO_Pasajeros[[#This Row],[Edad]]&lt;=13,"Niños",INFO_Pasajeros[[#This Row],[Edad]]&lt;=18,"Jóvenes",INFO_Pasajeros[[#This Row],[Edad]]&lt;=50,"Adultos",INFO_Pasajeros[[#This Row],[Edad]]&gt;=51,"Adultos Mayores")</f>
        <v>Adultos</v>
      </c>
    </row>
    <row r="332" spans="1:13" x14ac:dyDescent="0.25">
      <c r="A332" s="3" t="s">
        <v>1444</v>
      </c>
      <c r="B332" s="3" t="s">
        <v>907</v>
      </c>
      <c r="C332" s="3">
        <v>329</v>
      </c>
      <c r="D332" s="5">
        <v>25</v>
      </c>
      <c r="E332" s="3">
        <v>1</v>
      </c>
      <c r="F332" s="3">
        <v>1</v>
      </c>
      <c r="G332" s="3">
        <v>3</v>
      </c>
      <c r="H332" s="3">
        <v>1</v>
      </c>
      <c r="I332" s="3">
        <v>234686</v>
      </c>
      <c r="J332" s="13">
        <v>20.524999999999999</v>
      </c>
      <c r="K332" s="3" t="s">
        <v>2210</v>
      </c>
      <c r="L332" s="3" t="s">
        <v>905</v>
      </c>
      <c r="M332" t="str" cm="1">
        <f t="array" ref="M332">_xlfn.IFS(INFO_Pasajeros[[#This Row],[Edad]]&lt;=13,"Niños",INFO_Pasajeros[[#This Row],[Edad]]&lt;=18,"Jóvenes",INFO_Pasajeros[[#This Row],[Edad]]&lt;=50,"Adultos",INFO_Pasajeros[[#This Row],[Edad]]&gt;=51,"Adultos Mayores")</f>
        <v>Adultos</v>
      </c>
    </row>
    <row r="333" spans="1:13" x14ac:dyDescent="0.25">
      <c r="A333" s="3" t="s">
        <v>1445</v>
      </c>
      <c r="B333" s="3" t="s">
        <v>907</v>
      </c>
      <c r="C333" s="3">
        <v>330</v>
      </c>
      <c r="D333" s="5">
        <v>30</v>
      </c>
      <c r="E333" s="3">
        <v>1</v>
      </c>
      <c r="F333" s="3">
        <v>0</v>
      </c>
      <c r="G333" s="3">
        <v>1</v>
      </c>
      <c r="H333" s="3">
        <v>1</v>
      </c>
      <c r="I333" s="3">
        <v>234818</v>
      </c>
      <c r="J333" s="13">
        <v>579.79200000000003</v>
      </c>
      <c r="K333" s="3" t="s">
        <v>2210</v>
      </c>
      <c r="L333" s="3" t="s">
        <v>919</v>
      </c>
      <c r="M333" t="str" cm="1">
        <f t="array" ref="M333">_xlfn.IFS(INFO_Pasajeros[[#This Row],[Edad]]&lt;=13,"Niños",INFO_Pasajeros[[#This Row],[Edad]]&lt;=18,"Jóvenes",INFO_Pasajeros[[#This Row],[Edad]]&lt;=50,"Adultos",INFO_Pasajeros[[#This Row],[Edad]]&gt;=51,"Adultos Mayores")</f>
        <v>Adultos</v>
      </c>
    </row>
    <row r="334" spans="1:13" x14ac:dyDescent="0.25">
      <c r="A334" s="3" t="s">
        <v>1447</v>
      </c>
      <c r="B334" s="3" t="s">
        <v>907</v>
      </c>
      <c r="C334" s="3">
        <v>331</v>
      </c>
      <c r="D334" s="5">
        <v>18</v>
      </c>
      <c r="E334" s="3">
        <v>0</v>
      </c>
      <c r="F334" s="3">
        <v>2</v>
      </c>
      <c r="G334" s="3">
        <v>3</v>
      </c>
      <c r="H334" s="3">
        <v>1</v>
      </c>
      <c r="I334" s="3">
        <v>236171</v>
      </c>
      <c r="J334" s="13">
        <v>23.25</v>
      </c>
      <c r="K334" s="3" t="s">
        <v>2210</v>
      </c>
      <c r="L334" s="3" t="s">
        <v>905</v>
      </c>
      <c r="M334" t="str" cm="1">
        <f t="array" ref="M334">_xlfn.IFS(INFO_Pasajeros[[#This Row],[Edad]]&lt;=13,"Niños",INFO_Pasajeros[[#This Row],[Edad]]&lt;=18,"Jóvenes",INFO_Pasajeros[[#This Row],[Edad]]&lt;=50,"Adultos",INFO_Pasajeros[[#This Row],[Edad]]&gt;=51,"Adultos Mayores")</f>
        <v>Jóvenes</v>
      </c>
    </row>
    <row r="335" spans="1:13" x14ac:dyDescent="0.25">
      <c r="A335" s="3" t="s">
        <v>1448</v>
      </c>
      <c r="B335" s="3" t="s">
        <v>902</v>
      </c>
      <c r="C335" s="3">
        <v>332</v>
      </c>
      <c r="D335" s="5">
        <v>42</v>
      </c>
      <c r="E335" s="3">
        <v>0</v>
      </c>
      <c r="F335" s="3">
        <v>0</v>
      </c>
      <c r="G335" s="3">
        <v>1</v>
      </c>
      <c r="H335" s="3">
        <v>0</v>
      </c>
      <c r="I335" s="3">
        <v>236852</v>
      </c>
      <c r="J335" s="13">
        <v>28.5</v>
      </c>
      <c r="K335" s="3" t="s">
        <v>2210</v>
      </c>
      <c r="L335" s="3" t="s">
        <v>905</v>
      </c>
      <c r="M335" t="str" cm="1">
        <f t="array" ref="M335">_xlfn.IFS(INFO_Pasajeros[[#This Row],[Edad]]&lt;=13,"Niños",INFO_Pasajeros[[#This Row],[Edad]]&lt;=18,"Jóvenes",INFO_Pasajeros[[#This Row],[Edad]]&lt;=50,"Adultos",INFO_Pasajeros[[#This Row],[Edad]]&gt;=51,"Adultos Mayores")</f>
        <v>Adultos</v>
      </c>
    </row>
    <row r="336" spans="1:13" x14ac:dyDescent="0.25">
      <c r="A336" s="3" t="s">
        <v>1450</v>
      </c>
      <c r="B336" s="3" t="s">
        <v>902</v>
      </c>
      <c r="C336" s="3">
        <v>333</v>
      </c>
      <c r="D336" s="5">
        <v>25</v>
      </c>
      <c r="E336" s="3">
        <v>1</v>
      </c>
      <c r="F336" s="3">
        <v>0</v>
      </c>
      <c r="G336" s="3">
        <v>1</v>
      </c>
      <c r="H336" s="3">
        <v>0</v>
      </c>
      <c r="I336" s="3">
        <v>236853</v>
      </c>
      <c r="J336" s="13">
        <v>153.46250000000001</v>
      </c>
      <c r="K336" s="3" t="s">
        <v>2210</v>
      </c>
      <c r="L336" s="3" t="s">
        <v>905</v>
      </c>
      <c r="M336" t="str" cm="1">
        <f t="array" ref="M336">_xlfn.IFS(INFO_Pasajeros[[#This Row],[Edad]]&lt;=13,"Niños",INFO_Pasajeros[[#This Row],[Edad]]&lt;=18,"Jóvenes",INFO_Pasajeros[[#This Row],[Edad]]&lt;=50,"Adultos",INFO_Pasajeros[[#This Row],[Edad]]&gt;=51,"Adultos Mayores")</f>
        <v>Adultos</v>
      </c>
    </row>
    <row r="337" spans="1:13" x14ac:dyDescent="0.25">
      <c r="A337" s="3" t="s">
        <v>1452</v>
      </c>
      <c r="B337" s="3" t="s">
        <v>902</v>
      </c>
      <c r="C337" s="3">
        <v>334</v>
      </c>
      <c r="D337" s="5">
        <v>59</v>
      </c>
      <c r="E337" s="3">
        <v>0</v>
      </c>
      <c r="F337" s="3">
        <v>2</v>
      </c>
      <c r="G337" s="3">
        <v>3</v>
      </c>
      <c r="H337" s="3">
        <v>0</v>
      </c>
      <c r="I337" s="3">
        <v>237442</v>
      </c>
      <c r="J337" s="13">
        <v>18</v>
      </c>
      <c r="K337" s="3" t="s">
        <v>2210</v>
      </c>
      <c r="L337" s="3" t="s">
        <v>905</v>
      </c>
      <c r="M337" t="str" cm="1">
        <f t="array" ref="M337">_xlfn.IFS(INFO_Pasajeros[[#This Row],[Edad]]&lt;=13,"Niños",INFO_Pasajeros[[#This Row],[Edad]]&lt;=18,"Jóvenes",INFO_Pasajeros[[#This Row],[Edad]]&lt;=50,"Adultos",INFO_Pasajeros[[#This Row],[Edad]]&gt;=51,"Adultos Mayores")</f>
        <v>Adultos Mayores</v>
      </c>
    </row>
    <row r="338" spans="1:13" x14ac:dyDescent="0.25">
      <c r="A338" s="3" t="s">
        <v>1453</v>
      </c>
      <c r="B338" s="3" t="s">
        <v>907</v>
      </c>
      <c r="C338" s="3">
        <v>335</v>
      </c>
      <c r="D338" s="5">
        <v>47</v>
      </c>
      <c r="E338" s="3">
        <v>0</v>
      </c>
      <c r="F338" s="3">
        <v>1</v>
      </c>
      <c r="G338" s="3">
        <v>1</v>
      </c>
      <c r="H338" s="3">
        <v>1</v>
      </c>
      <c r="I338" s="3">
        <v>237565</v>
      </c>
      <c r="J338" s="13">
        <v>133.65</v>
      </c>
      <c r="K338" s="3" t="s">
        <v>2210</v>
      </c>
      <c r="L338" s="3" t="s">
        <v>905</v>
      </c>
      <c r="M338" t="str" cm="1">
        <f t="array" ref="M338">_xlfn.IFS(INFO_Pasajeros[[#This Row],[Edad]]&lt;=13,"Niños",INFO_Pasajeros[[#This Row],[Edad]]&lt;=18,"Jóvenes",INFO_Pasajeros[[#This Row],[Edad]]&lt;=50,"Adultos",INFO_Pasajeros[[#This Row],[Edad]]&gt;=51,"Adultos Mayores")</f>
        <v>Adultos</v>
      </c>
    </row>
    <row r="339" spans="1:13" x14ac:dyDescent="0.25">
      <c r="A339" s="3" t="s">
        <v>1456</v>
      </c>
      <c r="B339" s="3" t="s">
        <v>902</v>
      </c>
      <c r="C339" s="3">
        <v>336</v>
      </c>
      <c r="D339" s="5">
        <v>28</v>
      </c>
      <c r="E339" s="3">
        <v>0</v>
      </c>
      <c r="F339" s="3">
        <v>0</v>
      </c>
      <c r="G339" s="3">
        <v>3</v>
      </c>
      <c r="H339" s="3">
        <v>0</v>
      </c>
      <c r="I339" s="3">
        <v>237668</v>
      </c>
      <c r="J339" s="13">
        <v>78.957999999999998</v>
      </c>
      <c r="K339" s="3" t="s">
        <v>2210</v>
      </c>
      <c r="L339" s="3" t="s">
        <v>905</v>
      </c>
      <c r="M339" t="str" cm="1">
        <f t="array" ref="M339">_xlfn.IFS(INFO_Pasajeros[[#This Row],[Edad]]&lt;=13,"Niños",INFO_Pasajeros[[#This Row],[Edad]]&lt;=18,"Jóvenes",INFO_Pasajeros[[#This Row],[Edad]]&lt;=50,"Adultos",INFO_Pasajeros[[#This Row],[Edad]]&gt;=51,"Adultos Mayores")</f>
        <v>Adultos</v>
      </c>
    </row>
    <row r="340" spans="1:13" x14ac:dyDescent="0.25">
      <c r="A340" s="3" t="s">
        <v>1457</v>
      </c>
      <c r="B340" s="3" t="s">
        <v>902</v>
      </c>
      <c r="C340" s="3">
        <v>337</v>
      </c>
      <c r="D340" s="5">
        <v>38</v>
      </c>
      <c r="E340" s="3">
        <v>0</v>
      </c>
      <c r="F340" s="3">
        <v>1</v>
      </c>
      <c r="G340" s="3">
        <v>1</v>
      </c>
      <c r="H340" s="3">
        <v>0</v>
      </c>
      <c r="I340" s="3">
        <v>237671</v>
      </c>
      <c r="J340" s="13">
        <v>66.599999999999994</v>
      </c>
      <c r="K340" s="3" t="s">
        <v>2210</v>
      </c>
      <c r="L340" s="3" t="s">
        <v>905</v>
      </c>
      <c r="M340" t="str" cm="1">
        <f t="array" ref="M340">_xlfn.IFS(INFO_Pasajeros[[#This Row],[Edad]]&lt;=13,"Niños",INFO_Pasajeros[[#This Row],[Edad]]&lt;=18,"Jóvenes",INFO_Pasajeros[[#This Row],[Edad]]&lt;=50,"Adultos",INFO_Pasajeros[[#This Row],[Edad]]&gt;=51,"Adultos Mayores")</f>
        <v>Adultos</v>
      </c>
    </row>
    <row r="341" spans="1:13" x14ac:dyDescent="0.25">
      <c r="A341" s="3" t="s">
        <v>1458</v>
      </c>
      <c r="B341" s="3" t="s">
        <v>907</v>
      </c>
      <c r="C341" s="3">
        <v>338</v>
      </c>
      <c r="D341" s="5">
        <v>14</v>
      </c>
      <c r="E341" s="3">
        <v>0</v>
      </c>
      <c r="F341" s="3">
        <v>0</v>
      </c>
      <c r="G341" s="3">
        <v>1</v>
      </c>
      <c r="H341" s="3">
        <v>1</v>
      </c>
      <c r="I341" s="3">
        <v>237736</v>
      </c>
      <c r="J341" s="13">
        <v>134.5</v>
      </c>
      <c r="K341" s="3" t="s">
        <v>2210</v>
      </c>
      <c r="L341" s="3" t="s">
        <v>910</v>
      </c>
      <c r="M341" t="str" cm="1">
        <f t="array" ref="M341">_xlfn.IFS(INFO_Pasajeros[[#This Row],[Edad]]&lt;=13,"Niños",INFO_Pasajeros[[#This Row],[Edad]]&lt;=18,"Jóvenes",INFO_Pasajeros[[#This Row],[Edad]]&lt;=50,"Adultos",INFO_Pasajeros[[#This Row],[Edad]]&gt;=51,"Adultos Mayores")</f>
        <v>Jóvenes</v>
      </c>
    </row>
    <row r="342" spans="1:13" x14ac:dyDescent="0.25">
      <c r="A342" s="3" t="s">
        <v>1460</v>
      </c>
      <c r="B342" s="3" t="s">
        <v>902</v>
      </c>
      <c r="C342" s="3">
        <v>339</v>
      </c>
      <c r="D342" s="5">
        <v>33</v>
      </c>
      <c r="E342" s="3">
        <v>0</v>
      </c>
      <c r="F342" s="3">
        <v>0</v>
      </c>
      <c r="G342" s="3">
        <v>3</v>
      </c>
      <c r="H342" s="3">
        <v>1</v>
      </c>
      <c r="I342" s="3">
        <v>237736</v>
      </c>
      <c r="J342" s="13">
        <v>8.0500000000000007</v>
      </c>
      <c r="K342" s="3" t="s">
        <v>2210</v>
      </c>
      <c r="L342" s="3" t="s">
        <v>910</v>
      </c>
      <c r="M342" t="str" cm="1">
        <f t="array" ref="M342">_xlfn.IFS(INFO_Pasajeros[[#This Row],[Edad]]&lt;=13,"Niños",INFO_Pasajeros[[#This Row],[Edad]]&lt;=18,"Jóvenes",INFO_Pasajeros[[#This Row],[Edad]]&lt;=50,"Adultos",INFO_Pasajeros[[#This Row],[Edad]]&gt;=51,"Adultos Mayores")</f>
        <v>Adultos</v>
      </c>
    </row>
    <row r="343" spans="1:13" x14ac:dyDescent="0.25">
      <c r="A343" s="3" t="s">
        <v>1461</v>
      </c>
      <c r="B343" s="3" t="s">
        <v>902</v>
      </c>
      <c r="C343" s="3">
        <v>340</v>
      </c>
      <c r="D343" s="5">
        <v>25</v>
      </c>
      <c r="E343" s="3">
        <v>0</v>
      </c>
      <c r="F343" s="3">
        <v>0</v>
      </c>
      <c r="G343" s="3">
        <v>1</v>
      </c>
      <c r="H343" s="3">
        <v>0</v>
      </c>
      <c r="I343" s="3">
        <v>237789</v>
      </c>
      <c r="J343" s="13">
        <v>35.5</v>
      </c>
      <c r="K343" s="3" t="s">
        <v>2210</v>
      </c>
      <c r="L343" s="3" t="s">
        <v>905</v>
      </c>
      <c r="M343" t="str" cm="1">
        <f t="array" ref="M343">_xlfn.IFS(INFO_Pasajeros[[#This Row],[Edad]]&lt;=13,"Niños",INFO_Pasajeros[[#This Row],[Edad]]&lt;=18,"Jóvenes",INFO_Pasajeros[[#This Row],[Edad]]&lt;=50,"Adultos",INFO_Pasajeros[[#This Row],[Edad]]&gt;=51,"Adultos Mayores")</f>
        <v>Adultos</v>
      </c>
    </row>
    <row r="344" spans="1:13" x14ac:dyDescent="0.25">
      <c r="A344" s="3" t="s">
        <v>1463</v>
      </c>
      <c r="B344" s="3" t="s">
        <v>902</v>
      </c>
      <c r="C344" s="3">
        <v>341</v>
      </c>
      <c r="D344" s="5">
        <v>42</v>
      </c>
      <c r="E344" s="3">
        <v>1</v>
      </c>
      <c r="F344" s="3">
        <v>1</v>
      </c>
      <c r="G344" s="3">
        <v>2</v>
      </c>
      <c r="H344" s="3">
        <v>1</v>
      </c>
      <c r="I344" s="3">
        <v>237798</v>
      </c>
      <c r="J344" s="13">
        <v>26</v>
      </c>
      <c r="K344" s="3" t="s">
        <v>2210</v>
      </c>
      <c r="L344" s="3" t="s">
        <v>905</v>
      </c>
      <c r="M344" t="str" cm="1">
        <f t="array" ref="M344">_xlfn.IFS(INFO_Pasajeros[[#This Row],[Edad]]&lt;=13,"Niños",INFO_Pasajeros[[#This Row],[Edad]]&lt;=18,"Jóvenes",INFO_Pasajeros[[#This Row],[Edad]]&lt;=50,"Adultos",INFO_Pasajeros[[#This Row],[Edad]]&gt;=51,"Adultos Mayores")</f>
        <v>Adultos</v>
      </c>
    </row>
    <row r="345" spans="1:13" x14ac:dyDescent="0.25">
      <c r="A345" s="3" t="s">
        <v>1464</v>
      </c>
      <c r="B345" s="3" t="s">
        <v>907</v>
      </c>
      <c r="C345" s="3">
        <v>342</v>
      </c>
      <c r="D345" s="5">
        <v>33</v>
      </c>
      <c r="E345" s="3">
        <v>2</v>
      </c>
      <c r="F345" s="3">
        <v>3</v>
      </c>
      <c r="G345" s="3">
        <v>1</v>
      </c>
      <c r="H345" s="3">
        <v>1</v>
      </c>
      <c r="I345" s="3">
        <v>239853</v>
      </c>
      <c r="J345" s="13">
        <v>263</v>
      </c>
      <c r="K345" s="3" t="s">
        <v>2210</v>
      </c>
      <c r="L345" s="3" t="s">
        <v>905</v>
      </c>
      <c r="M345" t="str" cm="1">
        <f t="array" ref="M345">_xlfn.IFS(INFO_Pasajeros[[#This Row],[Edad]]&lt;=13,"Niños",INFO_Pasajeros[[#This Row],[Edad]]&lt;=18,"Jóvenes",INFO_Pasajeros[[#This Row],[Edad]]&lt;=50,"Adultos",INFO_Pasajeros[[#This Row],[Edad]]&gt;=51,"Adultos Mayores")</f>
        <v>Adultos</v>
      </c>
    </row>
    <row r="346" spans="1:13" x14ac:dyDescent="0.25">
      <c r="A346" s="3" t="s">
        <v>1465</v>
      </c>
      <c r="B346" s="3" t="s">
        <v>902</v>
      </c>
      <c r="C346" s="3">
        <v>343</v>
      </c>
      <c r="D346" s="5">
        <v>15</v>
      </c>
      <c r="E346" s="3">
        <v>0</v>
      </c>
      <c r="F346" s="3">
        <v>0</v>
      </c>
      <c r="G346" s="3">
        <v>2</v>
      </c>
      <c r="H346" s="3">
        <v>0</v>
      </c>
      <c r="I346" s="3">
        <v>239853</v>
      </c>
      <c r="J346" s="13">
        <v>13</v>
      </c>
      <c r="K346" s="3" t="s">
        <v>2210</v>
      </c>
      <c r="L346" s="3" t="s">
        <v>905</v>
      </c>
      <c r="M346" t="str" cm="1">
        <f t="array" ref="M346">_xlfn.IFS(INFO_Pasajeros[[#This Row],[Edad]]&lt;=13,"Niños",INFO_Pasajeros[[#This Row],[Edad]]&lt;=18,"Jóvenes",INFO_Pasajeros[[#This Row],[Edad]]&lt;=50,"Adultos",INFO_Pasajeros[[#This Row],[Edad]]&gt;=51,"Adultos Mayores")</f>
        <v>Jóvenes</v>
      </c>
    </row>
    <row r="347" spans="1:13" x14ac:dyDescent="0.25">
      <c r="A347" s="3" t="s">
        <v>1466</v>
      </c>
      <c r="B347" s="3" t="s">
        <v>902</v>
      </c>
      <c r="C347" s="3">
        <v>344</v>
      </c>
      <c r="D347" s="5">
        <v>29</v>
      </c>
      <c r="E347" s="3">
        <v>0</v>
      </c>
      <c r="F347" s="3">
        <v>0</v>
      </c>
      <c r="G347" s="3">
        <v>2</v>
      </c>
      <c r="H347" s="3">
        <v>0</v>
      </c>
      <c r="I347" s="3">
        <v>239853</v>
      </c>
      <c r="J347" s="13">
        <v>13</v>
      </c>
      <c r="K347" s="3" t="s">
        <v>2210</v>
      </c>
      <c r="L347" s="3" t="s">
        <v>905</v>
      </c>
      <c r="M347" t="str" cm="1">
        <f t="array" ref="M347">_xlfn.IFS(INFO_Pasajeros[[#This Row],[Edad]]&lt;=13,"Niños",INFO_Pasajeros[[#This Row],[Edad]]&lt;=18,"Jóvenes",INFO_Pasajeros[[#This Row],[Edad]]&lt;=50,"Adultos",INFO_Pasajeros[[#This Row],[Edad]]&gt;=51,"Adultos Mayores")</f>
        <v>Adultos</v>
      </c>
    </row>
    <row r="348" spans="1:13" x14ac:dyDescent="0.25">
      <c r="A348" s="3" t="s">
        <v>1467</v>
      </c>
      <c r="B348" s="3" t="s">
        <v>902</v>
      </c>
      <c r="C348" s="3">
        <v>345</v>
      </c>
      <c r="D348" s="5">
        <v>71</v>
      </c>
      <c r="E348" s="3">
        <v>0</v>
      </c>
      <c r="F348" s="3">
        <v>0</v>
      </c>
      <c r="G348" s="3">
        <v>2</v>
      </c>
      <c r="H348" s="3">
        <v>0</v>
      </c>
      <c r="I348" s="3">
        <v>239854</v>
      </c>
      <c r="J348" s="13">
        <v>13</v>
      </c>
      <c r="K348" s="3" t="s">
        <v>2210</v>
      </c>
      <c r="L348" s="3" t="s">
        <v>905</v>
      </c>
      <c r="M348" t="str" cm="1">
        <f t="array" ref="M348">_xlfn.IFS(INFO_Pasajeros[[#This Row],[Edad]]&lt;=13,"Niños",INFO_Pasajeros[[#This Row],[Edad]]&lt;=18,"Jóvenes",INFO_Pasajeros[[#This Row],[Edad]]&lt;=50,"Adultos",INFO_Pasajeros[[#This Row],[Edad]]&gt;=51,"Adultos Mayores")</f>
        <v>Adultos Mayores</v>
      </c>
    </row>
    <row r="349" spans="1:13" x14ac:dyDescent="0.25">
      <c r="A349" s="3" t="s">
        <v>1468</v>
      </c>
      <c r="B349" s="3" t="s">
        <v>907</v>
      </c>
      <c r="C349" s="3">
        <v>346</v>
      </c>
      <c r="D349" s="5">
        <v>5</v>
      </c>
      <c r="E349" s="3">
        <v>0</v>
      </c>
      <c r="F349" s="3">
        <v>0</v>
      </c>
      <c r="G349" s="3">
        <v>2</v>
      </c>
      <c r="H349" s="3">
        <v>1</v>
      </c>
      <c r="I349" s="3">
        <v>239855</v>
      </c>
      <c r="J349" s="13">
        <v>13</v>
      </c>
      <c r="K349" s="3" t="s">
        <v>2210</v>
      </c>
      <c r="L349" s="3" t="s">
        <v>905</v>
      </c>
      <c r="M349" t="str" cm="1">
        <f t="array" ref="M349">_xlfn.IFS(INFO_Pasajeros[[#This Row],[Edad]]&lt;=13,"Niños",INFO_Pasajeros[[#This Row],[Edad]]&lt;=18,"Jóvenes",INFO_Pasajeros[[#This Row],[Edad]]&lt;=50,"Adultos",INFO_Pasajeros[[#This Row],[Edad]]&gt;=51,"Adultos Mayores")</f>
        <v>Niños</v>
      </c>
    </row>
    <row r="350" spans="1:13" x14ac:dyDescent="0.25">
      <c r="A350" s="3" t="s">
        <v>1469</v>
      </c>
      <c r="B350" s="3" t="s">
        <v>907</v>
      </c>
      <c r="C350" s="3">
        <v>347</v>
      </c>
      <c r="D350" s="5">
        <v>56</v>
      </c>
      <c r="E350" s="3">
        <v>0</v>
      </c>
      <c r="F350" s="3">
        <v>0</v>
      </c>
      <c r="G350" s="3">
        <v>2</v>
      </c>
      <c r="H350" s="3">
        <v>1</v>
      </c>
      <c r="I350" s="3">
        <v>239856</v>
      </c>
      <c r="J350" s="13">
        <v>13</v>
      </c>
      <c r="K350" s="3" t="s">
        <v>2210</v>
      </c>
      <c r="L350" s="3" t="s">
        <v>905</v>
      </c>
      <c r="M350" t="str" cm="1">
        <f t="array" ref="M350">_xlfn.IFS(INFO_Pasajeros[[#This Row],[Edad]]&lt;=13,"Niños",INFO_Pasajeros[[#This Row],[Edad]]&lt;=18,"Jóvenes",INFO_Pasajeros[[#This Row],[Edad]]&lt;=50,"Adultos",INFO_Pasajeros[[#This Row],[Edad]]&gt;=51,"Adultos Mayores")</f>
        <v>Adultos Mayores</v>
      </c>
    </row>
    <row r="351" spans="1:13" x14ac:dyDescent="0.25">
      <c r="A351" s="3" t="s">
        <v>1470</v>
      </c>
      <c r="B351" s="3" t="s">
        <v>907</v>
      </c>
      <c r="C351" s="3">
        <v>348</v>
      </c>
      <c r="D351" s="5">
        <v>35</v>
      </c>
      <c r="E351" s="3">
        <v>0</v>
      </c>
      <c r="F351" s="3">
        <v>1</v>
      </c>
      <c r="G351" s="3">
        <v>3</v>
      </c>
      <c r="H351" s="3">
        <v>1</v>
      </c>
      <c r="I351" s="3">
        <v>239865</v>
      </c>
      <c r="J351" s="13">
        <v>16.100000000000001</v>
      </c>
      <c r="K351" s="3" t="s">
        <v>2210</v>
      </c>
      <c r="L351" s="3" t="s">
        <v>905</v>
      </c>
      <c r="M351" t="str" cm="1">
        <f t="array" ref="M351">_xlfn.IFS(INFO_Pasajeros[[#This Row],[Edad]]&lt;=13,"Niños",INFO_Pasajeros[[#This Row],[Edad]]&lt;=18,"Jóvenes",INFO_Pasajeros[[#This Row],[Edad]]&lt;=50,"Adultos",INFO_Pasajeros[[#This Row],[Edad]]&gt;=51,"Adultos Mayores")</f>
        <v>Adultos</v>
      </c>
    </row>
    <row r="352" spans="1:13" x14ac:dyDescent="0.25">
      <c r="A352" s="3" t="s">
        <v>1471</v>
      </c>
      <c r="B352" s="3" t="s">
        <v>902</v>
      </c>
      <c r="C352" s="3">
        <v>349</v>
      </c>
      <c r="D352" s="5">
        <v>16</v>
      </c>
      <c r="E352" s="3">
        <v>1</v>
      </c>
      <c r="F352" s="3">
        <v>1</v>
      </c>
      <c r="G352" s="3">
        <v>3</v>
      </c>
      <c r="H352" s="3">
        <v>1</v>
      </c>
      <c r="I352" s="3">
        <v>239865</v>
      </c>
      <c r="J352" s="13">
        <v>15.9</v>
      </c>
      <c r="K352" s="3" t="s">
        <v>2210</v>
      </c>
      <c r="L352" s="3" t="s">
        <v>905</v>
      </c>
      <c r="M352" t="str" cm="1">
        <f t="array" ref="M352">_xlfn.IFS(INFO_Pasajeros[[#This Row],[Edad]]&lt;=13,"Niños",INFO_Pasajeros[[#This Row],[Edad]]&lt;=18,"Jóvenes",INFO_Pasajeros[[#This Row],[Edad]]&lt;=50,"Adultos",INFO_Pasajeros[[#This Row],[Edad]]&gt;=51,"Adultos Mayores")</f>
        <v>Jóvenes</v>
      </c>
    </row>
    <row r="353" spans="1:13" x14ac:dyDescent="0.25">
      <c r="A353" s="3" t="s">
        <v>1474</v>
      </c>
      <c r="B353" s="3" t="s">
        <v>902</v>
      </c>
      <c r="C353" s="3">
        <v>350</v>
      </c>
      <c r="D353" s="5">
        <v>28</v>
      </c>
      <c r="E353" s="3">
        <v>0</v>
      </c>
      <c r="F353" s="3">
        <v>0</v>
      </c>
      <c r="G353" s="3">
        <v>3</v>
      </c>
      <c r="H353" s="3">
        <v>0</v>
      </c>
      <c r="I353" s="3">
        <v>240929</v>
      </c>
      <c r="J353" s="13">
        <v>86.625</v>
      </c>
      <c r="K353" s="3" t="s">
        <v>2210</v>
      </c>
      <c r="L353" s="3" t="s">
        <v>905</v>
      </c>
      <c r="M353" t="str" cm="1">
        <f t="array" ref="M353">_xlfn.IFS(INFO_Pasajeros[[#This Row],[Edad]]&lt;=13,"Niños",INFO_Pasajeros[[#This Row],[Edad]]&lt;=18,"Jóvenes",INFO_Pasajeros[[#This Row],[Edad]]&lt;=50,"Adultos",INFO_Pasajeros[[#This Row],[Edad]]&gt;=51,"Adultos Mayores")</f>
        <v>Adultos</v>
      </c>
    </row>
    <row r="354" spans="1:13" x14ac:dyDescent="0.25">
      <c r="A354" s="3" t="s">
        <v>1475</v>
      </c>
      <c r="B354" s="3" t="s">
        <v>902</v>
      </c>
      <c r="C354" s="3">
        <v>351</v>
      </c>
      <c r="D354" s="5">
        <v>42</v>
      </c>
      <c r="E354" s="3">
        <v>0</v>
      </c>
      <c r="F354" s="3">
        <v>0</v>
      </c>
      <c r="G354" s="3">
        <v>3</v>
      </c>
      <c r="H354" s="3">
        <v>0</v>
      </c>
      <c r="I354" s="3">
        <v>243847</v>
      </c>
      <c r="J354" s="13">
        <v>9.2249999999999996</v>
      </c>
      <c r="K354" s="3" t="s">
        <v>2210</v>
      </c>
      <c r="L354" s="3" t="s">
        <v>905</v>
      </c>
      <c r="M354" t="str" cm="1">
        <f t="array" ref="M354">_xlfn.IFS(INFO_Pasajeros[[#This Row],[Edad]]&lt;=13,"Niños",INFO_Pasajeros[[#This Row],[Edad]]&lt;=18,"Jóvenes",INFO_Pasajeros[[#This Row],[Edad]]&lt;=50,"Adultos",INFO_Pasajeros[[#This Row],[Edad]]&gt;=51,"Adultos Mayores")</f>
        <v>Adultos</v>
      </c>
    </row>
    <row r="355" spans="1:13" x14ac:dyDescent="0.25">
      <c r="A355" s="3" t="s">
        <v>1476</v>
      </c>
      <c r="B355" s="3" t="s">
        <v>902</v>
      </c>
      <c r="C355" s="3">
        <v>352</v>
      </c>
      <c r="D355" s="5">
        <v>24</v>
      </c>
      <c r="E355" s="3">
        <v>0</v>
      </c>
      <c r="F355" s="3">
        <v>0</v>
      </c>
      <c r="G355" s="3">
        <v>1</v>
      </c>
      <c r="H355" s="3">
        <v>0</v>
      </c>
      <c r="I355" s="3">
        <v>243847</v>
      </c>
      <c r="J355" s="13">
        <v>35</v>
      </c>
      <c r="K355" s="3" t="s">
        <v>2210</v>
      </c>
      <c r="L355" s="3" t="s">
        <v>905</v>
      </c>
      <c r="M355" t="str" cm="1">
        <f t="array" ref="M355">_xlfn.IFS(INFO_Pasajeros[[#This Row],[Edad]]&lt;=13,"Niños",INFO_Pasajeros[[#This Row],[Edad]]&lt;=18,"Jóvenes",INFO_Pasajeros[[#This Row],[Edad]]&lt;=50,"Adultos",INFO_Pasajeros[[#This Row],[Edad]]&gt;=51,"Adultos Mayores")</f>
        <v>Adultos</v>
      </c>
    </row>
    <row r="356" spans="1:13" x14ac:dyDescent="0.25">
      <c r="A356" s="3" t="s">
        <v>1478</v>
      </c>
      <c r="B356" s="3" t="s">
        <v>902</v>
      </c>
      <c r="C356" s="3">
        <v>353</v>
      </c>
      <c r="D356" s="5">
        <v>34</v>
      </c>
      <c r="E356" s="3">
        <v>1</v>
      </c>
      <c r="F356" s="3">
        <v>1</v>
      </c>
      <c r="G356" s="3">
        <v>3</v>
      </c>
      <c r="H356" s="3">
        <v>0</v>
      </c>
      <c r="I356" s="3">
        <v>243880</v>
      </c>
      <c r="J356" s="13">
        <v>72.292000000000002</v>
      </c>
      <c r="K356" s="3" t="s">
        <v>2210</v>
      </c>
      <c r="L356" s="3" t="s">
        <v>905</v>
      </c>
      <c r="M356" t="str" cm="1">
        <f t="array" ref="M356">_xlfn.IFS(INFO_Pasajeros[[#This Row],[Edad]]&lt;=13,"Niños",INFO_Pasajeros[[#This Row],[Edad]]&lt;=18,"Jóvenes",INFO_Pasajeros[[#This Row],[Edad]]&lt;=50,"Adultos",INFO_Pasajeros[[#This Row],[Edad]]&gt;=51,"Adultos Mayores")</f>
        <v>Adultos</v>
      </c>
    </row>
    <row r="357" spans="1:13" x14ac:dyDescent="0.25">
      <c r="A357" s="3" t="s">
        <v>1479</v>
      </c>
      <c r="B357" s="3" t="s">
        <v>902</v>
      </c>
      <c r="C357" s="3">
        <v>354</v>
      </c>
      <c r="D357" s="5">
        <v>54</v>
      </c>
      <c r="E357" s="3">
        <v>0</v>
      </c>
      <c r="F357" s="3">
        <v>1</v>
      </c>
      <c r="G357" s="3">
        <v>3</v>
      </c>
      <c r="H357" s="3">
        <v>0</v>
      </c>
      <c r="I357" s="3">
        <v>244252</v>
      </c>
      <c r="J357" s="13">
        <v>17.8</v>
      </c>
      <c r="K357" s="3" t="s">
        <v>2210</v>
      </c>
      <c r="L357" s="3" t="s">
        <v>905</v>
      </c>
      <c r="M357" t="str" cm="1">
        <f t="array" ref="M357">_xlfn.IFS(INFO_Pasajeros[[#This Row],[Edad]]&lt;=13,"Niños",INFO_Pasajeros[[#This Row],[Edad]]&lt;=18,"Jóvenes",INFO_Pasajeros[[#This Row],[Edad]]&lt;=50,"Adultos",INFO_Pasajeros[[#This Row],[Edad]]&gt;=51,"Adultos Mayores")</f>
        <v>Adultos Mayores</v>
      </c>
    </row>
    <row r="358" spans="1:13" x14ac:dyDescent="0.25">
      <c r="A358" s="3" t="s">
        <v>1480</v>
      </c>
      <c r="B358" s="3" t="s">
        <v>902</v>
      </c>
      <c r="C358" s="3">
        <v>355</v>
      </c>
      <c r="D358" s="5">
        <v>44</v>
      </c>
      <c r="E358" s="3">
        <v>0</v>
      </c>
      <c r="F358" s="3">
        <v>0</v>
      </c>
      <c r="G358" s="3">
        <v>3</v>
      </c>
      <c r="H358" s="3">
        <v>0</v>
      </c>
      <c r="I358" s="3">
        <v>244252</v>
      </c>
      <c r="J358" s="13">
        <v>7.2249999999999996</v>
      </c>
      <c r="K358" s="3" t="s">
        <v>2210</v>
      </c>
      <c r="L358" s="3" t="s">
        <v>905</v>
      </c>
      <c r="M358" t="str" cm="1">
        <f t="array" ref="M358">_xlfn.IFS(INFO_Pasajeros[[#This Row],[Edad]]&lt;=13,"Niños",INFO_Pasajeros[[#This Row],[Edad]]&lt;=18,"Jóvenes",INFO_Pasajeros[[#This Row],[Edad]]&lt;=50,"Adultos",INFO_Pasajeros[[#This Row],[Edad]]&gt;=51,"Adultos Mayores")</f>
        <v>Adultos</v>
      </c>
    </row>
    <row r="359" spans="1:13" x14ac:dyDescent="0.25">
      <c r="A359" s="3" t="s">
        <v>1481</v>
      </c>
      <c r="B359" s="3" t="s">
        <v>902</v>
      </c>
      <c r="C359" s="3">
        <v>356</v>
      </c>
      <c r="D359" s="5">
        <v>31</v>
      </c>
      <c r="E359" s="3">
        <v>0</v>
      </c>
      <c r="F359" s="3">
        <v>0</v>
      </c>
      <c r="G359" s="3">
        <v>3</v>
      </c>
      <c r="H359" s="3">
        <v>0</v>
      </c>
      <c r="I359" s="3">
        <v>244270</v>
      </c>
      <c r="J359" s="13">
        <v>9.5</v>
      </c>
      <c r="K359" s="3" t="s">
        <v>2210</v>
      </c>
      <c r="L359" s="3" t="s">
        <v>905</v>
      </c>
      <c r="M359" t="str" cm="1">
        <f t="array" ref="M359">_xlfn.IFS(INFO_Pasajeros[[#This Row],[Edad]]&lt;=13,"Niños",INFO_Pasajeros[[#This Row],[Edad]]&lt;=18,"Jóvenes",INFO_Pasajeros[[#This Row],[Edad]]&lt;=50,"Adultos",INFO_Pasajeros[[#This Row],[Edad]]&gt;=51,"Adultos Mayores")</f>
        <v>Adultos</v>
      </c>
    </row>
    <row r="360" spans="1:13" x14ac:dyDescent="0.25">
      <c r="A360" s="3" t="s">
        <v>1482</v>
      </c>
      <c r="B360" s="3" t="s">
        <v>907</v>
      </c>
      <c r="C360" s="3">
        <v>357</v>
      </c>
      <c r="D360" s="5">
        <v>23</v>
      </c>
      <c r="E360" s="3">
        <v>1</v>
      </c>
      <c r="F360" s="3">
        <v>0</v>
      </c>
      <c r="G360" s="3">
        <v>1</v>
      </c>
      <c r="H360" s="3">
        <v>1</v>
      </c>
      <c r="I360" s="3">
        <v>244278</v>
      </c>
      <c r="J360" s="13">
        <v>55</v>
      </c>
      <c r="K360" s="3" t="s">
        <v>2210</v>
      </c>
      <c r="L360" s="3" t="s">
        <v>905</v>
      </c>
      <c r="M360" t="str" cm="1">
        <f t="array" ref="M360">_xlfn.IFS(INFO_Pasajeros[[#This Row],[Edad]]&lt;=13,"Niños",INFO_Pasajeros[[#This Row],[Edad]]&lt;=18,"Jóvenes",INFO_Pasajeros[[#This Row],[Edad]]&lt;=50,"Adultos",INFO_Pasajeros[[#This Row],[Edad]]&gt;=51,"Adultos Mayores")</f>
        <v>Adultos</v>
      </c>
    </row>
    <row r="361" spans="1:13" x14ac:dyDescent="0.25">
      <c r="A361" s="3" t="s">
        <v>1483</v>
      </c>
      <c r="B361" s="3" t="s">
        <v>907</v>
      </c>
      <c r="C361" s="3">
        <v>358</v>
      </c>
      <c r="D361" s="5">
        <v>42</v>
      </c>
      <c r="E361" s="3">
        <v>0</v>
      </c>
      <c r="F361" s="3">
        <v>0</v>
      </c>
      <c r="G361" s="3">
        <v>2</v>
      </c>
      <c r="H361" s="3">
        <v>0</v>
      </c>
      <c r="I361" s="3">
        <v>244310</v>
      </c>
      <c r="J361" s="13">
        <v>13</v>
      </c>
      <c r="K361" s="3" t="s">
        <v>2210</v>
      </c>
      <c r="L361" s="3" t="s">
        <v>905</v>
      </c>
      <c r="M361" t="str" cm="1">
        <f t="array" ref="M361">_xlfn.IFS(INFO_Pasajeros[[#This Row],[Edad]]&lt;=13,"Niños",INFO_Pasajeros[[#This Row],[Edad]]&lt;=18,"Jóvenes",INFO_Pasajeros[[#This Row],[Edad]]&lt;=50,"Adultos",INFO_Pasajeros[[#This Row],[Edad]]&gt;=51,"Adultos Mayores")</f>
        <v>Adultos</v>
      </c>
    </row>
    <row r="362" spans="1:13" x14ac:dyDescent="0.25">
      <c r="A362" s="3" t="s">
        <v>1484</v>
      </c>
      <c r="B362" s="3" t="s">
        <v>907</v>
      </c>
      <c r="C362" s="3">
        <v>359</v>
      </c>
      <c r="D362" s="5">
        <v>27</v>
      </c>
      <c r="E362" s="3">
        <v>0</v>
      </c>
      <c r="F362" s="3">
        <v>0</v>
      </c>
      <c r="G362" s="3">
        <v>3</v>
      </c>
      <c r="H362" s="3">
        <v>1</v>
      </c>
      <c r="I362" s="3">
        <v>244358</v>
      </c>
      <c r="J362" s="13">
        <v>78.792000000000002</v>
      </c>
      <c r="K362" s="3" t="s">
        <v>2210</v>
      </c>
      <c r="L362" s="3" t="s">
        <v>905</v>
      </c>
      <c r="M362" t="str" cm="1">
        <f t="array" ref="M362">_xlfn.IFS(INFO_Pasajeros[[#This Row],[Edad]]&lt;=13,"Niños",INFO_Pasajeros[[#This Row],[Edad]]&lt;=18,"Jóvenes",INFO_Pasajeros[[#This Row],[Edad]]&lt;=50,"Adultos",INFO_Pasajeros[[#This Row],[Edad]]&gt;=51,"Adultos Mayores")</f>
        <v>Adultos</v>
      </c>
    </row>
    <row r="363" spans="1:13" x14ac:dyDescent="0.25">
      <c r="A363" s="3" t="s">
        <v>1485</v>
      </c>
      <c r="B363" s="3" t="s">
        <v>907</v>
      </c>
      <c r="C363" s="3">
        <v>360</v>
      </c>
      <c r="D363" s="5">
        <v>25</v>
      </c>
      <c r="E363" s="3">
        <v>0</v>
      </c>
      <c r="F363" s="3">
        <v>0</v>
      </c>
      <c r="G363" s="3">
        <v>3</v>
      </c>
      <c r="H363" s="3">
        <v>1</v>
      </c>
      <c r="I363" s="3">
        <v>244361</v>
      </c>
      <c r="J363" s="13">
        <v>78.792000000000002</v>
      </c>
      <c r="K363" s="3" t="s">
        <v>2210</v>
      </c>
      <c r="L363" s="3" t="s">
        <v>905</v>
      </c>
      <c r="M363" t="str" cm="1">
        <f t="array" ref="M363">_xlfn.IFS(INFO_Pasajeros[[#This Row],[Edad]]&lt;=13,"Niños",INFO_Pasajeros[[#This Row],[Edad]]&lt;=18,"Jóvenes",INFO_Pasajeros[[#This Row],[Edad]]&lt;=50,"Adultos",INFO_Pasajeros[[#This Row],[Edad]]&gt;=51,"Adultos Mayores")</f>
        <v>Adultos</v>
      </c>
    </row>
    <row r="364" spans="1:13" x14ac:dyDescent="0.25">
      <c r="A364" s="3" t="s">
        <v>1486</v>
      </c>
      <c r="B364" s="3" t="s">
        <v>902</v>
      </c>
      <c r="C364" s="3">
        <v>361</v>
      </c>
      <c r="D364" s="5">
        <v>34</v>
      </c>
      <c r="E364" s="3">
        <v>4</v>
      </c>
      <c r="F364" s="3">
        <v>1</v>
      </c>
      <c r="G364" s="3">
        <v>3</v>
      </c>
      <c r="H364" s="3">
        <v>0</v>
      </c>
      <c r="I364" s="3">
        <v>244367</v>
      </c>
      <c r="J364" s="13">
        <v>27.9</v>
      </c>
      <c r="K364" s="3" t="s">
        <v>2210</v>
      </c>
      <c r="L364" s="3" t="s">
        <v>905</v>
      </c>
      <c r="M364" t="str" cm="1">
        <f t="array" ref="M364">_xlfn.IFS(INFO_Pasajeros[[#This Row],[Edad]]&lt;=13,"Niños",INFO_Pasajeros[[#This Row],[Edad]]&lt;=18,"Jóvenes",INFO_Pasajeros[[#This Row],[Edad]]&lt;=50,"Adultos",INFO_Pasajeros[[#This Row],[Edad]]&gt;=51,"Adultos Mayores")</f>
        <v>Adultos</v>
      </c>
    </row>
    <row r="365" spans="1:13" x14ac:dyDescent="0.25">
      <c r="A365" s="3" t="s">
        <v>1487</v>
      </c>
      <c r="B365" s="3" t="s">
        <v>902</v>
      </c>
      <c r="C365" s="3">
        <v>362</v>
      </c>
      <c r="D365" s="5">
        <v>24</v>
      </c>
      <c r="E365" s="3">
        <v>0</v>
      </c>
      <c r="F365" s="3">
        <v>1</v>
      </c>
      <c r="G365" s="3">
        <v>2</v>
      </c>
      <c r="H365" s="3">
        <v>0</v>
      </c>
      <c r="I365" s="3">
        <v>244367</v>
      </c>
      <c r="J365" s="13">
        <v>277.20800000000003</v>
      </c>
      <c r="K365" s="3" t="s">
        <v>2210</v>
      </c>
      <c r="L365" s="3" t="s">
        <v>905</v>
      </c>
      <c r="M365" t="str" cm="1">
        <f t="array" ref="M365">_xlfn.IFS(INFO_Pasajeros[[#This Row],[Edad]]&lt;=13,"Niños",INFO_Pasajeros[[#This Row],[Edad]]&lt;=18,"Jóvenes",INFO_Pasajeros[[#This Row],[Edad]]&lt;=50,"Adultos",INFO_Pasajeros[[#This Row],[Edad]]&gt;=51,"Adultos Mayores")</f>
        <v>Adultos</v>
      </c>
    </row>
    <row r="366" spans="1:13" x14ac:dyDescent="0.25">
      <c r="A366" s="3" t="s">
        <v>1489</v>
      </c>
      <c r="B366" s="3" t="s">
        <v>907</v>
      </c>
      <c r="C366" s="3">
        <v>363</v>
      </c>
      <c r="D366" s="5">
        <v>79</v>
      </c>
      <c r="E366" s="3">
        <v>1</v>
      </c>
      <c r="F366" s="3">
        <v>0</v>
      </c>
      <c r="G366" s="3">
        <v>3</v>
      </c>
      <c r="H366" s="3">
        <v>0</v>
      </c>
      <c r="I366" s="3">
        <v>244373</v>
      </c>
      <c r="J366" s="13">
        <v>144.542</v>
      </c>
      <c r="K366" s="3" t="s">
        <v>2210</v>
      </c>
      <c r="L366" s="3" t="s">
        <v>905</v>
      </c>
      <c r="M366" t="str" cm="1">
        <f t="array" ref="M366">_xlfn.IFS(INFO_Pasajeros[[#This Row],[Edad]]&lt;=13,"Niños",INFO_Pasajeros[[#This Row],[Edad]]&lt;=18,"Jóvenes",INFO_Pasajeros[[#This Row],[Edad]]&lt;=50,"Adultos",INFO_Pasajeros[[#This Row],[Edad]]&gt;=51,"Adultos Mayores")</f>
        <v>Adultos Mayores</v>
      </c>
    </row>
    <row r="367" spans="1:13" x14ac:dyDescent="0.25">
      <c r="A367" s="3" t="s">
        <v>1490</v>
      </c>
      <c r="B367" s="3" t="s">
        <v>902</v>
      </c>
      <c r="C367" s="3">
        <v>364</v>
      </c>
      <c r="D367" s="5">
        <v>34</v>
      </c>
      <c r="E367" s="3">
        <v>0</v>
      </c>
      <c r="F367" s="3">
        <v>0</v>
      </c>
      <c r="G367" s="3">
        <v>3</v>
      </c>
      <c r="H367" s="3">
        <v>0</v>
      </c>
      <c r="I367" s="3">
        <v>248698</v>
      </c>
      <c r="J367" s="13">
        <v>7.05</v>
      </c>
      <c r="K367" s="3" t="s">
        <v>943</v>
      </c>
      <c r="L367" s="3" t="s">
        <v>905</v>
      </c>
      <c r="M367" t="str" cm="1">
        <f t="array" ref="M367">_xlfn.IFS(INFO_Pasajeros[[#This Row],[Edad]]&lt;=13,"Niños",INFO_Pasajeros[[#This Row],[Edad]]&lt;=18,"Jóvenes",INFO_Pasajeros[[#This Row],[Edad]]&lt;=50,"Adultos",INFO_Pasajeros[[#This Row],[Edad]]&gt;=51,"Adultos Mayores")</f>
        <v>Adultos</v>
      </c>
    </row>
    <row r="368" spans="1:13" x14ac:dyDescent="0.25">
      <c r="A368" s="3" t="s">
        <v>1492</v>
      </c>
      <c r="B368" s="3" t="s">
        <v>902</v>
      </c>
      <c r="C368" s="3">
        <v>365</v>
      </c>
      <c r="D368" s="5">
        <v>55</v>
      </c>
      <c r="E368" s="3">
        <v>0</v>
      </c>
      <c r="F368" s="3">
        <v>1</v>
      </c>
      <c r="G368" s="3">
        <v>3</v>
      </c>
      <c r="H368" s="3">
        <v>0</v>
      </c>
      <c r="I368" s="3">
        <v>248706</v>
      </c>
      <c r="J368" s="13">
        <v>15.5</v>
      </c>
      <c r="K368" s="3" t="s">
        <v>2210</v>
      </c>
      <c r="L368" s="3" t="s">
        <v>905</v>
      </c>
      <c r="M368" t="str" cm="1">
        <f t="array" ref="M368">_xlfn.IFS(INFO_Pasajeros[[#This Row],[Edad]]&lt;=13,"Niños",INFO_Pasajeros[[#This Row],[Edad]]&lt;=18,"Jóvenes",INFO_Pasajeros[[#This Row],[Edad]]&lt;=50,"Adultos",INFO_Pasajeros[[#This Row],[Edad]]&gt;=51,"Adultos Mayores")</f>
        <v>Adultos Mayores</v>
      </c>
    </row>
    <row r="369" spans="1:13" x14ac:dyDescent="0.25">
      <c r="A369" s="3" t="s">
        <v>1493</v>
      </c>
      <c r="B369" s="3" t="s">
        <v>902</v>
      </c>
      <c r="C369" s="3">
        <v>366</v>
      </c>
      <c r="D369" s="5">
        <v>39</v>
      </c>
      <c r="E369" s="3">
        <v>0</v>
      </c>
      <c r="F369" s="3">
        <v>0</v>
      </c>
      <c r="G369" s="3">
        <v>3</v>
      </c>
      <c r="H369" s="3">
        <v>0</v>
      </c>
      <c r="I369" s="3">
        <v>248723</v>
      </c>
      <c r="J369" s="13">
        <v>7.25</v>
      </c>
      <c r="K369" s="3" t="s">
        <v>2210</v>
      </c>
      <c r="L369" s="3" t="s">
        <v>905</v>
      </c>
      <c r="M369" t="str" cm="1">
        <f t="array" ref="M369">_xlfn.IFS(INFO_Pasajeros[[#This Row],[Edad]]&lt;=13,"Niños",INFO_Pasajeros[[#This Row],[Edad]]&lt;=18,"Jóvenes",INFO_Pasajeros[[#This Row],[Edad]]&lt;=50,"Adultos",INFO_Pasajeros[[#This Row],[Edad]]&gt;=51,"Adultos Mayores")</f>
        <v>Adultos</v>
      </c>
    </row>
    <row r="370" spans="1:13" x14ac:dyDescent="0.25">
      <c r="A370" s="3" t="s">
        <v>1495</v>
      </c>
      <c r="B370" s="3" t="s">
        <v>907</v>
      </c>
      <c r="C370" s="3">
        <v>367</v>
      </c>
      <c r="D370" s="5">
        <v>21</v>
      </c>
      <c r="E370" s="3">
        <v>0</v>
      </c>
      <c r="F370" s="3">
        <v>1</v>
      </c>
      <c r="G370" s="3">
        <v>1</v>
      </c>
      <c r="H370" s="3">
        <v>1</v>
      </c>
      <c r="I370" s="3">
        <v>248727</v>
      </c>
      <c r="J370" s="13">
        <v>75.25</v>
      </c>
      <c r="K370" s="3" t="s">
        <v>2210</v>
      </c>
      <c r="L370" s="3" t="s">
        <v>905</v>
      </c>
      <c r="M370" t="str" cm="1">
        <f t="array" ref="M370">_xlfn.IFS(INFO_Pasajeros[[#This Row],[Edad]]&lt;=13,"Niños",INFO_Pasajeros[[#This Row],[Edad]]&lt;=18,"Jóvenes",INFO_Pasajeros[[#This Row],[Edad]]&lt;=50,"Adultos",INFO_Pasajeros[[#This Row],[Edad]]&gt;=51,"Adultos Mayores")</f>
        <v>Adultos</v>
      </c>
    </row>
    <row r="371" spans="1:13" x14ac:dyDescent="0.25">
      <c r="A371" s="3" t="s">
        <v>1498</v>
      </c>
      <c r="B371" s="3" t="s">
        <v>907</v>
      </c>
      <c r="C371" s="3">
        <v>368</v>
      </c>
      <c r="D371" s="5">
        <v>6</v>
      </c>
      <c r="E371" s="3">
        <v>0</v>
      </c>
      <c r="F371" s="3">
        <v>0</v>
      </c>
      <c r="G371" s="3">
        <v>3</v>
      </c>
      <c r="H371" s="3">
        <v>1</v>
      </c>
      <c r="I371" s="3">
        <v>248727</v>
      </c>
      <c r="J371" s="13">
        <v>72.292000000000002</v>
      </c>
      <c r="K371" s="3" t="s">
        <v>2210</v>
      </c>
      <c r="L371" s="3" t="s">
        <v>905</v>
      </c>
      <c r="M371" t="str" cm="1">
        <f t="array" ref="M371">_xlfn.IFS(INFO_Pasajeros[[#This Row],[Edad]]&lt;=13,"Niños",INFO_Pasajeros[[#This Row],[Edad]]&lt;=18,"Jóvenes",INFO_Pasajeros[[#This Row],[Edad]]&lt;=50,"Adultos",INFO_Pasajeros[[#This Row],[Edad]]&gt;=51,"Adultos Mayores")</f>
        <v>Niños</v>
      </c>
    </row>
    <row r="372" spans="1:13" x14ac:dyDescent="0.25">
      <c r="A372" s="3" t="s">
        <v>1499</v>
      </c>
      <c r="B372" s="3" t="s">
        <v>907</v>
      </c>
      <c r="C372" s="3">
        <v>369</v>
      </c>
      <c r="D372" s="5">
        <v>28</v>
      </c>
      <c r="E372" s="3">
        <v>0</v>
      </c>
      <c r="F372" s="3">
        <v>0</v>
      </c>
      <c r="G372" s="3">
        <v>3</v>
      </c>
      <c r="H372" s="3">
        <v>1</v>
      </c>
      <c r="I372" s="3">
        <v>248727</v>
      </c>
      <c r="J372" s="13">
        <v>7.75</v>
      </c>
      <c r="K372" s="3" t="s">
        <v>2210</v>
      </c>
      <c r="L372" s="3" t="s">
        <v>905</v>
      </c>
      <c r="M372" t="str" cm="1">
        <f t="array" ref="M372">_xlfn.IFS(INFO_Pasajeros[[#This Row],[Edad]]&lt;=13,"Niños",INFO_Pasajeros[[#This Row],[Edad]]&lt;=18,"Jóvenes",INFO_Pasajeros[[#This Row],[Edad]]&lt;=50,"Adultos",INFO_Pasajeros[[#This Row],[Edad]]&gt;=51,"Adultos Mayores")</f>
        <v>Adultos</v>
      </c>
    </row>
    <row r="373" spans="1:13" x14ac:dyDescent="0.25">
      <c r="A373" s="3" t="s">
        <v>1500</v>
      </c>
      <c r="B373" s="3" t="s">
        <v>907</v>
      </c>
      <c r="C373" s="3">
        <v>370</v>
      </c>
      <c r="D373" s="5">
        <v>52</v>
      </c>
      <c r="E373" s="3">
        <v>0</v>
      </c>
      <c r="F373" s="3">
        <v>0</v>
      </c>
      <c r="G373" s="3">
        <v>1</v>
      </c>
      <c r="H373" s="3">
        <v>1</v>
      </c>
      <c r="I373" s="3">
        <v>248731</v>
      </c>
      <c r="J373" s="13">
        <v>69.3</v>
      </c>
      <c r="K373" s="3" t="s">
        <v>2210</v>
      </c>
      <c r="L373" s="3" t="s">
        <v>905</v>
      </c>
      <c r="M373" t="str" cm="1">
        <f t="array" ref="M373">_xlfn.IFS(INFO_Pasajeros[[#This Row],[Edad]]&lt;=13,"Niños",INFO_Pasajeros[[#This Row],[Edad]]&lt;=18,"Jóvenes",INFO_Pasajeros[[#This Row],[Edad]]&lt;=50,"Adultos",INFO_Pasajeros[[#This Row],[Edad]]&gt;=51,"Adultos Mayores")</f>
        <v>Adultos Mayores</v>
      </c>
    </row>
    <row r="374" spans="1:13" x14ac:dyDescent="0.25">
      <c r="A374" s="3" t="s">
        <v>1504</v>
      </c>
      <c r="B374" s="3" t="s">
        <v>902</v>
      </c>
      <c r="C374" s="3">
        <v>371</v>
      </c>
      <c r="D374" s="5">
        <v>24</v>
      </c>
      <c r="E374" s="3">
        <v>0</v>
      </c>
      <c r="F374" s="3">
        <v>1</v>
      </c>
      <c r="G374" s="3">
        <v>1</v>
      </c>
      <c r="H374" s="3">
        <v>1</v>
      </c>
      <c r="I374" s="3">
        <v>248733</v>
      </c>
      <c r="J374" s="13">
        <v>554.41700000000003</v>
      </c>
      <c r="K374" s="3" t="s">
        <v>1021</v>
      </c>
      <c r="L374" s="3" t="s">
        <v>905</v>
      </c>
      <c r="M374" t="str" cm="1">
        <f t="array" ref="M374">_xlfn.IFS(INFO_Pasajeros[[#This Row],[Edad]]&lt;=13,"Niños",INFO_Pasajeros[[#This Row],[Edad]]&lt;=18,"Jóvenes",INFO_Pasajeros[[#This Row],[Edad]]&lt;=50,"Adultos",INFO_Pasajeros[[#This Row],[Edad]]&gt;=51,"Adultos Mayores")</f>
        <v>Adultos</v>
      </c>
    </row>
    <row r="375" spans="1:13" x14ac:dyDescent="0.25">
      <c r="A375" s="3" t="s">
        <v>1506</v>
      </c>
      <c r="B375" s="3" t="s">
        <v>902</v>
      </c>
      <c r="C375" s="3">
        <v>372</v>
      </c>
      <c r="D375" s="5">
        <v>1</v>
      </c>
      <c r="E375" s="3">
        <v>0</v>
      </c>
      <c r="F375" s="3">
        <v>1</v>
      </c>
      <c r="G375" s="3">
        <v>3</v>
      </c>
      <c r="H375" s="3">
        <v>0</v>
      </c>
      <c r="I375" s="3">
        <v>248738</v>
      </c>
      <c r="J375" s="13">
        <v>64.957999999999998</v>
      </c>
      <c r="K375" s="3" t="s">
        <v>2210</v>
      </c>
      <c r="L375" s="3" t="s">
        <v>905</v>
      </c>
      <c r="M375" t="str" cm="1">
        <f t="array" ref="M375">_xlfn.IFS(INFO_Pasajeros[[#This Row],[Edad]]&lt;=13,"Niños",INFO_Pasajeros[[#This Row],[Edad]]&lt;=18,"Jóvenes",INFO_Pasajeros[[#This Row],[Edad]]&lt;=50,"Adultos",INFO_Pasajeros[[#This Row],[Edad]]&gt;=51,"Adultos Mayores")</f>
        <v>Niños</v>
      </c>
    </row>
    <row r="376" spans="1:13" x14ac:dyDescent="0.25">
      <c r="A376" s="3" t="s">
        <v>1507</v>
      </c>
      <c r="B376" s="3" t="s">
        <v>902</v>
      </c>
      <c r="C376" s="3">
        <v>373</v>
      </c>
      <c r="D376" s="5">
        <v>22</v>
      </c>
      <c r="E376" s="3">
        <v>0</v>
      </c>
      <c r="F376" s="3">
        <v>0</v>
      </c>
      <c r="G376" s="3">
        <v>3</v>
      </c>
      <c r="H376" s="3">
        <v>0</v>
      </c>
      <c r="I376" s="3">
        <v>248738</v>
      </c>
      <c r="J376" s="13">
        <v>8.0500000000000007</v>
      </c>
      <c r="K376" s="3" t="s">
        <v>2210</v>
      </c>
      <c r="L376" s="3" t="s">
        <v>905</v>
      </c>
      <c r="M376" t="str" cm="1">
        <f t="array" ref="M376">_xlfn.IFS(INFO_Pasajeros[[#This Row],[Edad]]&lt;=13,"Niños",INFO_Pasajeros[[#This Row],[Edad]]&lt;=18,"Jóvenes",INFO_Pasajeros[[#This Row],[Edad]]&lt;=50,"Adultos",INFO_Pasajeros[[#This Row],[Edad]]&gt;=51,"Adultos Mayores")</f>
        <v>Adultos</v>
      </c>
    </row>
    <row r="377" spans="1:13" x14ac:dyDescent="0.25">
      <c r="A377" s="3" t="s">
        <v>1508</v>
      </c>
      <c r="B377" s="3" t="s">
        <v>902</v>
      </c>
      <c r="C377" s="3">
        <v>374</v>
      </c>
      <c r="D377" s="5">
        <v>28</v>
      </c>
      <c r="E377" s="3">
        <v>0</v>
      </c>
      <c r="F377" s="3">
        <v>0</v>
      </c>
      <c r="G377" s="3">
        <v>1</v>
      </c>
      <c r="H377" s="3">
        <v>0</v>
      </c>
      <c r="I377" s="3">
        <v>248740</v>
      </c>
      <c r="J377" s="13">
        <v>135.63330000000002</v>
      </c>
      <c r="K377" s="3" t="s">
        <v>2210</v>
      </c>
      <c r="L377" s="3" t="s">
        <v>905</v>
      </c>
      <c r="M377" t="str" cm="1">
        <f t="array" ref="M377">_xlfn.IFS(INFO_Pasajeros[[#This Row],[Edad]]&lt;=13,"Niños",INFO_Pasajeros[[#This Row],[Edad]]&lt;=18,"Jóvenes",INFO_Pasajeros[[#This Row],[Edad]]&lt;=50,"Adultos",INFO_Pasajeros[[#This Row],[Edad]]&gt;=51,"Adultos Mayores")</f>
        <v>Adultos</v>
      </c>
    </row>
    <row r="378" spans="1:13" x14ac:dyDescent="0.25">
      <c r="A378" s="3" t="s">
        <v>1509</v>
      </c>
      <c r="B378" s="3" t="s">
        <v>907</v>
      </c>
      <c r="C378" s="3">
        <v>375</v>
      </c>
      <c r="D378" s="5">
        <v>24</v>
      </c>
      <c r="E378" s="3">
        <v>1</v>
      </c>
      <c r="F378" s="3">
        <v>3</v>
      </c>
      <c r="G378" s="3">
        <v>3</v>
      </c>
      <c r="H378" s="3">
        <v>0</v>
      </c>
      <c r="I378" s="3">
        <v>248747</v>
      </c>
      <c r="J378" s="13">
        <v>21.074999999999999</v>
      </c>
      <c r="K378" s="3" t="s">
        <v>2210</v>
      </c>
      <c r="L378" s="3" t="s">
        <v>905</v>
      </c>
      <c r="M378" t="str" cm="1">
        <f t="array" ref="M378">_xlfn.IFS(INFO_Pasajeros[[#This Row],[Edad]]&lt;=13,"Niños",INFO_Pasajeros[[#This Row],[Edad]]&lt;=18,"Jóvenes",INFO_Pasajeros[[#This Row],[Edad]]&lt;=50,"Adultos",INFO_Pasajeros[[#This Row],[Edad]]&gt;=51,"Adultos Mayores")</f>
        <v>Adultos</v>
      </c>
    </row>
    <row r="379" spans="1:13" x14ac:dyDescent="0.25">
      <c r="A379" s="3" t="s">
        <v>1510</v>
      </c>
      <c r="B379" s="3" t="s">
        <v>907</v>
      </c>
      <c r="C379" s="3">
        <v>376</v>
      </c>
      <c r="D379" s="5">
        <v>50</v>
      </c>
      <c r="E379" s="3">
        <v>0</v>
      </c>
      <c r="F379" s="3">
        <v>1</v>
      </c>
      <c r="G379" s="3">
        <v>1</v>
      </c>
      <c r="H379" s="3">
        <v>1</v>
      </c>
      <c r="I379" s="3">
        <v>250643</v>
      </c>
      <c r="J379" s="13">
        <v>821.70799999999997</v>
      </c>
      <c r="K379" s="3" t="s">
        <v>2210</v>
      </c>
      <c r="L379" s="3" t="s">
        <v>905</v>
      </c>
      <c r="M379" t="str" cm="1">
        <f t="array" ref="M379">_xlfn.IFS(INFO_Pasajeros[[#This Row],[Edad]]&lt;=13,"Niños",INFO_Pasajeros[[#This Row],[Edad]]&lt;=18,"Jóvenes",INFO_Pasajeros[[#This Row],[Edad]]&lt;=50,"Adultos",INFO_Pasajeros[[#This Row],[Edad]]&gt;=51,"Adultos Mayores")</f>
        <v>Adultos</v>
      </c>
    </row>
    <row r="380" spans="1:13" x14ac:dyDescent="0.25">
      <c r="A380" s="3" t="s">
        <v>1511</v>
      </c>
      <c r="B380" s="3" t="s">
        <v>907</v>
      </c>
      <c r="C380" s="3">
        <v>377</v>
      </c>
      <c r="D380" s="5">
        <v>41</v>
      </c>
      <c r="E380" s="3">
        <v>0</v>
      </c>
      <c r="F380" s="3">
        <v>0</v>
      </c>
      <c r="G380" s="3">
        <v>3</v>
      </c>
      <c r="H380" s="3">
        <v>1</v>
      </c>
      <c r="I380" s="3">
        <v>250644</v>
      </c>
      <c r="J380" s="13">
        <v>7.25</v>
      </c>
      <c r="K380" s="3" t="s">
        <v>2210</v>
      </c>
      <c r="L380" s="3" t="s">
        <v>905</v>
      </c>
      <c r="M380" t="str" cm="1">
        <f t="array" ref="M380">_xlfn.IFS(INFO_Pasajeros[[#This Row],[Edad]]&lt;=13,"Niños",INFO_Pasajeros[[#This Row],[Edad]]&lt;=18,"Jóvenes",INFO_Pasajeros[[#This Row],[Edad]]&lt;=50,"Adultos",INFO_Pasajeros[[#This Row],[Edad]]&gt;=51,"Adultos Mayores")</f>
        <v>Adultos</v>
      </c>
    </row>
    <row r="381" spans="1:13" x14ac:dyDescent="0.25">
      <c r="A381" s="3" t="s">
        <v>1513</v>
      </c>
      <c r="B381" s="3" t="s">
        <v>902</v>
      </c>
      <c r="C381" s="3">
        <v>378</v>
      </c>
      <c r="D381" s="5">
        <v>13</v>
      </c>
      <c r="E381" s="3">
        <v>2</v>
      </c>
      <c r="F381" s="3">
        <v>0</v>
      </c>
      <c r="G381" s="3">
        <v>1</v>
      </c>
      <c r="H381" s="3">
        <v>0</v>
      </c>
      <c r="I381" s="3">
        <v>250644</v>
      </c>
      <c r="J381" s="13">
        <v>211.5</v>
      </c>
      <c r="K381" s="3" t="s">
        <v>2210</v>
      </c>
      <c r="L381" s="3" t="s">
        <v>905</v>
      </c>
      <c r="M381" t="str" cm="1">
        <f t="array" ref="M381">_xlfn.IFS(INFO_Pasajeros[[#This Row],[Edad]]&lt;=13,"Niños",INFO_Pasajeros[[#This Row],[Edad]]&lt;=18,"Jóvenes",INFO_Pasajeros[[#This Row],[Edad]]&lt;=50,"Adultos",INFO_Pasajeros[[#This Row],[Edad]]&gt;=51,"Adultos Mayores")</f>
        <v>Niños</v>
      </c>
    </row>
    <row r="382" spans="1:13" x14ac:dyDescent="0.25">
      <c r="A382" s="3" t="s">
        <v>1516</v>
      </c>
      <c r="B382" s="3" t="s">
        <v>902</v>
      </c>
      <c r="C382" s="3">
        <v>379</v>
      </c>
      <c r="D382" s="5">
        <v>30</v>
      </c>
      <c r="E382" s="3">
        <v>0</v>
      </c>
      <c r="F382" s="3">
        <v>0</v>
      </c>
      <c r="G382" s="3">
        <v>3</v>
      </c>
      <c r="H382" s="3">
        <v>0</v>
      </c>
      <c r="I382" s="3">
        <v>250646</v>
      </c>
      <c r="J382" s="13">
        <v>40.125</v>
      </c>
      <c r="K382" s="3" t="s">
        <v>2210</v>
      </c>
      <c r="L382" s="3" t="s">
        <v>905</v>
      </c>
      <c r="M382" t="str" cm="1">
        <f t="array" ref="M382">_xlfn.IFS(INFO_Pasajeros[[#This Row],[Edad]]&lt;=13,"Niños",INFO_Pasajeros[[#This Row],[Edad]]&lt;=18,"Jóvenes",INFO_Pasajeros[[#This Row],[Edad]]&lt;=50,"Adultos",INFO_Pasajeros[[#This Row],[Edad]]&gt;=51,"Adultos Mayores")</f>
        <v>Adultos</v>
      </c>
    </row>
    <row r="383" spans="1:13" x14ac:dyDescent="0.25">
      <c r="A383" s="3" t="s">
        <v>1517</v>
      </c>
      <c r="B383" s="3" t="s">
        <v>902</v>
      </c>
      <c r="C383" s="3">
        <v>380</v>
      </c>
      <c r="D383" s="5">
        <v>52</v>
      </c>
      <c r="E383" s="3">
        <v>0</v>
      </c>
      <c r="F383" s="3">
        <v>0</v>
      </c>
      <c r="G383" s="3">
        <v>3</v>
      </c>
      <c r="H383" s="3">
        <v>0</v>
      </c>
      <c r="I383" s="3">
        <v>250647</v>
      </c>
      <c r="J383" s="13">
        <v>7.7750000000000004</v>
      </c>
      <c r="K383" s="3" t="s">
        <v>2210</v>
      </c>
      <c r="L383" s="3" t="s">
        <v>905</v>
      </c>
      <c r="M383" t="str" cm="1">
        <f t="array" ref="M383">_xlfn.IFS(INFO_Pasajeros[[#This Row],[Edad]]&lt;=13,"Niños",INFO_Pasajeros[[#This Row],[Edad]]&lt;=18,"Jóvenes",INFO_Pasajeros[[#This Row],[Edad]]&lt;=50,"Adultos",INFO_Pasajeros[[#This Row],[Edad]]&gt;=51,"Adultos Mayores")</f>
        <v>Adultos Mayores</v>
      </c>
    </row>
    <row r="384" spans="1:13" x14ac:dyDescent="0.25">
      <c r="A384" s="3" t="s">
        <v>1518</v>
      </c>
      <c r="B384" s="3" t="s">
        <v>907</v>
      </c>
      <c r="C384" s="3">
        <v>381</v>
      </c>
      <c r="D384" s="5">
        <v>34</v>
      </c>
      <c r="E384" s="3">
        <v>0</v>
      </c>
      <c r="F384" s="3">
        <v>0</v>
      </c>
      <c r="G384" s="3">
        <v>1</v>
      </c>
      <c r="H384" s="3">
        <v>1</v>
      </c>
      <c r="I384" s="3">
        <v>250647</v>
      </c>
      <c r="J384" s="13">
        <v>227.52500000000001</v>
      </c>
      <c r="K384" s="3" t="s">
        <v>2210</v>
      </c>
      <c r="L384" s="3" t="s">
        <v>905</v>
      </c>
      <c r="M384" t="str" cm="1">
        <f t="array" ref="M384">_xlfn.IFS(INFO_Pasajeros[[#This Row],[Edad]]&lt;=13,"Niños",INFO_Pasajeros[[#This Row],[Edad]]&lt;=18,"Jóvenes",INFO_Pasajeros[[#This Row],[Edad]]&lt;=50,"Adultos",INFO_Pasajeros[[#This Row],[Edad]]&gt;=51,"Adultos Mayores")</f>
        <v>Adultos</v>
      </c>
    </row>
    <row r="385" spans="1:13" x14ac:dyDescent="0.25">
      <c r="A385" s="3" t="s">
        <v>1520</v>
      </c>
      <c r="B385" s="3" t="s">
        <v>907</v>
      </c>
      <c r="C385" s="3">
        <v>382</v>
      </c>
      <c r="D385" s="5">
        <v>30</v>
      </c>
      <c r="E385" s="3">
        <v>2</v>
      </c>
      <c r="F385" s="3">
        <v>0</v>
      </c>
      <c r="G385" s="3">
        <v>3</v>
      </c>
      <c r="H385" s="3">
        <v>1</v>
      </c>
      <c r="I385" s="3">
        <v>250648</v>
      </c>
      <c r="J385" s="13">
        <v>157.417</v>
      </c>
      <c r="K385" s="3" t="s">
        <v>2210</v>
      </c>
      <c r="L385" s="3" t="s">
        <v>905</v>
      </c>
      <c r="M385" t="str" cm="1">
        <f t="array" ref="M385">_xlfn.IFS(INFO_Pasajeros[[#This Row],[Edad]]&lt;=13,"Niños",INFO_Pasajeros[[#This Row],[Edad]]&lt;=18,"Jóvenes",INFO_Pasajeros[[#This Row],[Edad]]&lt;=50,"Adultos",INFO_Pasajeros[[#This Row],[Edad]]&gt;=51,"Adultos Mayores")</f>
        <v>Adultos</v>
      </c>
    </row>
    <row r="386" spans="1:13" x14ac:dyDescent="0.25">
      <c r="A386" s="3" t="s">
        <v>1521</v>
      </c>
      <c r="B386" s="3" t="s">
        <v>902</v>
      </c>
      <c r="C386" s="3">
        <v>383</v>
      </c>
      <c r="D386" s="5">
        <v>24</v>
      </c>
      <c r="E386" s="3">
        <v>0</v>
      </c>
      <c r="F386" s="3">
        <v>0</v>
      </c>
      <c r="G386" s="3">
        <v>3</v>
      </c>
      <c r="H386" s="3">
        <v>0</v>
      </c>
      <c r="I386" s="3">
        <v>250649</v>
      </c>
      <c r="J386" s="13">
        <v>7.9249999999999998</v>
      </c>
      <c r="K386" s="3" t="s">
        <v>2210</v>
      </c>
      <c r="L386" s="3" t="s">
        <v>905</v>
      </c>
      <c r="M386" t="str" cm="1">
        <f t="array" ref="M386">_xlfn.IFS(INFO_Pasajeros[[#This Row],[Edad]]&lt;=13,"Niños",INFO_Pasajeros[[#This Row],[Edad]]&lt;=18,"Jóvenes",INFO_Pasajeros[[#This Row],[Edad]]&lt;=50,"Adultos",INFO_Pasajeros[[#This Row],[Edad]]&gt;=51,"Adultos Mayores")</f>
        <v>Adultos</v>
      </c>
    </row>
    <row r="387" spans="1:13" x14ac:dyDescent="0.25">
      <c r="A387" s="3" t="s">
        <v>1523</v>
      </c>
      <c r="B387" s="3" t="s">
        <v>907</v>
      </c>
      <c r="C387" s="3">
        <v>384</v>
      </c>
      <c r="D387" s="5">
        <v>1</v>
      </c>
      <c r="E387" s="3">
        <v>0</v>
      </c>
      <c r="F387" s="3">
        <v>1</v>
      </c>
      <c r="G387" s="3">
        <v>1</v>
      </c>
      <c r="H387" s="3">
        <v>1</v>
      </c>
      <c r="I387" s="3">
        <v>250649</v>
      </c>
      <c r="J387" s="13">
        <v>52</v>
      </c>
      <c r="K387" s="3" t="s">
        <v>2210</v>
      </c>
      <c r="L387" s="3" t="s">
        <v>905</v>
      </c>
      <c r="M387" t="str" cm="1">
        <f t="array" ref="M387">_xlfn.IFS(INFO_Pasajeros[[#This Row],[Edad]]&lt;=13,"Niños",INFO_Pasajeros[[#This Row],[Edad]]&lt;=18,"Jóvenes",INFO_Pasajeros[[#This Row],[Edad]]&lt;=50,"Adultos",INFO_Pasajeros[[#This Row],[Edad]]&gt;=51,"Adultos Mayores")</f>
        <v>Niños</v>
      </c>
    </row>
    <row r="388" spans="1:13" x14ac:dyDescent="0.25">
      <c r="A388" s="3" t="s">
        <v>1524</v>
      </c>
      <c r="B388" s="3" t="s">
        <v>902</v>
      </c>
      <c r="C388" s="3">
        <v>385</v>
      </c>
      <c r="D388" s="5">
        <v>26</v>
      </c>
      <c r="E388" s="3">
        <v>0</v>
      </c>
      <c r="F388" s="3">
        <v>0</v>
      </c>
      <c r="G388" s="3">
        <v>3</v>
      </c>
      <c r="H388" s="3">
        <v>0</v>
      </c>
      <c r="I388" s="3">
        <v>250651</v>
      </c>
      <c r="J388" s="13">
        <v>78.957999999999998</v>
      </c>
      <c r="K388" s="3" t="s">
        <v>2210</v>
      </c>
      <c r="L388" s="3" t="s">
        <v>905</v>
      </c>
      <c r="M388" t="str" cm="1">
        <f t="array" ref="M388">_xlfn.IFS(INFO_Pasajeros[[#This Row],[Edad]]&lt;=13,"Niños",INFO_Pasajeros[[#This Row],[Edad]]&lt;=18,"Jóvenes",INFO_Pasajeros[[#This Row],[Edad]]&lt;=50,"Adultos",INFO_Pasajeros[[#This Row],[Edad]]&gt;=51,"Adultos Mayores")</f>
        <v>Adultos</v>
      </c>
    </row>
    <row r="389" spans="1:13" x14ac:dyDescent="0.25">
      <c r="A389" s="3" t="s">
        <v>1525</v>
      </c>
      <c r="B389" s="3" t="s">
        <v>902</v>
      </c>
      <c r="C389" s="3">
        <v>386</v>
      </c>
      <c r="D389" s="5">
        <v>18</v>
      </c>
      <c r="E389" s="3">
        <v>0</v>
      </c>
      <c r="F389" s="3">
        <v>0</v>
      </c>
      <c r="G389" s="3">
        <v>2</v>
      </c>
      <c r="H389" s="3">
        <v>0</v>
      </c>
      <c r="I389" s="3">
        <v>250652</v>
      </c>
      <c r="J389" s="13">
        <v>73.5</v>
      </c>
      <c r="K389" s="3" t="s">
        <v>2210</v>
      </c>
      <c r="L389" s="3" t="s">
        <v>905</v>
      </c>
      <c r="M389" t="str" cm="1">
        <f t="array" ref="M389">_xlfn.IFS(INFO_Pasajeros[[#This Row],[Edad]]&lt;=13,"Niños",INFO_Pasajeros[[#This Row],[Edad]]&lt;=18,"Jóvenes",INFO_Pasajeros[[#This Row],[Edad]]&lt;=50,"Adultos",INFO_Pasajeros[[#This Row],[Edad]]&gt;=51,"Adultos Mayores")</f>
        <v>Jóvenes</v>
      </c>
    </row>
    <row r="390" spans="1:13" x14ac:dyDescent="0.25">
      <c r="A390" s="3" t="s">
        <v>1526</v>
      </c>
      <c r="B390" s="3" t="s">
        <v>902</v>
      </c>
      <c r="C390" s="3">
        <v>387</v>
      </c>
      <c r="D390" s="5">
        <v>30</v>
      </c>
      <c r="E390" s="3">
        <v>2</v>
      </c>
      <c r="F390" s="3">
        <v>5</v>
      </c>
      <c r="G390" s="3">
        <v>3</v>
      </c>
      <c r="H390" s="3">
        <v>0</v>
      </c>
      <c r="I390" s="3">
        <v>250653</v>
      </c>
      <c r="J390" s="13">
        <v>46.9</v>
      </c>
      <c r="K390" s="3" t="s">
        <v>2210</v>
      </c>
      <c r="L390" s="3" t="s">
        <v>905</v>
      </c>
      <c r="M390" t="str" cm="1">
        <f t="array" ref="M390">_xlfn.IFS(INFO_Pasajeros[[#This Row],[Edad]]&lt;=13,"Niños",INFO_Pasajeros[[#This Row],[Edad]]&lt;=18,"Jóvenes",INFO_Pasajeros[[#This Row],[Edad]]&lt;=50,"Adultos",INFO_Pasajeros[[#This Row],[Edad]]&gt;=51,"Adultos Mayores")</f>
        <v>Adultos</v>
      </c>
    </row>
    <row r="391" spans="1:13" x14ac:dyDescent="0.25">
      <c r="A391" s="3" t="s">
        <v>1527</v>
      </c>
      <c r="B391" s="3" t="s">
        <v>907</v>
      </c>
      <c r="C391" s="3">
        <v>388</v>
      </c>
      <c r="D391" s="5">
        <v>19</v>
      </c>
      <c r="E391" s="3">
        <v>0</v>
      </c>
      <c r="F391" s="3">
        <v>0</v>
      </c>
      <c r="G391" s="3">
        <v>2</v>
      </c>
      <c r="H391" s="3">
        <v>1</v>
      </c>
      <c r="I391" s="3">
        <v>250655</v>
      </c>
      <c r="J391" s="13">
        <v>13</v>
      </c>
      <c r="K391" s="3" t="s">
        <v>2210</v>
      </c>
      <c r="L391" s="3" t="s">
        <v>905</v>
      </c>
      <c r="M391" t="str" cm="1">
        <f t="array" ref="M391">_xlfn.IFS(INFO_Pasajeros[[#This Row],[Edad]]&lt;=13,"Niños",INFO_Pasajeros[[#This Row],[Edad]]&lt;=18,"Jóvenes",INFO_Pasajeros[[#This Row],[Edad]]&lt;=50,"Adultos",INFO_Pasajeros[[#This Row],[Edad]]&gt;=51,"Adultos Mayores")</f>
        <v>Adultos</v>
      </c>
    </row>
    <row r="392" spans="1:13" x14ac:dyDescent="0.25">
      <c r="A392" s="3" t="s">
        <v>1528</v>
      </c>
      <c r="B392" s="3" t="s">
        <v>902</v>
      </c>
      <c r="C392" s="3">
        <v>389</v>
      </c>
      <c r="D392" s="5">
        <v>39</v>
      </c>
      <c r="E392" s="3">
        <v>0</v>
      </c>
      <c r="F392" s="3">
        <v>0</v>
      </c>
      <c r="G392" s="3">
        <v>3</v>
      </c>
      <c r="H392" s="3">
        <v>0</v>
      </c>
      <c r="I392" s="3">
        <v>250655</v>
      </c>
      <c r="J392" s="13">
        <v>77.292000000000002</v>
      </c>
      <c r="K392" s="3" t="s">
        <v>2210</v>
      </c>
      <c r="L392" s="3" t="s">
        <v>905</v>
      </c>
      <c r="M392" t="str" cm="1">
        <f t="array" ref="M392">_xlfn.IFS(INFO_Pasajeros[[#This Row],[Edad]]&lt;=13,"Niños",INFO_Pasajeros[[#This Row],[Edad]]&lt;=18,"Jóvenes",INFO_Pasajeros[[#This Row],[Edad]]&lt;=50,"Adultos",INFO_Pasajeros[[#This Row],[Edad]]&gt;=51,"Adultos Mayores")</f>
        <v>Adultos</v>
      </c>
    </row>
    <row r="393" spans="1:13" x14ac:dyDescent="0.25">
      <c r="A393" s="3" t="s">
        <v>1529</v>
      </c>
      <c r="B393" s="3" t="s">
        <v>907</v>
      </c>
      <c r="C393" s="3">
        <v>390</v>
      </c>
      <c r="D393" s="5">
        <v>58</v>
      </c>
      <c r="E393" s="3">
        <v>0</v>
      </c>
      <c r="F393" s="3">
        <v>0</v>
      </c>
      <c r="G393" s="3">
        <v>2</v>
      </c>
      <c r="H393" s="3">
        <v>1</v>
      </c>
      <c r="I393" s="3">
        <v>312991</v>
      </c>
      <c r="J393" s="13">
        <v>12</v>
      </c>
      <c r="K393" s="3" t="s">
        <v>2210</v>
      </c>
      <c r="L393" s="3" t="s">
        <v>905</v>
      </c>
      <c r="M393" t="str" cm="1">
        <f t="array" ref="M393">_xlfn.IFS(INFO_Pasajeros[[#This Row],[Edad]]&lt;=13,"Niños",INFO_Pasajeros[[#This Row],[Edad]]&lt;=18,"Jóvenes",INFO_Pasajeros[[#This Row],[Edad]]&lt;=50,"Adultos",INFO_Pasajeros[[#This Row],[Edad]]&gt;=51,"Adultos Mayores")</f>
        <v>Adultos Mayores</v>
      </c>
    </row>
    <row r="394" spans="1:13" x14ac:dyDescent="0.25">
      <c r="A394" s="3" t="s">
        <v>1531</v>
      </c>
      <c r="B394" s="3" t="s">
        <v>902</v>
      </c>
      <c r="C394" s="3">
        <v>391</v>
      </c>
      <c r="D394" s="5">
        <v>21</v>
      </c>
      <c r="E394" s="3">
        <v>2</v>
      </c>
      <c r="F394" s="3">
        <v>1</v>
      </c>
      <c r="G394" s="3">
        <v>1</v>
      </c>
      <c r="H394" s="3">
        <v>1</v>
      </c>
      <c r="I394" s="3">
        <v>312992</v>
      </c>
      <c r="J394" s="13">
        <v>120</v>
      </c>
      <c r="K394" s="3" t="s">
        <v>2210</v>
      </c>
      <c r="L394" s="3" t="s">
        <v>905</v>
      </c>
      <c r="M394" t="str" cm="1">
        <f t="array" ref="M394">_xlfn.IFS(INFO_Pasajeros[[#This Row],[Edad]]&lt;=13,"Niños",INFO_Pasajeros[[#This Row],[Edad]]&lt;=18,"Jóvenes",INFO_Pasajeros[[#This Row],[Edad]]&lt;=50,"Adultos",INFO_Pasajeros[[#This Row],[Edad]]&gt;=51,"Adultos Mayores")</f>
        <v>Adultos</v>
      </c>
    </row>
    <row r="395" spans="1:13" x14ac:dyDescent="0.25">
      <c r="A395" s="3" t="s">
        <v>1533</v>
      </c>
      <c r="B395" s="3" t="s">
        <v>902</v>
      </c>
      <c r="C395" s="3">
        <v>392</v>
      </c>
      <c r="D395" s="5">
        <v>50</v>
      </c>
      <c r="E395" s="3">
        <v>0</v>
      </c>
      <c r="F395" s="3">
        <v>0</v>
      </c>
      <c r="G395" s="3">
        <v>3</v>
      </c>
      <c r="H395" s="3">
        <v>1</v>
      </c>
      <c r="I395" s="3">
        <v>312993</v>
      </c>
      <c r="J395" s="13">
        <v>77.957999999999998</v>
      </c>
      <c r="K395" s="3" t="s">
        <v>2210</v>
      </c>
      <c r="L395" s="3" t="s">
        <v>905</v>
      </c>
      <c r="M395" t="str" cm="1">
        <f t="array" ref="M395">_xlfn.IFS(INFO_Pasajeros[[#This Row],[Edad]]&lt;=13,"Niños",INFO_Pasajeros[[#This Row],[Edad]]&lt;=18,"Jóvenes",INFO_Pasajeros[[#This Row],[Edad]]&lt;=50,"Adultos",INFO_Pasajeros[[#This Row],[Edad]]&gt;=51,"Adultos Mayores")</f>
        <v>Adultos</v>
      </c>
    </row>
    <row r="396" spans="1:13" x14ac:dyDescent="0.25">
      <c r="A396" s="3" t="s">
        <v>1534</v>
      </c>
      <c r="B396" s="3" t="s">
        <v>902</v>
      </c>
      <c r="C396" s="3">
        <v>393</v>
      </c>
      <c r="D396" s="5">
        <v>42</v>
      </c>
      <c r="E396" s="3">
        <v>0</v>
      </c>
      <c r="F396" s="3">
        <v>2</v>
      </c>
      <c r="G396" s="3">
        <v>3</v>
      </c>
      <c r="H396" s="3">
        <v>0</v>
      </c>
      <c r="I396" s="3">
        <v>315037</v>
      </c>
      <c r="J396" s="13">
        <v>7.9249999999999998</v>
      </c>
      <c r="K396" s="3" t="s">
        <v>2210</v>
      </c>
      <c r="L396" s="3" t="s">
        <v>905</v>
      </c>
      <c r="M396" t="str" cm="1">
        <f t="array" ref="M396">_xlfn.IFS(INFO_Pasajeros[[#This Row],[Edad]]&lt;=13,"Niños",INFO_Pasajeros[[#This Row],[Edad]]&lt;=18,"Jóvenes",INFO_Pasajeros[[#This Row],[Edad]]&lt;=50,"Adultos",INFO_Pasajeros[[#This Row],[Edad]]&gt;=51,"Adultos Mayores")</f>
        <v>Adultos</v>
      </c>
    </row>
    <row r="397" spans="1:13" x14ac:dyDescent="0.25">
      <c r="A397" s="3" t="s">
        <v>1535</v>
      </c>
      <c r="B397" s="3" t="s">
        <v>907</v>
      </c>
      <c r="C397" s="3">
        <v>394</v>
      </c>
      <c r="D397" s="5">
        <v>29</v>
      </c>
      <c r="E397" s="3">
        <v>0</v>
      </c>
      <c r="F397" s="3">
        <v>1</v>
      </c>
      <c r="G397" s="3">
        <v>1</v>
      </c>
      <c r="H397" s="3">
        <v>1</v>
      </c>
      <c r="I397" s="3">
        <v>315082</v>
      </c>
      <c r="J397" s="13">
        <v>113.27500000000001</v>
      </c>
      <c r="K397" s="3" t="s">
        <v>2210</v>
      </c>
      <c r="L397" s="3" t="s">
        <v>905</v>
      </c>
      <c r="M397" t="str" cm="1">
        <f t="array" ref="M397">_xlfn.IFS(INFO_Pasajeros[[#This Row],[Edad]]&lt;=13,"Niños",INFO_Pasajeros[[#This Row],[Edad]]&lt;=18,"Jóvenes",INFO_Pasajeros[[#This Row],[Edad]]&lt;=50,"Adultos",INFO_Pasajeros[[#This Row],[Edad]]&gt;=51,"Adultos Mayores")</f>
        <v>Adultos</v>
      </c>
    </row>
    <row r="398" spans="1:13" x14ac:dyDescent="0.25">
      <c r="A398" s="3" t="s">
        <v>1536</v>
      </c>
      <c r="B398" s="3" t="s">
        <v>907</v>
      </c>
      <c r="C398" s="3">
        <v>395</v>
      </c>
      <c r="D398" s="5">
        <v>30</v>
      </c>
      <c r="E398" s="3">
        <v>2</v>
      </c>
      <c r="F398" s="3">
        <v>0</v>
      </c>
      <c r="G398" s="3">
        <v>3</v>
      </c>
      <c r="H398" s="3">
        <v>1</v>
      </c>
      <c r="I398" s="3">
        <v>315084</v>
      </c>
      <c r="J398" s="13">
        <v>16.7</v>
      </c>
      <c r="K398" s="3" t="s">
        <v>2210</v>
      </c>
      <c r="L398" s="3" t="s">
        <v>905</v>
      </c>
      <c r="M398" t="str" cm="1">
        <f t="array" ref="M398">_xlfn.IFS(INFO_Pasajeros[[#This Row],[Edad]]&lt;=13,"Niños",INFO_Pasajeros[[#This Row],[Edad]]&lt;=18,"Jóvenes",INFO_Pasajeros[[#This Row],[Edad]]&lt;=50,"Adultos",INFO_Pasajeros[[#This Row],[Edad]]&gt;=51,"Adultos Mayores")</f>
        <v>Adultos</v>
      </c>
    </row>
    <row r="399" spans="1:13" x14ac:dyDescent="0.25">
      <c r="A399" s="3" t="s">
        <v>1537</v>
      </c>
      <c r="B399" s="3" t="s">
        <v>902</v>
      </c>
      <c r="C399" s="3">
        <v>396</v>
      </c>
      <c r="D399" s="5">
        <v>17</v>
      </c>
      <c r="E399" s="3">
        <v>0</v>
      </c>
      <c r="F399" s="3">
        <v>0</v>
      </c>
      <c r="G399" s="3">
        <v>3</v>
      </c>
      <c r="H399" s="3">
        <v>0</v>
      </c>
      <c r="I399" s="3">
        <v>315086</v>
      </c>
      <c r="J399" s="13">
        <v>77.957999999999998</v>
      </c>
      <c r="K399" s="3" t="s">
        <v>2210</v>
      </c>
      <c r="L399" s="3" t="s">
        <v>905</v>
      </c>
      <c r="M399" t="str" cm="1">
        <f t="array" ref="M399">_xlfn.IFS(INFO_Pasajeros[[#This Row],[Edad]]&lt;=13,"Niños",INFO_Pasajeros[[#This Row],[Edad]]&lt;=18,"Jóvenes",INFO_Pasajeros[[#This Row],[Edad]]&lt;=50,"Adultos",INFO_Pasajeros[[#This Row],[Edad]]&gt;=51,"Adultos Mayores")</f>
        <v>Jóvenes</v>
      </c>
    </row>
    <row r="400" spans="1:13" x14ac:dyDescent="0.25">
      <c r="A400" s="3" t="s">
        <v>1538</v>
      </c>
      <c r="B400" s="3" t="s">
        <v>907</v>
      </c>
      <c r="C400" s="3">
        <v>397</v>
      </c>
      <c r="D400" s="5">
        <v>42</v>
      </c>
      <c r="E400" s="3">
        <v>0</v>
      </c>
      <c r="F400" s="3">
        <v>0</v>
      </c>
      <c r="G400" s="3">
        <v>3</v>
      </c>
      <c r="H400" s="3">
        <v>0</v>
      </c>
      <c r="I400" s="3">
        <v>315088</v>
      </c>
      <c r="J400" s="13">
        <v>78.542000000000002</v>
      </c>
      <c r="K400" s="3" t="s">
        <v>2210</v>
      </c>
      <c r="L400" s="3" t="s">
        <v>905</v>
      </c>
      <c r="M400" t="str" cm="1">
        <f t="array" ref="M400">_xlfn.IFS(INFO_Pasajeros[[#This Row],[Edad]]&lt;=13,"Niños",INFO_Pasajeros[[#This Row],[Edad]]&lt;=18,"Jóvenes",INFO_Pasajeros[[#This Row],[Edad]]&lt;=50,"Adultos",INFO_Pasajeros[[#This Row],[Edad]]&gt;=51,"Adultos Mayores")</f>
        <v>Adultos</v>
      </c>
    </row>
    <row r="401" spans="1:13" x14ac:dyDescent="0.25">
      <c r="A401" s="3" t="s">
        <v>1539</v>
      </c>
      <c r="B401" s="3" t="s">
        <v>902</v>
      </c>
      <c r="C401" s="3">
        <v>398</v>
      </c>
      <c r="D401" s="5">
        <v>38</v>
      </c>
      <c r="E401" s="3">
        <v>0</v>
      </c>
      <c r="F401" s="3">
        <v>0</v>
      </c>
      <c r="G401" s="3">
        <v>2</v>
      </c>
      <c r="H401" s="3">
        <v>0</v>
      </c>
      <c r="I401" s="3">
        <v>315089</v>
      </c>
      <c r="J401" s="13">
        <v>26</v>
      </c>
      <c r="K401" s="3" t="s">
        <v>2210</v>
      </c>
      <c r="L401" s="3" t="s">
        <v>905</v>
      </c>
      <c r="M401" t="str" cm="1">
        <f t="array" ref="M401">_xlfn.IFS(INFO_Pasajeros[[#This Row],[Edad]]&lt;=13,"Niños",INFO_Pasajeros[[#This Row],[Edad]]&lt;=18,"Jóvenes",INFO_Pasajeros[[#This Row],[Edad]]&lt;=50,"Adultos",INFO_Pasajeros[[#This Row],[Edad]]&gt;=51,"Adultos Mayores")</f>
        <v>Adultos</v>
      </c>
    </row>
    <row r="402" spans="1:13" x14ac:dyDescent="0.25">
      <c r="A402" s="3" t="s">
        <v>1540</v>
      </c>
      <c r="B402" s="3" t="s">
        <v>902</v>
      </c>
      <c r="C402" s="3">
        <v>399</v>
      </c>
      <c r="D402" s="5">
        <v>17</v>
      </c>
      <c r="E402" s="3">
        <v>0</v>
      </c>
      <c r="F402" s="3">
        <v>0</v>
      </c>
      <c r="G402" s="3">
        <v>2</v>
      </c>
      <c r="H402" s="3">
        <v>0</v>
      </c>
      <c r="I402" s="3">
        <v>315090</v>
      </c>
      <c r="J402" s="13">
        <v>10.5</v>
      </c>
      <c r="K402" s="3" t="s">
        <v>2210</v>
      </c>
      <c r="L402" s="3" t="s">
        <v>905</v>
      </c>
      <c r="M402" t="str" cm="1">
        <f t="array" ref="M402">_xlfn.IFS(INFO_Pasajeros[[#This Row],[Edad]]&lt;=13,"Niños",INFO_Pasajeros[[#This Row],[Edad]]&lt;=18,"Jóvenes",INFO_Pasajeros[[#This Row],[Edad]]&lt;=50,"Adultos",INFO_Pasajeros[[#This Row],[Edad]]&gt;=51,"Adultos Mayores")</f>
        <v>Jóvenes</v>
      </c>
    </row>
    <row r="403" spans="1:13" x14ac:dyDescent="0.25">
      <c r="A403" s="3" t="s">
        <v>1541</v>
      </c>
      <c r="B403" s="3" t="s">
        <v>907</v>
      </c>
      <c r="C403" s="3">
        <v>400</v>
      </c>
      <c r="D403" s="5">
        <v>17</v>
      </c>
      <c r="E403" s="3">
        <v>0</v>
      </c>
      <c r="F403" s="3">
        <v>0</v>
      </c>
      <c r="G403" s="3">
        <v>2</v>
      </c>
      <c r="H403" s="3">
        <v>1</v>
      </c>
      <c r="I403" s="3">
        <v>315093</v>
      </c>
      <c r="J403" s="13">
        <v>12.65</v>
      </c>
      <c r="K403" s="3" t="s">
        <v>2210</v>
      </c>
      <c r="L403" s="3" t="s">
        <v>905</v>
      </c>
      <c r="M403" t="str" cm="1">
        <f t="array" ref="M403">_xlfn.IFS(INFO_Pasajeros[[#This Row],[Edad]]&lt;=13,"Niños",INFO_Pasajeros[[#This Row],[Edad]]&lt;=18,"Jóvenes",INFO_Pasajeros[[#This Row],[Edad]]&lt;=50,"Adultos",INFO_Pasajeros[[#This Row],[Edad]]&gt;=51,"Adultos Mayores")</f>
        <v>Jóvenes</v>
      </c>
    </row>
    <row r="404" spans="1:13" x14ac:dyDescent="0.25">
      <c r="A404" s="3" t="s">
        <v>1543</v>
      </c>
      <c r="B404" s="3" t="s">
        <v>902</v>
      </c>
      <c r="C404" s="3">
        <v>401</v>
      </c>
      <c r="D404" s="5">
        <v>20</v>
      </c>
      <c r="E404" s="3">
        <v>0</v>
      </c>
      <c r="F404" s="3">
        <v>0</v>
      </c>
      <c r="G404" s="3">
        <v>3</v>
      </c>
      <c r="H404" s="3">
        <v>1</v>
      </c>
      <c r="I404" s="3">
        <v>315094</v>
      </c>
      <c r="J404" s="13">
        <v>7.9249999999999998</v>
      </c>
      <c r="K404" s="3" t="s">
        <v>2210</v>
      </c>
      <c r="L404" s="3" t="s">
        <v>905</v>
      </c>
      <c r="M404" t="str" cm="1">
        <f t="array" ref="M404">_xlfn.IFS(INFO_Pasajeros[[#This Row],[Edad]]&lt;=13,"Niños",INFO_Pasajeros[[#This Row],[Edad]]&lt;=18,"Jóvenes",INFO_Pasajeros[[#This Row],[Edad]]&lt;=50,"Adultos",INFO_Pasajeros[[#This Row],[Edad]]&gt;=51,"Adultos Mayores")</f>
        <v>Adultos</v>
      </c>
    </row>
    <row r="405" spans="1:13" x14ac:dyDescent="0.25">
      <c r="A405" s="3" t="s">
        <v>1545</v>
      </c>
      <c r="B405" s="3" t="s">
        <v>902</v>
      </c>
      <c r="C405" s="3">
        <v>402</v>
      </c>
      <c r="D405" s="5">
        <v>20</v>
      </c>
      <c r="E405" s="3">
        <v>0</v>
      </c>
      <c r="F405" s="3">
        <v>0</v>
      </c>
      <c r="G405" s="3">
        <v>3</v>
      </c>
      <c r="H405" s="3">
        <v>0</v>
      </c>
      <c r="I405" s="3">
        <v>315096</v>
      </c>
      <c r="J405" s="13">
        <v>8.0500000000000007</v>
      </c>
      <c r="K405" s="3" t="s">
        <v>2210</v>
      </c>
      <c r="L405" s="3" t="s">
        <v>905</v>
      </c>
      <c r="M405" t="str" cm="1">
        <f t="array" ref="M405">_xlfn.IFS(INFO_Pasajeros[[#This Row],[Edad]]&lt;=13,"Niños",INFO_Pasajeros[[#This Row],[Edad]]&lt;=18,"Jóvenes",INFO_Pasajeros[[#This Row],[Edad]]&lt;=50,"Adultos",INFO_Pasajeros[[#This Row],[Edad]]&gt;=51,"Adultos Mayores")</f>
        <v>Adultos</v>
      </c>
    </row>
    <row r="406" spans="1:13" x14ac:dyDescent="0.25">
      <c r="A406" s="3" t="s">
        <v>1546</v>
      </c>
      <c r="B406" s="3" t="s">
        <v>907</v>
      </c>
      <c r="C406" s="3">
        <v>403</v>
      </c>
      <c r="D406" s="5">
        <v>21</v>
      </c>
      <c r="E406" s="3">
        <v>0</v>
      </c>
      <c r="F406" s="3">
        <v>1</v>
      </c>
      <c r="G406" s="3">
        <v>3</v>
      </c>
      <c r="H406" s="3">
        <v>0</v>
      </c>
      <c r="I406" s="3">
        <v>315097</v>
      </c>
      <c r="J406" s="13">
        <v>9.8249999999999993</v>
      </c>
      <c r="K406" s="3" t="s">
        <v>2210</v>
      </c>
      <c r="L406" s="3" t="s">
        <v>905</v>
      </c>
      <c r="M406" t="str" cm="1">
        <f t="array" ref="M406">_xlfn.IFS(INFO_Pasajeros[[#This Row],[Edad]]&lt;=13,"Niños",INFO_Pasajeros[[#This Row],[Edad]]&lt;=18,"Jóvenes",INFO_Pasajeros[[#This Row],[Edad]]&lt;=50,"Adultos",INFO_Pasajeros[[#This Row],[Edad]]&gt;=51,"Adultos Mayores")</f>
        <v>Adultos</v>
      </c>
    </row>
    <row r="407" spans="1:13" x14ac:dyDescent="0.25">
      <c r="A407" s="3" t="s">
        <v>1547</v>
      </c>
      <c r="B407" s="3" t="s">
        <v>902</v>
      </c>
      <c r="C407" s="3">
        <v>404</v>
      </c>
      <c r="D407" s="5">
        <v>27</v>
      </c>
      <c r="E407" s="3">
        <v>0</v>
      </c>
      <c r="F407" s="3">
        <v>1</v>
      </c>
      <c r="G407" s="3">
        <v>3</v>
      </c>
      <c r="H407" s="3">
        <v>0</v>
      </c>
      <c r="I407" s="3">
        <v>315098</v>
      </c>
      <c r="J407" s="13">
        <v>15.85</v>
      </c>
      <c r="K407" s="3" t="s">
        <v>2210</v>
      </c>
      <c r="L407" s="3" t="s">
        <v>905</v>
      </c>
      <c r="M407" t="str" cm="1">
        <f t="array" ref="M407">_xlfn.IFS(INFO_Pasajeros[[#This Row],[Edad]]&lt;=13,"Niños",INFO_Pasajeros[[#This Row],[Edad]]&lt;=18,"Jóvenes",INFO_Pasajeros[[#This Row],[Edad]]&lt;=50,"Adultos",INFO_Pasajeros[[#This Row],[Edad]]&gt;=51,"Adultos Mayores")</f>
        <v>Adultos</v>
      </c>
    </row>
    <row r="408" spans="1:13" x14ac:dyDescent="0.25">
      <c r="A408" s="3" t="s">
        <v>1548</v>
      </c>
      <c r="B408" s="3" t="s">
        <v>907</v>
      </c>
      <c r="C408" s="3">
        <v>405</v>
      </c>
      <c r="D408" s="5">
        <v>26</v>
      </c>
      <c r="E408" s="3">
        <v>0</v>
      </c>
      <c r="F408" s="3">
        <v>0</v>
      </c>
      <c r="G408" s="3">
        <v>3</v>
      </c>
      <c r="H408" s="3">
        <v>0</v>
      </c>
      <c r="I408" s="3">
        <v>315151</v>
      </c>
      <c r="J408" s="13">
        <v>86.625</v>
      </c>
      <c r="K408" s="3" t="s">
        <v>2210</v>
      </c>
      <c r="L408" s="3" t="s">
        <v>905</v>
      </c>
      <c r="M408" t="str" cm="1">
        <f t="array" ref="M408">_xlfn.IFS(INFO_Pasajeros[[#This Row],[Edad]]&lt;=13,"Niños",INFO_Pasajeros[[#This Row],[Edad]]&lt;=18,"Jóvenes",INFO_Pasajeros[[#This Row],[Edad]]&lt;=50,"Adultos",INFO_Pasajeros[[#This Row],[Edad]]&gt;=51,"Adultos Mayores")</f>
        <v>Adultos</v>
      </c>
    </row>
    <row r="409" spans="1:13" x14ac:dyDescent="0.25">
      <c r="A409" s="3" t="s">
        <v>1549</v>
      </c>
      <c r="B409" s="3" t="s">
        <v>902</v>
      </c>
      <c r="C409" s="3">
        <v>406</v>
      </c>
      <c r="D409" s="5">
        <v>4</v>
      </c>
      <c r="E409" s="3">
        <v>0</v>
      </c>
      <c r="F409" s="3">
        <v>1</v>
      </c>
      <c r="G409" s="3">
        <v>2</v>
      </c>
      <c r="H409" s="3">
        <v>0</v>
      </c>
      <c r="I409" s="3">
        <v>315153</v>
      </c>
      <c r="J409" s="13">
        <v>21</v>
      </c>
      <c r="K409" s="3" t="s">
        <v>2210</v>
      </c>
      <c r="L409" s="3" t="s">
        <v>905</v>
      </c>
      <c r="M409" t="str" cm="1">
        <f t="array" ref="M409">_xlfn.IFS(INFO_Pasajeros[[#This Row],[Edad]]&lt;=13,"Niños",INFO_Pasajeros[[#This Row],[Edad]]&lt;=18,"Jóvenes",INFO_Pasajeros[[#This Row],[Edad]]&lt;=50,"Adultos",INFO_Pasajeros[[#This Row],[Edad]]&gt;=51,"Adultos Mayores")</f>
        <v>Niños</v>
      </c>
    </row>
    <row r="410" spans="1:13" x14ac:dyDescent="0.25">
      <c r="A410" s="3" t="s">
        <v>1550</v>
      </c>
      <c r="B410" s="3" t="s">
        <v>902</v>
      </c>
      <c r="C410" s="3">
        <v>407</v>
      </c>
      <c r="D410" s="5">
        <v>58</v>
      </c>
      <c r="E410" s="3">
        <v>0</v>
      </c>
      <c r="F410" s="3">
        <v>0</v>
      </c>
      <c r="G410" s="3">
        <v>3</v>
      </c>
      <c r="H410" s="3">
        <v>0</v>
      </c>
      <c r="I410" s="3">
        <v>323592</v>
      </c>
      <c r="J410" s="13">
        <v>7.75</v>
      </c>
      <c r="K410" s="3" t="s">
        <v>2210</v>
      </c>
      <c r="L410" s="3" t="s">
        <v>905</v>
      </c>
      <c r="M410" t="str" cm="1">
        <f t="array" ref="M410">_xlfn.IFS(INFO_Pasajeros[[#This Row],[Edad]]&lt;=13,"Niños",INFO_Pasajeros[[#This Row],[Edad]]&lt;=18,"Jóvenes",INFO_Pasajeros[[#This Row],[Edad]]&lt;=50,"Adultos",INFO_Pasajeros[[#This Row],[Edad]]&gt;=51,"Adultos Mayores")</f>
        <v>Adultos Mayores</v>
      </c>
    </row>
    <row r="411" spans="1:13" x14ac:dyDescent="0.25">
      <c r="A411" s="3" t="s">
        <v>1551</v>
      </c>
      <c r="B411" s="3" t="s">
        <v>902</v>
      </c>
      <c r="C411" s="3">
        <v>408</v>
      </c>
      <c r="D411" s="5">
        <v>19</v>
      </c>
      <c r="E411" s="3">
        <v>1</v>
      </c>
      <c r="F411" s="3">
        <v>1</v>
      </c>
      <c r="G411" s="3">
        <v>2</v>
      </c>
      <c r="H411" s="3">
        <v>1</v>
      </c>
      <c r="I411" s="3">
        <v>323951</v>
      </c>
      <c r="J411" s="13">
        <v>18.75</v>
      </c>
      <c r="K411" s="3" t="s">
        <v>2210</v>
      </c>
      <c r="L411" s="3" t="s">
        <v>905</v>
      </c>
      <c r="M411" t="str" cm="1">
        <f t="array" ref="M411">_xlfn.IFS(INFO_Pasajeros[[#This Row],[Edad]]&lt;=13,"Niños",INFO_Pasajeros[[#This Row],[Edad]]&lt;=18,"Jóvenes",INFO_Pasajeros[[#This Row],[Edad]]&lt;=50,"Adultos",INFO_Pasajeros[[#This Row],[Edad]]&gt;=51,"Adultos Mayores")</f>
        <v>Adultos</v>
      </c>
    </row>
    <row r="412" spans="1:13" x14ac:dyDescent="0.25">
      <c r="A412" s="3" t="s">
        <v>1553</v>
      </c>
      <c r="B412" s="3" t="s">
        <v>902</v>
      </c>
      <c r="C412" s="3">
        <v>409</v>
      </c>
      <c r="D412" s="5">
        <v>22</v>
      </c>
      <c r="E412" s="3">
        <v>0</v>
      </c>
      <c r="F412" s="3">
        <v>0</v>
      </c>
      <c r="G412" s="3">
        <v>3</v>
      </c>
      <c r="H412" s="3">
        <v>0</v>
      </c>
      <c r="I412" s="3">
        <v>324669</v>
      </c>
      <c r="J412" s="13">
        <v>7.7750000000000004</v>
      </c>
      <c r="K412" s="3" t="s">
        <v>2210</v>
      </c>
      <c r="L412" s="3" t="s">
        <v>905</v>
      </c>
      <c r="M412" t="str" cm="1">
        <f t="array" ref="M412">_xlfn.IFS(INFO_Pasajeros[[#This Row],[Edad]]&lt;=13,"Niños",INFO_Pasajeros[[#This Row],[Edad]]&lt;=18,"Jóvenes",INFO_Pasajeros[[#This Row],[Edad]]&lt;=50,"Adultos",INFO_Pasajeros[[#This Row],[Edad]]&gt;=51,"Adultos Mayores")</f>
        <v>Adultos</v>
      </c>
    </row>
    <row r="413" spans="1:13" x14ac:dyDescent="0.25">
      <c r="A413" s="3" t="s">
        <v>1554</v>
      </c>
      <c r="B413" s="3" t="s">
        <v>907</v>
      </c>
      <c r="C413" s="3">
        <v>410</v>
      </c>
      <c r="D413" s="5">
        <v>74</v>
      </c>
      <c r="E413" s="3">
        <v>1</v>
      </c>
      <c r="F413" s="3">
        <v>3</v>
      </c>
      <c r="G413" s="3">
        <v>3</v>
      </c>
      <c r="H413" s="3">
        <v>0</v>
      </c>
      <c r="I413" s="3">
        <v>330877</v>
      </c>
      <c r="J413" s="13">
        <v>254.667</v>
      </c>
      <c r="K413" s="3" t="s">
        <v>2210</v>
      </c>
      <c r="L413" s="3" t="s">
        <v>919</v>
      </c>
      <c r="M413" t="str" cm="1">
        <f t="array" ref="M413">_xlfn.IFS(INFO_Pasajeros[[#This Row],[Edad]]&lt;=13,"Niños",INFO_Pasajeros[[#This Row],[Edad]]&lt;=18,"Jóvenes",INFO_Pasajeros[[#This Row],[Edad]]&lt;=50,"Adultos",INFO_Pasajeros[[#This Row],[Edad]]&gt;=51,"Adultos Mayores")</f>
        <v>Adultos Mayores</v>
      </c>
    </row>
    <row r="414" spans="1:13" x14ac:dyDescent="0.25">
      <c r="A414" s="3" t="s">
        <v>1555</v>
      </c>
      <c r="B414" s="3" t="s">
        <v>902</v>
      </c>
      <c r="C414" s="3">
        <v>411</v>
      </c>
      <c r="D414" s="5">
        <v>47</v>
      </c>
      <c r="E414" s="3">
        <v>0</v>
      </c>
      <c r="F414" s="3">
        <v>0</v>
      </c>
      <c r="G414" s="3">
        <v>3</v>
      </c>
      <c r="H414" s="3">
        <v>0</v>
      </c>
      <c r="I414" s="3">
        <v>330909</v>
      </c>
      <c r="J414" s="13">
        <v>78.957999999999998</v>
      </c>
      <c r="K414" s="3" t="s">
        <v>2210</v>
      </c>
      <c r="L414" s="3" t="s">
        <v>919</v>
      </c>
      <c r="M414" t="str" cm="1">
        <f t="array" ref="M414">_xlfn.IFS(INFO_Pasajeros[[#This Row],[Edad]]&lt;=13,"Niños",INFO_Pasajeros[[#This Row],[Edad]]&lt;=18,"Jóvenes",INFO_Pasajeros[[#This Row],[Edad]]&lt;=50,"Adultos",INFO_Pasajeros[[#This Row],[Edad]]&gt;=51,"Adultos Mayores")</f>
        <v>Adultos</v>
      </c>
    </row>
    <row r="415" spans="1:13" x14ac:dyDescent="0.25">
      <c r="A415" s="3" t="s">
        <v>1556</v>
      </c>
      <c r="B415" s="3" t="s">
        <v>902</v>
      </c>
      <c r="C415" s="3">
        <v>412</v>
      </c>
      <c r="D415" s="5">
        <v>75</v>
      </c>
      <c r="E415" s="3">
        <v>0</v>
      </c>
      <c r="F415" s="3">
        <v>0</v>
      </c>
      <c r="G415" s="3">
        <v>3</v>
      </c>
      <c r="H415" s="3">
        <v>0</v>
      </c>
      <c r="I415" s="3">
        <v>330919</v>
      </c>
      <c r="J415" s="13">
        <v>68.582999999999998</v>
      </c>
      <c r="K415" s="3" t="s">
        <v>2210</v>
      </c>
      <c r="L415" s="3" t="s">
        <v>919</v>
      </c>
      <c r="M415" t="str" cm="1">
        <f t="array" ref="M415">_xlfn.IFS(INFO_Pasajeros[[#This Row],[Edad]]&lt;=13,"Niños",INFO_Pasajeros[[#This Row],[Edad]]&lt;=18,"Jóvenes",INFO_Pasajeros[[#This Row],[Edad]]&lt;=50,"Adultos",INFO_Pasajeros[[#This Row],[Edad]]&gt;=51,"Adultos Mayores")</f>
        <v>Adultos Mayores</v>
      </c>
    </row>
    <row r="416" spans="1:13" x14ac:dyDescent="0.25">
      <c r="A416" s="3" t="s">
        <v>1557</v>
      </c>
      <c r="B416" s="3" t="s">
        <v>907</v>
      </c>
      <c r="C416" s="3">
        <v>413</v>
      </c>
      <c r="D416" s="5">
        <v>15</v>
      </c>
      <c r="E416" s="3">
        <v>0</v>
      </c>
      <c r="F416" s="3">
        <v>1</v>
      </c>
      <c r="G416" s="3">
        <v>1</v>
      </c>
      <c r="H416" s="3">
        <v>1</v>
      </c>
      <c r="I416" s="3">
        <v>330923</v>
      </c>
      <c r="J416" s="13">
        <v>90</v>
      </c>
      <c r="K416" s="3" t="s">
        <v>2210</v>
      </c>
      <c r="L416" s="3" t="s">
        <v>919</v>
      </c>
      <c r="M416" t="str" cm="1">
        <f t="array" ref="M416">_xlfn.IFS(INFO_Pasajeros[[#This Row],[Edad]]&lt;=13,"Niños",INFO_Pasajeros[[#This Row],[Edad]]&lt;=18,"Jóvenes",INFO_Pasajeros[[#This Row],[Edad]]&lt;=50,"Adultos",INFO_Pasajeros[[#This Row],[Edad]]&gt;=51,"Adultos Mayores")</f>
        <v>Jóvenes</v>
      </c>
    </row>
    <row r="417" spans="1:13" x14ac:dyDescent="0.25">
      <c r="A417" s="3" t="s">
        <v>1558</v>
      </c>
      <c r="B417" s="3" t="s">
        <v>902</v>
      </c>
      <c r="C417" s="3">
        <v>414</v>
      </c>
      <c r="D417" s="5">
        <v>79</v>
      </c>
      <c r="E417" s="3">
        <v>0</v>
      </c>
      <c r="F417" s="3">
        <v>0</v>
      </c>
      <c r="G417" s="3">
        <v>2</v>
      </c>
      <c r="H417" s="3">
        <v>0</v>
      </c>
      <c r="I417" s="3">
        <v>330931</v>
      </c>
      <c r="J417" s="13">
        <v>0</v>
      </c>
      <c r="K417" s="3" t="s">
        <v>2210</v>
      </c>
      <c r="L417" s="3" t="s">
        <v>919</v>
      </c>
      <c r="M417" t="str" cm="1">
        <f t="array" ref="M417">_xlfn.IFS(INFO_Pasajeros[[#This Row],[Edad]]&lt;=13,"Niños",INFO_Pasajeros[[#This Row],[Edad]]&lt;=18,"Jóvenes",INFO_Pasajeros[[#This Row],[Edad]]&lt;=50,"Adultos",INFO_Pasajeros[[#This Row],[Edad]]&gt;=51,"Adultos Mayores")</f>
        <v>Adultos Mayores</v>
      </c>
    </row>
    <row r="418" spans="1:13" x14ac:dyDescent="0.25">
      <c r="A418" s="3" t="s">
        <v>1559</v>
      </c>
      <c r="B418" s="3" t="s">
        <v>902</v>
      </c>
      <c r="C418" s="3">
        <v>415</v>
      </c>
      <c r="D418" s="5">
        <v>20</v>
      </c>
      <c r="E418" s="3">
        <v>0</v>
      </c>
      <c r="F418" s="3">
        <v>0</v>
      </c>
      <c r="G418" s="3">
        <v>3</v>
      </c>
      <c r="H418" s="3">
        <v>1</v>
      </c>
      <c r="I418" s="3">
        <v>330932</v>
      </c>
      <c r="J418" s="13">
        <v>7.9249999999999998</v>
      </c>
      <c r="K418" s="3" t="s">
        <v>2210</v>
      </c>
      <c r="L418" s="3" t="s">
        <v>919</v>
      </c>
      <c r="M418" t="str" cm="1">
        <f t="array" ref="M418">_xlfn.IFS(INFO_Pasajeros[[#This Row],[Edad]]&lt;=13,"Niños",INFO_Pasajeros[[#This Row],[Edad]]&lt;=18,"Jóvenes",INFO_Pasajeros[[#This Row],[Edad]]&lt;=50,"Adultos",INFO_Pasajeros[[#This Row],[Edad]]&gt;=51,"Adultos Mayores")</f>
        <v>Adultos</v>
      </c>
    </row>
    <row r="419" spans="1:13" x14ac:dyDescent="0.25">
      <c r="A419" s="3" t="s">
        <v>1561</v>
      </c>
      <c r="B419" s="3" t="s">
        <v>907</v>
      </c>
      <c r="C419" s="3">
        <v>416</v>
      </c>
      <c r="D419" s="5">
        <v>79</v>
      </c>
      <c r="E419" s="3">
        <v>0</v>
      </c>
      <c r="F419" s="3">
        <v>0</v>
      </c>
      <c r="G419" s="3">
        <v>3</v>
      </c>
      <c r="H419" s="3">
        <v>0</v>
      </c>
      <c r="I419" s="3">
        <v>330935</v>
      </c>
      <c r="J419" s="13">
        <v>8.0500000000000007</v>
      </c>
      <c r="K419" s="3" t="s">
        <v>2210</v>
      </c>
      <c r="L419" s="3" t="s">
        <v>919</v>
      </c>
      <c r="M419" t="str" cm="1">
        <f t="array" ref="M419">_xlfn.IFS(INFO_Pasajeros[[#This Row],[Edad]]&lt;=13,"Niños",INFO_Pasajeros[[#This Row],[Edad]]&lt;=18,"Jóvenes",INFO_Pasajeros[[#This Row],[Edad]]&lt;=50,"Adultos",INFO_Pasajeros[[#This Row],[Edad]]&gt;=51,"Adultos Mayores")</f>
        <v>Adultos Mayores</v>
      </c>
    </row>
    <row r="420" spans="1:13" x14ac:dyDescent="0.25">
      <c r="A420" s="3" t="s">
        <v>1562</v>
      </c>
      <c r="B420" s="3" t="s">
        <v>907</v>
      </c>
      <c r="C420" s="3">
        <v>417</v>
      </c>
      <c r="D420" s="5">
        <v>19</v>
      </c>
      <c r="E420" s="3">
        <v>1</v>
      </c>
      <c r="F420" s="3">
        <v>1</v>
      </c>
      <c r="G420" s="3">
        <v>2</v>
      </c>
      <c r="H420" s="3">
        <v>1</v>
      </c>
      <c r="I420" s="3">
        <v>330958</v>
      </c>
      <c r="J420" s="13">
        <v>32.5</v>
      </c>
      <c r="K420" s="3" t="s">
        <v>2210</v>
      </c>
      <c r="L420" s="3" t="s">
        <v>919</v>
      </c>
      <c r="M420" t="str" cm="1">
        <f t="array" ref="M420">_xlfn.IFS(INFO_Pasajeros[[#This Row],[Edad]]&lt;=13,"Niños",INFO_Pasajeros[[#This Row],[Edad]]&lt;=18,"Jóvenes",INFO_Pasajeros[[#This Row],[Edad]]&lt;=50,"Adultos",INFO_Pasajeros[[#This Row],[Edad]]&gt;=51,"Adultos Mayores")</f>
        <v>Adultos</v>
      </c>
    </row>
    <row r="421" spans="1:13" x14ac:dyDescent="0.25">
      <c r="A421" s="3" t="s">
        <v>1563</v>
      </c>
      <c r="B421" s="3" t="s">
        <v>907</v>
      </c>
      <c r="C421" s="3">
        <v>418</v>
      </c>
      <c r="D421" s="5">
        <v>41</v>
      </c>
      <c r="E421" s="3">
        <v>2</v>
      </c>
      <c r="F421" s="3">
        <v>0</v>
      </c>
      <c r="G421" s="3">
        <v>2</v>
      </c>
      <c r="H421" s="3">
        <v>1</v>
      </c>
      <c r="I421" s="3">
        <v>330959</v>
      </c>
      <c r="J421" s="13">
        <v>13</v>
      </c>
      <c r="K421" s="3" t="s">
        <v>2210</v>
      </c>
      <c r="L421" s="3" t="s">
        <v>919</v>
      </c>
      <c r="M421" t="str" cm="1">
        <f t="array" ref="M421">_xlfn.IFS(INFO_Pasajeros[[#This Row],[Edad]]&lt;=13,"Niños",INFO_Pasajeros[[#This Row],[Edad]]&lt;=18,"Jóvenes",INFO_Pasajeros[[#This Row],[Edad]]&lt;=50,"Adultos",INFO_Pasajeros[[#This Row],[Edad]]&gt;=51,"Adultos Mayores")</f>
        <v>Adultos</v>
      </c>
    </row>
    <row r="422" spans="1:13" x14ac:dyDescent="0.25">
      <c r="A422" s="3" t="s">
        <v>1564</v>
      </c>
      <c r="B422" s="3" t="s">
        <v>902</v>
      </c>
      <c r="C422" s="3">
        <v>419</v>
      </c>
      <c r="D422" s="5">
        <v>22</v>
      </c>
      <c r="E422" s="3">
        <v>0</v>
      </c>
      <c r="F422" s="3">
        <v>0</v>
      </c>
      <c r="G422" s="3">
        <v>2</v>
      </c>
      <c r="H422" s="3">
        <v>0</v>
      </c>
      <c r="I422" s="3">
        <v>330979</v>
      </c>
      <c r="J422" s="13">
        <v>13</v>
      </c>
      <c r="K422" s="3" t="s">
        <v>2210</v>
      </c>
      <c r="L422" s="3" t="s">
        <v>919</v>
      </c>
      <c r="M422" t="str" cm="1">
        <f t="array" ref="M422">_xlfn.IFS(INFO_Pasajeros[[#This Row],[Edad]]&lt;=13,"Niños",INFO_Pasajeros[[#This Row],[Edad]]&lt;=18,"Jóvenes",INFO_Pasajeros[[#This Row],[Edad]]&lt;=50,"Adultos",INFO_Pasajeros[[#This Row],[Edad]]&gt;=51,"Adultos Mayores")</f>
        <v>Adultos</v>
      </c>
    </row>
    <row r="423" spans="1:13" x14ac:dyDescent="0.25">
      <c r="A423" s="3" t="s">
        <v>1565</v>
      </c>
      <c r="B423" s="3" t="s">
        <v>907</v>
      </c>
      <c r="C423" s="3">
        <v>420</v>
      </c>
      <c r="D423" s="5">
        <v>79</v>
      </c>
      <c r="E423" s="3">
        <v>2</v>
      </c>
      <c r="F423" s="3">
        <v>0</v>
      </c>
      <c r="G423" s="3">
        <v>3</v>
      </c>
      <c r="H423" s="3">
        <v>0</v>
      </c>
      <c r="I423" s="3">
        <v>330980</v>
      </c>
      <c r="J423" s="13">
        <v>24.15</v>
      </c>
      <c r="K423" s="3" t="s">
        <v>2210</v>
      </c>
      <c r="L423" s="3" t="s">
        <v>919</v>
      </c>
      <c r="M423" t="str" cm="1">
        <f t="array" ref="M423">_xlfn.IFS(INFO_Pasajeros[[#This Row],[Edad]]&lt;=13,"Niños",INFO_Pasajeros[[#This Row],[Edad]]&lt;=18,"Jóvenes",INFO_Pasajeros[[#This Row],[Edad]]&lt;=50,"Adultos",INFO_Pasajeros[[#This Row],[Edad]]&gt;=51,"Adultos Mayores")</f>
        <v>Adultos Mayores</v>
      </c>
    </row>
    <row r="424" spans="1:13" x14ac:dyDescent="0.25">
      <c r="A424" s="3" t="s">
        <v>1566</v>
      </c>
      <c r="B424" s="3" t="s">
        <v>902</v>
      </c>
      <c r="C424" s="3">
        <v>421</v>
      </c>
      <c r="D424" s="5">
        <v>63</v>
      </c>
      <c r="E424" s="3">
        <v>0</v>
      </c>
      <c r="F424" s="3">
        <v>0</v>
      </c>
      <c r="G424" s="3">
        <v>3</v>
      </c>
      <c r="H424" s="3">
        <v>0</v>
      </c>
      <c r="I424" s="3">
        <v>334912</v>
      </c>
      <c r="J424" s="13">
        <v>78.957999999999998</v>
      </c>
      <c r="K424" s="3" t="s">
        <v>2210</v>
      </c>
      <c r="L424" s="3" t="s">
        <v>919</v>
      </c>
      <c r="M424" t="str" cm="1">
        <f t="array" ref="M424">_xlfn.IFS(INFO_Pasajeros[[#This Row],[Edad]]&lt;=13,"Niños",INFO_Pasajeros[[#This Row],[Edad]]&lt;=18,"Jóvenes",INFO_Pasajeros[[#This Row],[Edad]]&lt;=50,"Adultos",INFO_Pasajeros[[#This Row],[Edad]]&gt;=51,"Adultos Mayores")</f>
        <v>Adultos Mayores</v>
      </c>
    </row>
    <row r="425" spans="1:13" x14ac:dyDescent="0.25">
      <c r="A425" s="3" t="s">
        <v>1567</v>
      </c>
      <c r="B425" s="3" t="s">
        <v>902</v>
      </c>
      <c r="C425" s="3">
        <v>422</v>
      </c>
      <c r="D425" s="5">
        <v>31</v>
      </c>
      <c r="E425" s="3">
        <v>0</v>
      </c>
      <c r="F425" s="3">
        <v>0</v>
      </c>
      <c r="G425" s="3">
        <v>3</v>
      </c>
      <c r="H425" s="3">
        <v>0</v>
      </c>
      <c r="I425" s="3">
        <v>335097</v>
      </c>
      <c r="J425" s="13">
        <v>77.332999999999998</v>
      </c>
      <c r="K425" s="3" t="s">
        <v>2210</v>
      </c>
      <c r="L425" s="3" t="s">
        <v>919</v>
      </c>
      <c r="M425" t="str" cm="1">
        <f t="array" ref="M425">_xlfn.IFS(INFO_Pasajeros[[#This Row],[Edad]]&lt;=13,"Niños",INFO_Pasajeros[[#This Row],[Edad]]&lt;=18,"Jóvenes",INFO_Pasajeros[[#This Row],[Edad]]&lt;=50,"Adultos",INFO_Pasajeros[[#This Row],[Edad]]&gt;=51,"Adultos Mayores")</f>
        <v>Adultos</v>
      </c>
    </row>
    <row r="426" spans="1:13" x14ac:dyDescent="0.25">
      <c r="A426" s="3" t="s">
        <v>1569</v>
      </c>
      <c r="B426" s="3" t="s">
        <v>902</v>
      </c>
      <c r="C426" s="3">
        <v>423</v>
      </c>
      <c r="D426" s="5">
        <v>20</v>
      </c>
      <c r="E426" s="3">
        <v>0</v>
      </c>
      <c r="F426" s="3">
        <v>0</v>
      </c>
      <c r="G426" s="3">
        <v>3</v>
      </c>
      <c r="H426" s="3">
        <v>0</v>
      </c>
      <c r="I426" s="3">
        <v>335677</v>
      </c>
      <c r="J426" s="13">
        <v>7.875</v>
      </c>
      <c r="K426" s="3" t="s">
        <v>2210</v>
      </c>
      <c r="L426" s="3" t="s">
        <v>919</v>
      </c>
      <c r="M426" t="str" cm="1">
        <f t="array" ref="M426">_xlfn.IFS(INFO_Pasajeros[[#This Row],[Edad]]&lt;=13,"Niños",INFO_Pasajeros[[#This Row],[Edad]]&lt;=18,"Jóvenes",INFO_Pasajeros[[#This Row],[Edad]]&lt;=50,"Adultos",INFO_Pasajeros[[#This Row],[Edad]]&gt;=51,"Adultos Mayores")</f>
        <v>Adultos</v>
      </c>
    </row>
    <row r="427" spans="1:13" x14ac:dyDescent="0.25">
      <c r="A427" s="3" t="s">
        <v>1570</v>
      </c>
      <c r="B427" s="3" t="s">
        <v>907</v>
      </c>
      <c r="C427" s="3">
        <v>424</v>
      </c>
      <c r="D427" s="5">
        <v>65</v>
      </c>
      <c r="E427" s="3">
        <v>1</v>
      </c>
      <c r="F427" s="3">
        <v>1</v>
      </c>
      <c r="G427" s="3">
        <v>3</v>
      </c>
      <c r="H427" s="3">
        <v>0</v>
      </c>
      <c r="I427" s="3">
        <v>336439</v>
      </c>
      <c r="J427" s="13">
        <v>14.4</v>
      </c>
      <c r="K427" s="3" t="s">
        <v>2210</v>
      </c>
      <c r="L427" s="3" t="s">
        <v>919</v>
      </c>
      <c r="M427" t="str" cm="1">
        <f t="array" ref="M427">_xlfn.IFS(INFO_Pasajeros[[#This Row],[Edad]]&lt;=13,"Niños",INFO_Pasajeros[[#This Row],[Edad]]&lt;=18,"Jóvenes",INFO_Pasajeros[[#This Row],[Edad]]&lt;=50,"Adultos",INFO_Pasajeros[[#This Row],[Edad]]&gt;=51,"Adultos Mayores")</f>
        <v>Adultos Mayores</v>
      </c>
    </row>
    <row r="428" spans="1:13" x14ac:dyDescent="0.25">
      <c r="A428" s="3" t="s">
        <v>1572</v>
      </c>
      <c r="B428" s="3" t="s">
        <v>902</v>
      </c>
      <c r="C428" s="3">
        <v>425</v>
      </c>
      <c r="D428" s="5">
        <v>26</v>
      </c>
      <c r="E428" s="3">
        <v>1</v>
      </c>
      <c r="F428" s="3">
        <v>1</v>
      </c>
      <c r="G428" s="3">
        <v>3</v>
      </c>
      <c r="H428" s="3">
        <v>0</v>
      </c>
      <c r="I428" s="3">
        <v>341826</v>
      </c>
      <c r="J428" s="13">
        <v>202.125</v>
      </c>
      <c r="K428" s="3" t="s">
        <v>2210</v>
      </c>
      <c r="L428" s="3" t="s">
        <v>905</v>
      </c>
      <c r="M428" t="str" cm="1">
        <f t="array" ref="M428">_xlfn.IFS(INFO_Pasajeros[[#This Row],[Edad]]&lt;=13,"Niños",INFO_Pasajeros[[#This Row],[Edad]]&lt;=18,"Jóvenes",INFO_Pasajeros[[#This Row],[Edad]]&lt;=50,"Adultos",INFO_Pasajeros[[#This Row],[Edad]]&gt;=51,"Adultos Mayores")</f>
        <v>Adultos</v>
      </c>
    </row>
    <row r="429" spans="1:13" x14ac:dyDescent="0.25">
      <c r="A429" s="3" t="s">
        <v>1573</v>
      </c>
      <c r="B429" s="3" t="s">
        <v>902</v>
      </c>
      <c r="C429" s="3">
        <v>426</v>
      </c>
      <c r="D429" s="5">
        <v>25</v>
      </c>
      <c r="E429" s="3">
        <v>0</v>
      </c>
      <c r="F429" s="3">
        <v>0</v>
      </c>
      <c r="G429" s="3">
        <v>3</v>
      </c>
      <c r="H429" s="3">
        <v>0</v>
      </c>
      <c r="I429" s="3">
        <v>342826</v>
      </c>
      <c r="J429" s="13">
        <v>7.25</v>
      </c>
      <c r="K429" s="3" t="s">
        <v>2210</v>
      </c>
      <c r="L429" s="3" t="s">
        <v>905</v>
      </c>
      <c r="M429" t="str" cm="1">
        <f t="array" ref="M429">_xlfn.IFS(INFO_Pasajeros[[#This Row],[Edad]]&lt;=13,"Niños",INFO_Pasajeros[[#This Row],[Edad]]&lt;=18,"Jóvenes",INFO_Pasajeros[[#This Row],[Edad]]&lt;=50,"Adultos",INFO_Pasajeros[[#This Row],[Edad]]&gt;=51,"Adultos Mayores")</f>
        <v>Adultos</v>
      </c>
    </row>
    <row r="430" spans="1:13" x14ac:dyDescent="0.25">
      <c r="A430" s="3" t="s">
        <v>1575</v>
      </c>
      <c r="B430" s="3" t="s">
        <v>907</v>
      </c>
      <c r="C430" s="3">
        <v>427</v>
      </c>
      <c r="D430" s="5">
        <v>61</v>
      </c>
      <c r="E430" s="3">
        <v>0</v>
      </c>
      <c r="F430" s="3">
        <v>1</v>
      </c>
      <c r="G430" s="3">
        <v>2</v>
      </c>
      <c r="H430" s="3">
        <v>1</v>
      </c>
      <c r="I430" s="3">
        <v>343095</v>
      </c>
      <c r="J430" s="13">
        <v>26</v>
      </c>
      <c r="K430" s="3" t="s">
        <v>2210</v>
      </c>
      <c r="L430" s="3" t="s">
        <v>905</v>
      </c>
      <c r="M430" t="str" cm="1">
        <f t="array" ref="M430">_xlfn.IFS(INFO_Pasajeros[[#This Row],[Edad]]&lt;=13,"Niños",INFO_Pasajeros[[#This Row],[Edad]]&lt;=18,"Jóvenes",INFO_Pasajeros[[#This Row],[Edad]]&lt;=50,"Adultos",INFO_Pasajeros[[#This Row],[Edad]]&gt;=51,"Adultos Mayores")</f>
        <v>Adultos Mayores</v>
      </c>
    </row>
    <row r="431" spans="1:13" x14ac:dyDescent="0.25">
      <c r="A431" s="3" t="s">
        <v>1576</v>
      </c>
      <c r="B431" s="3" t="s">
        <v>907</v>
      </c>
      <c r="C431" s="3">
        <v>428</v>
      </c>
      <c r="D431" s="5">
        <v>21</v>
      </c>
      <c r="E431" s="3">
        <v>0</v>
      </c>
      <c r="F431" s="3">
        <v>0</v>
      </c>
      <c r="G431" s="3">
        <v>2</v>
      </c>
      <c r="H431" s="3">
        <v>1</v>
      </c>
      <c r="I431" s="3">
        <v>343120</v>
      </c>
      <c r="J431" s="13">
        <v>26</v>
      </c>
      <c r="K431" s="3" t="s">
        <v>2210</v>
      </c>
      <c r="L431" s="3" t="s">
        <v>905</v>
      </c>
      <c r="M431" t="str" cm="1">
        <f t="array" ref="M431">_xlfn.IFS(INFO_Pasajeros[[#This Row],[Edad]]&lt;=13,"Niños",INFO_Pasajeros[[#This Row],[Edad]]&lt;=18,"Jóvenes",INFO_Pasajeros[[#This Row],[Edad]]&lt;=50,"Adultos",INFO_Pasajeros[[#This Row],[Edad]]&gt;=51,"Adultos Mayores")</f>
        <v>Adultos</v>
      </c>
    </row>
    <row r="432" spans="1:13" x14ac:dyDescent="0.25">
      <c r="A432" s="3" t="s">
        <v>1577</v>
      </c>
      <c r="B432" s="3" t="s">
        <v>902</v>
      </c>
      <c r="C432" s="3">
        <v>429</v>
      </c>
      <c r="D432" s="5">
        <v>24</v>
      </c>
      <c r="E432" s="3">
        <v>0</v>
      </c>
      <c r="F432" s="3">
        <v>0</v>
      </c>
      <c r="G432" s="3">
        <v>3</v>
      </c>
      <c r="H432" s="3">
        <v>0</v>
      </c>
      <c r="I432" s="3">
        <v>343275</v>
      </c>
      <c r="J432" s="13">
        <v>7.75</v>
      </c>
      <c r="K432" s="3" t="s">
        <v>2210</v>
      </c>
      <c r="L432" s="3" t="s">
        <v>905</v>
      </c>
      <c r="M432" t="str" cm="1">
        <f t="array" ref="M432">_xlfn.IFS(INFO_Pasajeros[[#This Row],[Edad]]&lt;=13,"Niños",INFO_Pasajeros[[#This Row],[Edad]]&lt;=18,"Jóvenes",INFO_Pasajeros[[#This Row],[Edad]]&lt;=50,"Adultos",INFO_Pasajeros[[#This Row],[Edad]]&gt;=51,"Adultos Mayores")</f>
        <v>Adultos</v>
      </c>
    </row>
    <row r="433" spans="1:13" x14ac:dyDescent="0.25">
      <c r="A433" s="3" t="s">
        <v>1578</v>
      </c>
      <c r="B433" s="3" t="s">
        <v>902</v>
      </c>
      <c r="C433" s="3">
        <v>430</v>
      </c>
      <c r="D433" s="5">
        <v>29</v>
      </c>
      <c r="E433" s="3">
        <v>0</v>
      </c>
      <c r="F433" s="3">
        <v>0</v>
      </c>
      <c r="G433" s="3">
        <v>3</v>
      </c>
      <c r="H433" s="3">
        <v>1</v>
      </c>
      <c r="I433" s="3">
        <v>343276</v>
      </c>
      <c r="J433" s="13">
        <v>8.0500000000000007</v>
      </c>
      <c r="K433" s="3" t="s">
        <v>2210</v>
      </c>
      <c r="L433" s="3" t="s">
        <v>905</v>
      </c>
      <c r="M433" t="str" cm="1">
        <f t="array" ref="M433">_xlfn.IFS(INFO_Pasajeros[[#This Row],[Edad]]&lt;=13,"Niños",INFO_Pasajeros[[#This Row],[Edad]]&lt;=18,"Jóvenes",INFO_Pasajeros[[#This Row],[Edad]]&lt;=50,"Adultos",INFO_Pasajeros[[#This Row],[Edad]]&gt;=51,"Adultos Mayores")</f>
        <v>Adultos</v>
      </c>
    </row>
    <row r="434" spans="1:13" x14ac:dyDescent="0.25">
      <c r="A434" s="3" t="s">
        <v>1581</v>
      </c>
      <c r="B434" s="3" t="s">
        <v>902</v>
      </c>
      <c r="C434" s="3">
        <v>431</v>
      </c>
      <c r="D434" s="5">
        <v>61</v>
      </c>
      <c r="E434" s="3">
        <v>0</v>
      </c>
      <c r="F434" s="3">
        <v>0</v>
      </c>
      <c r="G434" s="3">
        <v>1</v>
      </c>
      <c r="H434" s="3">
        <v>1</v>
      </c>
      <c r="I434" s="3">
        <v>345364</v>
      </c>
      <c r="J434" s="13">
        <v>26.55</v>
      </c>
      <c r="K434" s="3" t="s">
        <v>2210</v>
      </c>
      <c r="L434" s="3" t="s">
        <v>905</v>
      </c>
      <c r="M434" t="str" cm="1">
        <f t="array" ref="M434">_xlfn.IFS(INFO_Pasajeros[[#This Row],[Edad]]&lt;=13,"Niños",INFO_Pasajeros[[#This Row],[Edad]]&lt;=18,"Jóvenes",INFO_Pasajeros[[#This Row],[Edad]]&lt;=50,"Adultos",INFO_Pasajeros[[#This Row],[Edad]]&gt;=51,"Adultos Mayores")</f>
        <v>Adultos Mayores</v>
      </c>
    </row>
    <row r="435" spans="1:13" x14ac:dyDescent="0.25">
      <c r="A435" s="3" t="s">
        <v>1582</v>
      </c>
      <c r="B435" s="3" t="s">
        <v>907</v>
      </c>
      <c r="C435" s="3">
        <v>432</v>
      </c>
      <c r="D435" s="5">
        <v>36</v>
      </c>
      <c r="E435" s="3">
        <v>0</v>
      </c>
      <c r="F435" s="3">
        <v>1</v>
      </c>
      <c r="G435" s="3">
        <v>3</v>
      </c>
      <c r="H435" s="3">
        <v>1</v>
      </c>
      <c r="I435" s="3">
        <v>345572</v>
      </c>
      <c r="J435" s="13">
        <v>16.100000000000001</v>
      </c>
      <c r="K435" s="3" t="s">
        <v>2210</v>
      </c>
      <c r="L435" s="3" t="s">
        <v>905</v>
      </c>
      <c r="M435" t="str" cm="1">
        <f t="array" ref="M435">_xlfn.IFS(INFO_Pasajeros[[#This Row],[Edad]]&lt;=13,"Niños",INFO_Pasajeros[[#This Row],[Edad]]&lt;=18,"Jóvenes",INFO_Pasajeros[[#This Row],[Edad]]&lt;=50,"Adultos",INFO_Pasajeros[[#This Row],[Edad]]&gt;=51,"Adultos Mayores")</f>
        <v>Adultos</v>
      </c>
    </row>
    <row r="436" spans="1:13" x14ac:dyDescent="0.25">
      <c r="A436" s="3" t="s">
        <v>1583</v>
      </c>
      <c r="B436" s="3" t="s">
        <v>907</v>
      </c>
      <c r="C436" s="3">
        <v>433</v>
      </c>
      <c r="D436" s="5">
        <v>31</v>
      </c>
      <c r="E436" s="3">
        <v>0</v>
      </c>
      <c r="F436" s="3">
        <v>1</v>
      </c>
      <c r="G436" s="3">
        <v>2</v>
      </c>
      <c r="H436" s="3">
        <v>1</v>
      </c>
      <c r="I436" s="3">
        <v>345763</v>
      </c>
      <c r="J436" s="13">
        <v>26</v>
      </c>
      <c r="K436" s="3" t="s">
        <v>2210</v>
      </c>
      <c r="L436" s="3" t="s">
        <v>905</v>
      </c>
      <c r="M436" t="str" cm="1">
        <f t="array" ref="M436">_xlfn.IFS(INFO_Pasajeros[[#This Row],[Edad]]&lt;=13,"Niños",INFO_Pasajeros[[#This Row],[Edad]]&lt;=18,"Jóvenes",INFO_Pasajeros[[#This Row],[Edad]]&lt;=50,"Adultos",INFO_Pasajeros[[#This Row],[Edad]]&gt;=51,"Adultos Mayores")</f>
        <v>Adultos</v>
      </c>
    </row>
    <row r="437" spans="1:13" x14ac:dyDescent="0.25">
      <c r="A437" s="3" t="s">
        <v>1585</v>
      </c>
      <c r="B437" s="3" t="s">
        <v>902</v>
      </c>
      <c r="C437" s="3">
        <v>434</v>
      </c>
      <c r="D437" s="5">
        <v>18</v>
      </c>
      <c r="E437" s="3">
        <v>0</v>
      </c>
      <c r="F437" s="3">
        <v>0</v>
      </c>
      <c r="G437" s="3">
        <v>3</v>
      </c>
      <c r="H437" s="3">
        <v>0</v>
      </c>
      <c r="I437" s="3">
        <v>345764</v>
      </c>
      <c r="J437" s="13">
        <v>7.125</v>
      </c>
      <c r="K437" s="3" t="s">
        <v>2210</v>
      </c>
      <c r="L437" s="3" t="s">
        <v>905</v>
      </c>
      <c r="M437" t="str" cm="1">
        <f t="array" ref="M437">_xlfn.IFS(INFO_Pasajeros[[#This Row],[Edad]]&lt;=13,"Niños",INFO_Pasajeros[[#This Row],[Edad]]&lt;=18,"Jóvenes",INFO_Pasajeros[[#This Row],[Edad]]&lt;=50,"Adultos",INFO_Pasajeros[[#This Row],[Edad]]&gt;=51,"Adultos Mayores")</f>
        <v>Jóvenes</v>
      </c>
    </row>
    <row r="438" spans="1:13" x14ac:dyDescent="0.25">
      <c r="A438" s="3" t="s">
        <v>1587</v>
      </c>
      <c r="B438" s="3" t="s">
        <v>902</v>
      </c>
      <c r="C438" s="3">
        <v>435</v>
      </c>
      <c r="D438" s="5">
        <v>16</v>
      </c>
      <c r="E438" s="3">
        <v>0</v>
      </c>
      <c r="F438" s="3">
        <v>1</v>
      </c>
      <c r="G438" s="3">
        <v>1</v>
      </c>
      <c r="H438" s="3">
        <v>0</v>
      </c>
      <c r="I438" s="3">
        <v>345764</v>
      </c>
      <c r="J438" s="13">
        <v>55.9</v>
      </c>
      <c r="K438" s="3" t="s">
        <v>2210</v>
      </c>
      <c r="L438" s="3" t="s">
        <v>905</v>
      </c>
      <c r="M438" t="str" cm="1">
        <f t="array" ref="M438">_xlfn.IFS(INFO_Pasajeros[[#This Row],[Edad]]&lt;=13,"Niños",INFO_Pasajeros[[#This Row],[Edad]]&lt;=18,"Jóvenes",INFO_Pasajeros[[#This Row],[Edad]]&lt;=50,"Adultos",INFO_Pasajeros[[#This Row],[Edad]]&gt;=51,"Adultos Mayores")</f>
        <v>Jóvenes</v>
      </c>
    </row>
    <row r="439" spans="1:13" x14ac:dyDescent="0.25">
      <c r="A439" s="3" t="s">
        <v>1590</v>
      </c>
      <c r="B439" s="3" t="s">
        <v>907</v>
      </c>
      <c r="C439" s="3">
        <v>436</v>
      </c>
      <c r="D439" s="5">
        <v>47</v>
      </c>
      <c r="E439" s="3">
        <v>2</v>
      </c>
      <c r="F439" s="3">
        <v>1</v>
      </c>
      <c r="G439" s="3">
        <v>1</v>
      </c>
      <c r="H439" s="3">
        <v>1</v>
      </c>
      <c r="I439" s="3">
        <v>345765</v>
      </c>
      <c r="J439" s="13">
        <v>120</v>
      </c>
      <c r="K439" s="3" t="s">
        <v>2210</v>
      </c>
      <c r="L439" s="3" t="s">
        <v>905</v>
      </c>
      <c r="M439" t="str" cm="1">
        <f t="array" ref="M439">_xlfn.IFS(INFO_Pasajeros[[#This Row],[Edad]]&lt;=13,"Niños",INFO_Pasajeros[[#This Row],[Edad]]&lt;=18,"Jóvenes",INFO_Pasajeros[[#This Row],[Edad]]&lt;=50,"Adultos",INFO_Pasajeros[[#This Row],[Edad]]&gt;=51,"Adultos Mayores")</f>
        <v>Adultos</v>
      </c>
    </row>
    <row r="440" spans="1:13" x14ac:dyDescent="0.25">
      <c r="A440" s="3" t="s">
        <v>1591</v>
      </c>
      <c r="B440" s="3" t="s">
        <v>907</v>
      </c>
      <c r="C440" s="3">
        <v>437</v>
      </c>
      <c r="D440" s="5">
        <v>22</v>
      </c>
      <c r="E440" s="3">
        <v>2</v>
      </c>
      <c r="F440" s="3">
        <v>2</v>
      </c>
      <c r="G440" s="3">
        <v>3</v>
      </c>
      <c r="H440" s="3">
        <v>0</v>
      </c>
      <c r="I440" s="3">
        <v>345767</v>
      </c>
      <c r="J440" s="13">
        <v>34.375</v>
      </c>
      <c r="K440" s="3" t="s">
        <v>2210</v>
      </c>
      <c r="L440" s="3" t="s">
        <v>905</v>
      </c>
      <c r="M440" t="str" cm="1">
        <f t="array" ref="M440">_xlfn.IFS(INFO_Pasajeros[[#This Row],[Edad]]&lt;=13,"Niños",INFO_Pasajeros[[#This Row],[Edad]]&lt;=18,"Jóvenes",INFO_Pasajeros[[#This Row],[Edad]]&lt;=50,"Adultos",INFO_Pasajeros[[#This Row],[Edad]]&gt;=51,"Adultos Mayores")</f>
        <v>Adultos</v>
      </c>
    </row>
    <row r="441" spans="1:13" x14ac:dyDescent="0.25">
      <c r="A441" s="3" t="s">
        <v>1592</v>
      </c>
      <c r="B441" s="3" t="s">
        <v>907</v>
      </c>
      <c r="C441" s="3">
        <v>438</v>
      </c>
      <c r="D441" s="5">
        <v>20</v>
      </c>
      <c r="E441" s="3">
        <v>3</v>
      </c>
      <c r="F441" s="3">
        <v>2</v>
      </c>
      <c r="G441" s="3">
        <v>2</v>
      </c>
      <c r="H441" s="3">
        <v>1</v>
      </c>
      <c r="I441" s="3">
        <v>345769</v>
      </c>
      <c r="J441" s="13">
        <v>18.75</v>
      </c>
      <c r="K441" s="3" t="s">
        <v>2210</v>
      </c>
      <c r="L441" s="3" t="s">
        <v>905</v>
      </c>
      <c r="M441" t="str" cm="1">
        <f t="array" ref="M441">_xlfn.IFS(INFO_Pasajeros[[#This Row],[Edad]]&lt;=13,"Niños",INFO_Pasajeros[[#This Row],[Edad]]&lt;=18,"Jóvenes",INFO_Pasajeros[[#This Row],[Edad]]&lt;=50,"Adultos",INFO_Pasajeros[[#This Row],[Edad]]&gt;=51,"Adultos Mayores")</f>
        <v>Adultos</v>
      </c>
    </row>
    <row r="442" spans="1:13" x14ac:dyDescent="0.25">
      <c r="A442" s="3" t="s">
        <v>1593</v>
      </c>
      <c r="B442" s="3" t="s">
        <v>902</v>
      </c>
      <c r="C442" s="3">
        <v>439</v>
      </c>
      <c r="D442" s="5">
        <v>28</v>
      </c>
      <c r="E442" s="3">
        <v>4</v>
      </c>
      <c r="F442" s="3">
        <v>1</v>
      </c>
      <c r="G442" s="3">
        <v>1</v>
      </c>
      <c r="H442" s="3">
        <v>0</v>
      </c>
      <c r="I442" s="3">
        <v>345770</v>
      </c>
      <c r="J442" s="13">
        <v>263</v>
      </c>
      <c r="K442" s="3" t="s">
        <v>2210</v>
      </c>
      <c r="L442" s="3" t="s">
        <v>905</v>
      </c>
      <c r="M442" t="str" cm="1">
        <f t="array" ref="M442">_xlfn.IFS(INFO_Pasajeros[[#This Row],[Edad]]&lt;=13,"Niños",INFO_Pasajeros[[#This Row],[Edad]]&lt;=18,"Jóvenes",INFO_Pasajeros[[#This Row],[Edad]]&lt;=50,"Adultos",INFO_Pasajeros[[#This Row],[Edad]]&gt;=51,"Adultos Mayores")</f>
        <v>Adultos</v>
      </c>
    </row>
    <row r="443" spans="1:13" x14ac:dyDescent="0.25">
      <c r="A443" s="3" t="s">
        <v>1594</v>
      </c>
      <c r="B443" s="3" t="s">
        <v>902</v>
      </c>
      <c r="C443" s="3">
        <v>440</v>
      </c>
      <c r="D443" s="5">
        <v>10</v>
      </c>
      <c r="E443" s="3">
        <v>0</v>
      </c>
      <c r="F443" s="3">
        <v>0</v>
      </c>
      <c r="G443" s="3">
        <v>2</v>
      </c>
      <c r="H443" s="3">
        <v>0</v>
      </c>
      <c r="I443" s="3">
        <v>345773</v>
      </c>
      <c r="J443" s="13">
        <v>10.5</v>
      </c>
      <c r="K443" s="3" t="s">
        <v>2210</v>
      </c>
      <c r="L443" s="3" t="s">
        <v>905</v>
      </c>
      <c r="M443" t="str" cm="1">
        <f t="array" ref="M443">_xlfn.IFS(INFO_Pasajeros[[#This Row],[Edad]]&lt;=13,"Niños",INFO_Pasajeros[[#This Row],[Edad]]&lt;=18,"Jóvenes",INFO_Pasajeros[[#This Row],[Edad]]&lt;=50,"Adultos",INFO_Pasajeros[[#This Row],[Edad]]&gt;=51,"Adultos Mayores")</f>
        <v>Niños</v>
      </c>
    </row>
    <row r="444" spans="1:13" x14ac:dyDescent="0.25">
      <c r="A444" s="3" t="s">
        <v>1596</v>
      </c>
      <c r="B444" s="3" t="s">
        <v>907</v>
      </c>
      <c r="C444" s="3">
        <v>441</v>
      </c>
      <c r="D444" s="5">
        <v>36</v>
      </c>
      <c r="E444" s="3">
        <v>1</v>
      </c>
      <c r="F444" s="3">
        <v>1</v>
      </c>
      <c r="G444" s="3">
        <v>2</v>
      </c>
      <c r="H444" s="3">
        <v>1</v>
      </c>
      <c r="I444" s="3">
        <v>345773</v>
      </c>
      <c r="J444" s="13">
        <v>26.25</v>
      </c>
      <c r="K444" s="3" t="s">
        <v>2210</v>
      </c>
      <c r="L444" s="3" t="s">
        <v>905</v>
      </c>
      <c r="M444" t="str" cm="1">
        <f t="array" ref="M444">_xlfn.IFS(INFO_Pasajeros[[#This Row],[Edad]]&lt;=13,"Niños",INFO_Pasajeros[[#This Row],[Edad]]&lt;=18,"Jóvenes",INFO_Pasajeros[[#This Row],[Edad]]&lt;=50,"Adultos",INFO_Pasajeros[[#This Row],[Edad]]&gt;=51,"Adultos Mayores")</f>
        <v>Adultos</v>
      </c>
    </row>
    <row r="445" spans="1:13" x14ac:dyDescent="0.25">
      <c r="A445" s="3" t="s">
        <v>1597</v>
      </c>
      <c r="B445" s="3" t="s">
        <v>902</v>
      </c>
      <c r="C445" s="3">
        <v>442</v>
      </c>
      <c r="D445" s="5">
        <v>30</v>
      </c>
      <c r="E445" s="3">
        <v>0</v>
      </c>
      <c r="F445" s="3">
        <v>0</v>
      </c>
      <c r="G445" s="3">
        <v>3</v>
      </c>
      <c r="H445" s="3">
        <v>0</v>
      </c>
      <c r="I445" s="3">
        <v>345773</v>
      </c>
      <c r="J445" s="13">
        <v>9.5</v>
      </c>
      <c r="K445" s="3" t="s">
        <v>2210</v>
      </c>
      <c r="L445" s="3" t="s">
        <v>905</v>
      </c>
      <c r="M445" t="str" cm="1">
        <f t="array" ref="M445">_xlfn.IFS(INFO_Pasajeros[[#This Row],[Edad]]&lt;=13,"Niños",INFO_Pasajeros[[#This Row],[Edad]]&lt;=18,"Jóvenes",INFO_Pasajeros[[#This Row],[Edad]]&lt;=50,"Adultos",INFO_Pasajeros[[#This Row],[Edad]]&gt;=51,"Adultos Mayores")</f>
        <v>Adultos</v>
      </c>
    </row>
    <row r="446" spans="1:13" x14ac:dyDescent="0.25">
      <c r="A446" s="3" t="s">
        <v>1598</v>
      </c>
      <c r="B446" s="3" t="s">
        <v>902</v>
      </c>
      <c r="C446" s="3">
        <v>443</v>
      </c>
      <c r="D446" s="5">
        <v>30</v>
      </c>
      <c r="E446" s="3">
        <v>0</v>
      </c>
      <c r="F446" s="3">
        <v>1</v>
      </c>
      <c r="G446" s="3">
        <v>3</v>
      </c>
      <c r="H446" s="3">
        <v>0</v>
      </c>
      <c r="I446" s="3">
        <v>345774</v>
      </c>
      <c r="J446" s="13">
        <v>7.7750000000000004</v>
      </c>
      <c r="K446" s="3" t="s">
        <v>2210</v>
      </c>
      <c r="L446" s="3" t="s">
        <v>905</v>
      </c>
      <c r="M446" t="str" cm="1">
        <f t="array" ref="M446">_xlfn.IFS(INFO_Pasajeros[[#This Row],[Edad]]&lt;=13,"Niños",INFO_Pasajeros[[#This Row],[Edad]]&lt;=18,"Jóvenes",INFO_Pasajeros[[#This Row],[Edad]]&lt;=50,"Adultos",INFO_Pasajeros[[#This Row],[Edad]]&gt;=51,"Adultos Mayores")</f>
        <v>Adultos</v>
      </c>
    </row>
    <row r="447" spans="1:13" x14ac:dyDescent="0.25">
      <c r="A447" s="3" t="s">
        <v>1599</v>
      </c>
      <c r="B447" s="3" t="s">
        <v>907</v>
      </c>
      <c r="C447" s="3">
        <v>444</v>
      </c>
      <c r="D447" s="5">
        <v>48</v>
      </c>
      <c r="E447" s="3">
        <v>0</v>
      </c>
      <c r="F447" s="3">
        <v>0</v>
      </c>
      <c r="G447" s="3">
        <v>2</v>
      </c>
      <c r="H447" s="3">
        <v>1</v>
      </c>
      <c r="I447" s="3">
        <v>345777</v>
      </c>
      <c r="J447" s="13">
        <v>13</v>
      </c>
      <c r="K447" s="3" t="s">
        <v>2210</v>
      </c>
      <c r="L447" s="3" t="s">
        <v>905</v>
      </c>
      <c r="M447" t="str" cm="1">
        <f t="array" ref="M447">_xlfn.IFS(INFO_Pasajeros[[#This Row],[Edad]]&lt;=13,"Niños",INFO_Pasajeros[[#This Row],[Edad]]&lt;=18,"Jóvenes",INFO_Pasajeros[[#This Row],[Edad]]&lt;=50,"Adultos",INFO_Pasajeros[[#This Row],[Edad]]&gt;=51,"Adultos Mayores")</f>
        <v>Adultos</v>
      </c>
    </row>
    <row r="448" spans="1:13" x14ac:dyDescent="0.25">
      <c r="A448" s="3" t="s">
        <v>1600</v>
      </c>
      <c r="B448" s="3" t="s">
        <v>902</v>
      </c>
      <c r="C448" s="3">
        <v>445</v>
      </c>
      <c r="D448" s="5">
        <v>16</v>
      </c>
      <c r="E448" s="3">
        <v>0</v>
      </c>
      <c r="F448" s="3">
        <v>0</v>
      </c>
      <c r="G448" s="3">
        <v>3</v>
      </c>
      <c r="H448" s="3">
        <v>1</v>
      </c>
      <c r="I448" s="3">
        <v>345778</v>
      </c>
      <c r="J448" s="13">
        <v>81.125</v>
      </c>
      <c r="K448" s="3" t="s">
        <v>2210</v>
      </c>
      <c r="L448" s="3" t="s">
        <v>905</v>
      </c>
      <c r="M448" t="str" cm="1">
        <f t="array" ref="M448">_xlfn.IFS(INFO_Pasajeros[[#This Row],[Edad]]&lt;=13,"Niños",INFO_Pasajeros[[#This Row],[Edad]]&lt;=18,"Jóvenes",INFO_Pasajeros[[#This Row],[Edad]]&lt;=50,"Adultos",INFO_Pasajeros[[#This Row],[Edad]]&gt;=51,"Adultos Mayores")</f>
        <v>Jóvenes</v>
      </c>
    </row>
    <row r="449" spans="1:13" x14ac:dyDescent="0.25">
      <c r="A449" s="3" t="s">
        <v>1601</v>
      </c>
      <c r="B449" s="3" t="s">
        <v>902</v>
      </c>
      <c r="C449" s="3">
        <v>446</v>
      </c>
      <c r="D449" s="5">
        <v>29</v>
      </c>
      <c r="E449" s="3">
        <v>2</v>
      </c>
      <c r="F449" s="3">
        <v>0</v>
      </c>
      <c r="G449" s="3">
        <v>1</v>
      </c>
      <c r="H449" s="3">
        <v>1</v>
      </c>
      <c r="I449" s="3">
        <v>345779</v>
      </c>
      <c r="J449" s="13">
        <v>818.58299999999997</v>
      </c>
      <c r="K449" s="3" t="s">
        <v>2210</v>
      </c>
      <c r="L449" s="3" t="s">
        <v>905</v>
      </c>
      <c r="M449" t="str" cm="1">
        <f t="array" ref="M449">_xlfn.IFS(INFO_Pasajeros[[#This Row],[Edad]]&lt;=13,"Niños",INFO_Pasajeros[[#This Row],[Edad]]&lt;=18,"Jóvenes",INFO_Pasajeros[[#This Row],[Edad]]&lt;=50,"Adultos",INFO_Pasajeros[[#This Row],[Edad]]&gt;=51,"Adultos Mayores")</f>
        <v>Adultos</v>
      </c>
    </row>
    <row r="450" spans="1:13" x14ac:dyDescent="0.25">
      <c r="A450" s="3" t="s">
        <v>1603</v>
      </c>
      <c r="B450" s="3" t="s">
        <v>907</v>
      </c>
      <c r="C450" s="3">
        <v>447</v>
      </c>
      <c r="D450" s="5">
        <v>33</v>
      </c>
      <c r="E450" s="3">
        <v>1</v>
      </c>
      <c r="F450" s="3">
        <v>0</v>
      </c>
      <c r="G450" s="3">
        <v>2</v>
      </c>
      <c r="H450" s="3">
        <v>1</v>
      </c>
      <c r="I450" s="3">
        <v>345780</v>
      </c>
      <c r="J450" s="13">
        <v>19.5</v>
      </c>
      <c r="K450" s="3" t="s">
        <v>2210</v>
      </c>
      <c r="L450" s="3" t="s">
        <v>905</v>
      </c>
      <c r="M450" t="str" cm="1">
        <f t="array" ref="M450">_xlfn.IFS(INFO_Pasajeros[[#This Row],[Edad]]&lt;=13,"Niños",INFO_Pasajeros[[#This Row],[Edad]]&lt;=18,"Jóvenes",INFO_Pasajeros[[#This Row],[Edad]]&lt;=50,"Adultos",INFO_Pasajeros[[#This Row],[Edad]]&gt;=51,"Adultos Mayores")</f>
        <v>Adultos</v>
      </c>
    </row>
    <row r="451" spans="1:13" x14ac:dyDescent="0.25">
      <c r="A451" s="3" t="s">
        <v>1604</v>
      </c>
      <c r="B451" s="3" t="s">
        <v>902</v>
      </c>
      <c r="C451" s="3">
        <v>448</v>
      </c>
      <c r="D451" s="5">
        <v>24</v>
      </c>
      <c r="E451" s="3">
        <v>0</v>
      </c>
      <c r="F451" s="3">
        <v>0</v>
      </c>
      <c r="G451" s="3">
        <v>1</v>
      </c>
      <c r="H451" s="3">
        <v>1</v>
      </c>
      <c r="I451" s="3">
        <v>345781</v>
      </c>
      <c r="J451" s="13">
        <v>26.55</v>
      </c>
      <c r="K451" s="3" t="s">
        <v>2210</v>
      </c>
      <c r="L451" s="3" t="s">
        <v>905</v>
      </c>
      <c r="M451" t="str" cm="1">
        <f t="array" ref="M451">_xlfn.IFS(INFO_Pasajeros[[#This Row],[Edad]]&lt;=13,"Niños",INFO_Pasajeros[[#This Row],[Edad]]&lt;=18,"Jóvenes",INFO_Pasajeros[[#This Row],[Edad]]&lt;=50,"Adultos",INFO_Pasajeros[[#This Row],[Edad]]&gt;=51,"Adultos Mayores")</f>
        <v>Adultos</v>
      </c>
    </row>
    <row r="452" spans="1:13" x14ac:dyDescent="0.25">
      <c r="A452" s="3" t="s">
        <v>1605</v>
      </c>
      <c r="B452" s="3" t="s">
        <v>907</v>
      </c>
      <c r="C452" s="3">
        <v>449</v>
      </c>
      <c r="D452" s="5">
        <v>28</v>
      </c>
      <c r="E452" s="3">
        <v>1</v>
      </c>
      <c r="F452" s="3">
        <v>2</v>
      </c>
      <c r="G452" s="3">
        <v>3</v>
      </c>
      <c r="H452" s="3">
        <v>1</v>
      </c>
      <c r="I452" s="3">
        <v>345783</v>
      </c>
      <c r="J452" s="13">
        <v>192.583</v>
      </c>
      <c r="K452" s="3" t="s">
        <v>2210</v>
      </c>
      <c r="L452" s="3" t="s">
        <v>905</v>
      </c>
      <c r="M452" t="str" cm="1">
        <f t="array" ref="M452">_xlfn.IFS(INFO_Pasajeros[[#This Row],[Edad]]&lt;=13,"Niños",INFO_Pasajeros[[#This Row],[Edad]]&lt;=18,"Jóvenes",INFO_Pasajeros[[#This Row],[Edad]]&lt;=50,"Adultos",INFO_Pasajeros[[#This Row],[Edad]]&gt;=51,"Adultos Mayores")</f>
        <v>Adultos</v>
      </c>
    </row>
    <row r="453" spans="1:13" x14ac:dyDescent="0.25">
      <c r="A453" s="3" t="s">
        <v>1606</v>
      </c>
      <c r="B453" s="3" t="s">
        <v>902</v>
      </c>
      <c r="C453" s="3">
        <v>450</v>
      </c>
      <c r="D453" s="5">
        <v>2</v>
      </c>
      <c r="E453" s="3">
        <v>0</v>
      </c>
      <c r="F453" s="3">
        <v>0</v>
      </c>
      <c r="G453" s="3">
        <v>1</v>
      </c>
      <c r="H453" s="3">
        <v>1</v>
      </c>
      <c r="I453" s="3">
        <v>347054</v>
      </c>
      <c r="J453" s="13">
        <v>30.5</v>
      </c>
      <c r="K453" s="3" t="s">
        <v>928</v>
      </c>
      <c r="L453" s="3" t="s">
        <v>905</v>
      </c>
      <c r="M453" t="str" cm="1">
        <f t="array" ref="M453">_xlfn.IFS(INFO_Pasajeros[[#This Row],[Edad]]&lt;=13,"Niños",INFO_Pasajeros[[#This Row],[Edad]]&lt;=18,"Jóvenes",INFO_Pasajeros[[#This Row],[Edad]]&lt;=50,"Adultos",INFO_Pasajeros[[#This Row],[Edad]]&gt;=51,"Adultos Mayores")</f>
        <v>Niños</v>
      </c>
    </row>
    <row r="454" spans="1:13" x14ac:dyDescent="0.25">
      <c r="A454" s="3" t="s">
        <v>1608</v>
      </c>
      <c r="B454" s="3" t="s">
        <v>902</v>
      </c>
      <c r="C454" s="3">
        <v>451</v>
      </c>
      <c r="D454" s="5">
        <v>29</v>
      </c>
      <c r="E454" s="3">
        <v>2</v>
      </c>
      <c r="F454" s="3">
        <v>1</v>
      </c>
      <c r="G454" s="3">
        <v>2</v>
      </c>
      <c r="H454" s="3">
        <v>0</v>
      </c>
      <c r="I454" s="3">
        <v>347054</v>
      </c>
      <c r="J454" s="13">
        <v>27.75</v>
      </c>
      <c r="K454" s="3" t="s">
        <v>928</v>
      </c>
      <c r="L454" s="3" t="s">
        <v>905</v>
      </c>
      <c r="M454" t="str" cm="1">
        <f t="array" ref="M454">_xlfn.IFS(INFO_Pasajeros[[#This Row],[Edad]]&lt;=13,"Niños",INFO_Pasajeros[[#This Row],[Edad]]&lt;=18,"Jóvenes",INFO_Pasajeros[[#This Row],[Edad]]&lt;=50,"Adultos",INFO_Pasajeros[[#This Row],[Edad]]&gt;=51,"Adultos Mayores")</f>
        <v>Adultos</v>
      </c>
    </row>
    <row r="455" spans="1:13" x14ac:dyDescent="0.25">
      <c r="A455" s="3" t="s">
        <v>1609</v>
      </c>
      <c r="B455" s="3" t="s">
        <v>902</v>
      </c>
      <c r="C455" s="3">
        <v>452</v>
      </c>
      <c r="D455" s="5">
        <v>74</v>
      </c>
      <c r="E455" s="3">
        <v>0</v>
      </c>
      <c r="F455" s="3">
        <v>1</v>
      </c>
      <c r="G455" s="3">
        <v>3</v>
      </c>
      <c r="H455" s="3">
        <v>0</v>
      </c>
      <c r="I455" s="3">
        <v>347060</v>
      </c>
      <c r="J455" s="13">
        <v>199.667</v>
      </c>
      <c r="K455" s="3" t="s">
        <v>2210</v>
      </c>
      <c r="L455" s="3" t="s">
        <v>905</v>
      </c>
      <c r="M455" t="str" cm="1">
        <f t="array" ref="M455">_xlfn.IFS(INFO_Pasajeros[[#This Row],[Edad]]&lt;=13,"Niños",INFO_Pasajeros[[#This Row],[Edad]]&lt;=18,"Jóvenes",INFO_Pasajeros[[#This Row],[Edad]]&lt;=50,"Adultos",INFO_Pasajeros[[#This Row],[Edad]]&gt;=51,"Adultos Mayores")</f>
        <v>Adultos Mayores</v>
      </c>
    </row>
    <row r="456" spans="1:13" x14ac:dyDescent="0.25">
      <c r="A456" s="3" t="s">
        <v>1610</v>
      </c>
      <c r="B456" s="3" t="s">
        <v>902</v>
      </c>
      <c r="C456" s="3">
        <v>453</v>
      </c>
      <c r="D456" s="5">
        <v>45</v>
      </c>
      <c r="E456" s="3">
        <v>0</v>
      </c>
      <c r="F456" s="3">
        <v>0</v>
      </c>
      <c r="G456" s="3">
        <v>1</v>
      </c>
      <c r="H456" s="3">
        <v>0</v>
      </c>
      <c r="I456" s="3">
        <v>347061</v>
      </c>
      <c r="J456" s="13">
        <v>27.75</v>
      </c>
      <c r="K456" s="3" t="s">
        <v>2210</v>
      </c>
      <c r="L456" s="3" t="s">
        <v>905</v>
      </c>
      <c r="M456" t="str" cm="1">
        <f t="array" ref="M456">_xlfn.IFS(INFO_Pasajeros[[#This Row],[Edad]]&lt;=13,"Niños",INFO_Pasajeros[[#This Row],[Edad]]&lt;=18,"Jóvenes",INFO_Pasajeros[[#This Row],[Edad]]&lt;=50,"Adultos",INFO_Pasajeros[[#This Row],[Edad]]&gt;=51,"Adultos Mayores")</f>
        <v>Adultos</v>
      </c>
    </row>
    <row r="457" spans="1:13" x14ac:dyDescent="0.25">
      <c r="A457" s="3" t="s">
        <v>1612</v>
      </c>
      <c r="B457" s="3" t="s">
        <v>902</v>
      </c>
      <c r="C457" s="3">
        <v>454</v>
      </c>
      <c r="D457" s="5">
        <v>33</v>
      </c>
      <c r="E457" s="3">
        <v>0</v>
      </c>
      <c r="F457" s="3">
        <v>1</v>
      </c>
      <c r="G457" s="3">
        <v>1</v>
      </c>
      <c r="H457" s="3">
        <v>1</v>
      </c>
      <c r="I457" s="3">
        <v>347062</v>
      </c>
      <c r="J457" s="13">
        <v>891.04200000000003</v>
      </c>
      <c r="K457" s="3" t="s">
        <v>2210</v>
      </c>
      <c r="L457" s="3" t="s">
        <v>905</v>
      </c>
      <c r="M457" t="str" cm="1">
        <f t="array" ref="M457">_xlfn.IFS(INFO_Pasajeros[[#This Row],[Edad]]&lt;=13,"Niños",INFO_Pasajeros[[#This Row],[Edad]]&lt;=18,"Jóvenes",INFO_Pasajeros[[#This Row],[Edad]]&lt;=50,"Adultos",INFO_Pasajeros[[#This Row],[Edad]]&gt;=51,"Adultos Mayores")</f>
        <v>Adultos</v>
      </c>
    </row>
    <row r="458" spans="1:13" x14ac:dyDescent="0.25">
      <c r="A458" s="3" t="s">
        <v>1614</v>
      </c>
      <c r="B458" s="3" t="s">
        <v>902</v>
      </c>
      <c r="C458" s="3">
        <v>455</v>
      </c>
      <c r="D458" s="5">
        <v>31</v>
      </c>
      <c r="E458" s="3">
        <v>0</v>
      </c>
      <c r="F458" s="3">
        <v>0</v>
      </c>
      <c r="G458" s="3">
        <v>3</v>
      </c>
      <c r="H458" s="3">
        <v>0</v>
      </c>
      <c r="I458" s="3">
        <v>347063</v>
      </c>
      <c r="J458" s="13">
        <v>8.0500000000000007</v>
      </c>
      <c r="K458" s="3" t="s">
        <v>2210</v>
      </c>
      <c r="L458" s="3" t="s">
        <v>905</v>
      </c>
      <c r="M458" t="str" cm="1">
        <f t="array" ref="M458">_xlfn.IFS(INFO_Pasajeros[[#This Row],[Edad]]&lt;=13,"Niños",INFO_Pasajeros[[#This Row],[Edad]]&lt;=18,"Jóvenes",INFO_Pasajeros[[#This Row],[Edad]]&lt;=50,"Adultos",INFO_Pasajeros[[#This Row],[Edad]]&gt;=51,"Adultos Mayores")</f>
        <v>Adultos</v>
      </c>
    </row>
    <row r="459" spans="1:13" x14ac:dyDescent="0.25">
      <c r="A459" s="3" t="s">
        <v>1616</v>
      </c>
      <c r="B459" s="3" t="s">
        <v>902</v>
      </c>
      <c r="C459" s="3">
        <v>456</v>
      </c>
      <c r="D459" s="5">
        <v>51</v>
      </c>
      <c r="E459" s="3">
        <v>0</v>
      </c>
      <c r="F459" s="3">
        <v>0</v>
      </c>
      <c r="G459" s="3">
        <v>3</v>
      </c>
      <c r="H459" s="3">
        <v>1</v>
      </c>
      <c r="I459" s="3">
        <v>347064</v>
      </c>
      <c r="J459" s="13">
        <v>78.957999999999998</v>
      </c>
      <c r="K459" s="3" t="s">
        <v>2210</v>
      </c>
      <c r="L459" s="3" t="s">
        <v>905</v>
      </c>
      <c r="M459" t="str" cm="1">
        <f t="array" ref="M459">_xlfn.IFS(INFO_Pasajeros[[#This Row],[Edad]]&lt;=13,"Niños",INFO_Pasajeros[[#This Row],[Edad]]&lt;=18,"Jóvenes",INFO_Pasajeros[[#This Row],[Edad]]&lt;=50,"Adultos",INFO_Pasajeros[[#This Row],[Edad]]&gt;=51,"Adultos Mayores")</f>
        <v>Adultos Mayores</v>
      </c>
    </row>
    <row r="460" spans="1:13" x14ac:dyDescent="0.25">
      <c r="A460" s="3" t="s">
        <v>1617</v>
      </c>
      <c r="B460" s="3" t="s">
        <v>902</v>
      </c>
      <c r="C460" s="3">
        <v>457</v>
      </c>
      <c r="D460" s="5">
        <v>29</v>
      </c>
      <c r="E460" s="3">
        <v>0</v>
      </c>
      <c r="F460" s="3">
        <v>0</v>
      </c>
      <c r="G460" s="3">
        <v>1</v>
      </c>
      <c r="H460" s="3">
        <v>0</v>
      </c>
      <c r="I460" s="3">
        <v>347067</v>
      </c>
      <c r="J460" s="13">
        <v>26.55</v>
      </c>
      <c r="K460" s="3" t="s">
        <v>2210</v>
      </c>
      <c r="L460" s="3" t="s">
        <v>905</v>
      </c>
      <c r="M460" t="str" cm="1">
        <f t="array" ref="M460">_xlfn.IFS(INFO_Pasajeros[[#This Row],[Edad]]&lt;=13,"Niños",INFO_Pasajeros[[#This Row],[Edad]]&lt;=18,"Jóvenes",INFO_Pasajeros[[#This Row],[Edad]]&lt;=50,"Adultos",INFO_Pasajeros[[#This Row],[Edad]]&gt;=51,"Adultos Mayores")</f>
        <v>Adultos</v>
      </c>
    </row>
    <row r="461" spans="1:13" x14ac:dyDescent="0.25">
      <c r="A461" s="3" t="s">
        <v>1619</v>
      </c>
      <c r="B461" s="3" t="s">
        <v>907</v>
      </c>
      <c r="C461" s="3">
        <v>458</v>
      </c>
      <c r="D461" s="5">
        <v>26</v>
      </c>
      <c r="E461" s="3">
        <v>0</v>
      </c>
      <c r="F461" s="3">
        <v>1</v>
      </c>
      <c r="G461" s="3">
        <v>1</v>
      </c>
      <c r="H461" s="3">
        <v>1</v>
      </c>
      <c r="I461" s="3">
        <v>347068</v>
      </c>
      <c r="J461" s="13">
        <v>518.625</v>
      </c>
      <c r="K461" s="3" t="s">
        <v>2210</v>
      </c>
      <c r="L461" s="3" t="s">
        <v>905</v>
      </c>
      <c r="M461" t="str" cm="1">
        <f t="array" ref="M461">_xlfn.IFS(INFO_Pasajeros[[#This Row],[Edad]]&lt;=13,"Niños",INFO_Pasajeros[[#This Row],[Edad]]&lt;=18,"Jóvenes",INFO_Pasajeros[[#This Row],[Edad]]&lt;=50,"Adultos",INFO_Pasajeros[[#This Row],[Edad]]&gt;=51,"Adultos Mayores")</f>
        <v>Adultos</v>
      </c>
    </row>
    <row r="462" spans="1:13" x14ac:dyDescent="0.25">
      <c r="A462" s="3" t="s">
        <v>1621</v>
      </c>
      <c r="B462" s="3" t="s">
        <v>907</v>
      </c>
      <c r="C462" s="3">
        <v>459</v>
      </c>
      <c r="D462" s="5">
        <v>19</v>
      </c>
      <c r="E462" s="3">
        <v>0</v>
      </c>
      <c r="F462" s="3">
        <v>0</v>
      </c>
      <c r="G462" s="3">
        <v>2</v>
      </c>
      <c r="H462" s="3">
        <v>1</v>
      </c>
      <c r="I462" s="3">
        <v>347069</v>
      </c>
      <c r="J462" s="13">
        <v>10.5</v>
      </c>
      <c r="K462" s="3" t="s">
        <v>2210</v>
      </c>
      <c r="L462" s="3" t="s">
        <v>905</v>
      </c>
      <c r="M462" t="str" cm="1">
        <f t="array" ref="M462">_xlfn.IFS(INFO_Pasajeros[[#This Row],[Edad]]&lt;=13,"Niños",INFO_Pasajeros[[#This Row],[Edad]]&lt;=18,"Jóvenes",INFO_Pasajeros[[#This Row],[Edad]]&lt;=50,"Adultos",INFO_Pasajeros[[#This Row],[Edad]]&gt;=51,"Adultos Mayores")</f>
        <v>Adultos</v>
      </c>
    </row>
    <row r="463" spans="1:13" x14ac:dyDescent="0.25">
      <c r="A463" s="3" t="s">
        <v>1623</v>
      </c>
      <c r="B463" s="3" t="s">
        <v>902</v>
      </c>
      <c r="C463" s="3">
        <v>460</v>
      </c>
      <c r="D463" s="5">
        <v>25</v>
      </c>
      <c r="E463" s="3">
        <v>0</v>
      </c>
      <c r="F463" s="3">
        <v>0</v>
      </c>
      <c r="G463" s="3">
        <v>3</v>
      </c>
      <c r="H463" s="3">
        <v>0</v>
      </c>
      <c r="I463" s="3">
        <v>347071</v>
      </c>
      <c r="J463" s="13">
        <v>7.75</v>
      </c>
      <c r="K463" s="3" t="s">
        <v>2210</v>
      </c>
      <c r="L463" s="3" t="s">
        <v>905</v>
      </c>
      <c r="M463" t="str" cm="1">
        <f t="array" ref="M463">_xlfn.IFS(INFO_Pasajeros[[#This Row],[Edad]]&lt;=13,"Niños",INFO_Pasajeros[[#This Row],[Edad]]&lt;=18,"Jóvenes",INFO_Pasajeros[[#This Row],[Edad]]&lt;=50,"Adultos",INFO_Pasajeros[[#This Row],[Edad]]&gt;=51,"Adultos Mayores")</f>
        <v>Adultos</v>
      </c>
    </row>
    <row r="464" spans="1:13" x14ac:dyDescent="0.25">
      <c r="A464" s="3" t="s">
        <v>1624</v>
      </c>
      <c r="B464" s="3" t="s">
        <v>902</v>
      </c>
      <c r="C464" s="3">
        <v>461</v>
      </c>
      <c r="D464" s="5">
        <v>45</v>
      </c>
      <c r="E464" s="3">
        <v>0</v>
      </c>
      <c r="F464" s="3">
        <v>0</v>
      </c>
      <c r="G464" s="3">
        <v>1</v>
      </c>
      <c r="H464" s="3">
        <v>1</v>
      </c>
      <c r="I464" s="3">
        <v>347073</v>
      </c>
      <c r="J464" s="13">
        <v>26.55</v>
      </c>
      <c r="K464" s="3" t="s">
        <v>2210</v>
      </c>
      <c r="L464" s="3" t="s">
        <v>905</v>
      </c>
      <c r="M464" t="str" cm="1">
        <f t="array" ref="M464">_xlfn.IFS(INFO_Pasajeros[[#This Row],[Edad]]&lt;=13,"Niños",INFO_Pasajeros[[#This Row],[Edad]]&lt;=18,"Jóvenes",INFO_Pasajeros[[#This Row],[Edad]]&lt;=50,"Adultos",INFO_Pasajeros[[#This Row],[Edad]]&gt;=51,"Adultos Mayores")</f>
        <v>Adultos</v>
      </c>
    </row>
    <row r="465" spans="1:13" x14ac:dyDescent="0.25">
      <c r="A465" s="3" t="s">
        <v>1626</v>
      </c>
      <c r="B465" s="3" t="s">
        <v>902</v>
      </c>
      <c r="C465" s="3">
        <v>462</v>
      </c>
      <c r="D465" s="5">
        <v>16</v>
      </c>
      <c r="E465" s="3">
        <v>0</v>
      </c>
      <c r="F465" s="3">
        <v>0</v>
      </c>
      <c r="G465" s="3">
        <v>3</v>
      </c>
      <c r="H465" s="3">
        <v>0</v>
      </c>
      <c r="I465" s="3">
        <v>347074</v>
      </c>
      <c r="J465" s="13">
        <v>8.0500000000000007</v>
      </c>
      <c r="K465" s="3" t="s">
        <v>2210</v>
      </c>
      <c r="L465" s="3" t="s">
        <v>905</v>
      </c>
      <c r="M465" t="str" cm="1">
        <f t="array" ref="M465">_xlfn.IFS(INFO_Pasajeros[[#This Row],[Edad]]&lt;=13,"Niños",INFO_Pasajeros[[#This Row],[Edad]]&lt;=18,"Jóvenes",INFO_Pasajeros[[#This Row],[Edad]]&lt;=50,"Adultos",INFO_Pasajeros[[#This Row],[Edad]]&gt;=51,"Adultos Mayores")</f>
        <v>Jóvenes</v>
      </c>
    </row>
    <row r="466" spans="1:13" x14ac:dyDescent="0.25">
      <c r="A466" s="3" t="s">
        <v>1627</v>
      </c>
      <c r="B466" s="3" t="s">
        <v>902</v>
      </c>
      <c r="C466" s="3">
        <v>463</v>
      </c>
      <c r="D466" s="5">
        <v>25</v>
      </c>
      <c r="E466" s="3">
        <v>0</v>
      </c>
      <c r="F466" s="3">
        <v>0</v>
      </c>
      <c r="G466" s="3">
        <v>1</v>
      </c>
      <c r="H466" s="3">
        <v>0</v>
      </c>
      <c r="I466" s="3">
        <v>347076</v>
      </c>
      <c r="J466" s="13">
        <v>38.5</v>
      </c>
      <c r="K466" s="3" t="s">
        <v>2210</v>
      </c>
      <c r="L466" s="3" t="s">
        <v>905</v>
      </c>
      <c r="M466" t="str" cm="1">
        <f t="array" ref="M466">_xlfn.IFS(INFO_Pasajeros[[#This Row],[Edad]]&lt;=13,"Niños",INFO_Pasajeros[[#This Row],[Edad]]&lt;=18,"Jóvenes",INFO_Pasajeros[[#This Row],[Edad]]&lt;=50,"Adultos",INFO_Pasajeros[[#This Row],[Edad]]&gt;=51,"Adultos Mayores")</f>
        <v>Adultos</v>
      </c>
    </row>
    <row r="467" spans="1:13" x14ac:dyDescent="0.25">
      <c r="A467" s="3" t="s">
        <v>1630</v>
      </c>
      <c r="B467" s="3" t="s">
        <v>902</v>
      </c>
      <c r="C467" s="3">
        <v>464</v>
      </c>
      <c r="D467" s="5">
        <v>38</v>
      </c>
      <c r="E467" s="3">
        <v>0</v>
      </c>
      <c r="F467" s="3">
        <v>0</v>
      </c>
      <c r="G467" s="3">
        <v>2</v>
      </c>
      <c r="H467" s="3">
        <v>0</v>
      </c>
      <c r="I467" s="3">
        <v>347077</v>
      </c>
      <c r="J467" s="13">
        <v>13</v>
      </c>
      <c r="K467" s="3" t="s">
        <v>2210</v>
      </c>
      <c r="L467" s="3" t="s">
        <v>905</v>
      </c>
      <c r="M467" t="str" cm="1">
        <f t="array" ref="M467">_xlfn.IFS(INFO_Pasajeros[[#This Row],[Edad]]&lt;=13,"Niños",INFO_Pasajeros[[#This Row],[Edad]]&lt;=18,"Jóvenes",INFO_Pasajeros[[#This Row],[Edad]]&lt;=50,"Adultos",INFO_Pasajeros[[#This Row],[Edad]]&gt;=51,"Adultos Mayores")</f>
        <v>Adultos</v>
      </c>
    </row>
    <row r="468" spans="1:13" x14ac:dyDescent="0.25">
      <c r="A468" s="3" t="s">
        <v>1631</v>
      </c>
      <c r="B468" s="3" t="s">
        <v>902</v>
      </c>
      <c r="C468" s="3">
        <v>465</v>
      </c>
      <c r="D468" s="5">
        <v>9</v>
      </c>
      <c r="E468" s="3">
        <v>0</v>
      </c>
      <c r="F468" s="3">
        <v>0</v>
      </c>
      <c r="G468" s="3">
        <v>3</v>
      </c>
      <c r="H468" s="3">
        <v>0</v>
      </c>
      <c r="I468" s="3">
        <v>347077</v>
      </c>
      <c r="J468" s="13">
        <v>8.0500000000000007</v>
      </c>
      <c r="K468" s="3" t="s">
        <v>2210</v>
      </c>
      <c r="L468" s="3" t="s">
        <v>905</v>
      </c>
      <c r="M468" t="str" cm="1">
        <f t="array" ref="M468">_xlfn.IFS(INFO_Pasajeros[[#This Row],[Edad]]&lt;=13,"Niños",INFO_Pasajeros[[#This Row],[Edad]]&lt;=18,"Jóvenes",INFO_Pasajeros[[#This Row],[Edad]]&lt;=50,"Adultos",INFO_Pasajeros[[#This Row],[Edad]]&gt;=51,"Adultos Mayores")</f>
        <v>Niños</v>
      </c>
    </row>
    <row r="469" spans="1:13" x14ac:dyDescent="0.25">
      <c r="A469" s="3" t="s">
        <v>1633</v>
      </c>
      <c r="B469" s="3" t="s">
        <v>902</v>
      </c>
      <c r="C469" s="3">
        <v>466</v>
      </c>
      <c r="D469" s="5">
        <v>5</v>
      </c>
      <c r="E469" s="3">
        <v>0</v>
      </c>
      <c r="F469" s="3">
        <v>0</v>
      </c>
      <c r="G469" s="3">
        <v>3</v>
      </c>
      <c r="H469" s="3">
        <v>0</v>
      </c>
      <c r="I469" s="3">
        <v>347077</v>
      </c>
      <c r="J469" s="13">
        <v>7.05</v>
      </c>
      <c r="K469" s="3" t="s">
        <v>2210</v>
      </c>
      <c r="L469" s="3" t="s">
        <v>905</v>
      </c>
      <c r="M469" t="str" cm="1">
        <f t="array" ref="M469">_xlfn.IFS(INFO_Pasajeros[[#This Row],[Edad]]&lt;=13,"Niños",INFO_Pasajeros[[#This Row],[Edad]]&lt;=18,"Jóvenes",INFO_Pasajeros[[#This Row],[Edad]]&lt;=50,"Adultos",INFO_Pasajeros[[#This Row],[Edad]]&gt;=51,"Adultos Mayores")</f>
        <v>Niños</v>
      </c>
    </row>
    <row r="470" spans="1:13" x14ac:dyDescent="0.25">
      <c r="A470" s="3" t="s">
        <v>1635</v>
      </c>
      <c r="B470" s="3" t="s">
        <v>902</v>
      </c>
      <c r="C470" s="3">
        <v>467</v>
      </c>
      <c r="D470" s="5">
        <v>3</v>
      </c>
      <c r="E470" s="3">
        <v>0</v>
      </c>
      <c r="F470" s="3">
        <v>0</v>
      </c>
      <c r="G470" s="3">
        <v>2</v>
      </c>
      <c r="H470" s="3">
        <v>0</v>
      </c>
      <c r="I470" s="3">
        <v>347077</v>
      </c>
      <c r="J470" s="13">
        <v>0</v>
      </c>
      <c r="K470" s="3" t="s">
        <v>2210</v>
      </c>
      <c r="L470" s="3" t="s">
        <v>905</v>
      </c>
      <c r="M470" t="str" cm="1">
        <f t="array" ref="M470">_xlfn.IFS(INFO_Pasajeros[[#This Row],[Edad]]&lt;=13,"Niños",INFO_Pasajeros[[#This Row],[Edad]]&lt;=18,"Jóvenes",INFO_Pasajeros[[#This Row],[Edad]]&lt;=50,"Adultos",INFO_Pasajeros[[#This Row],[Edad]]&gt;=51,"Adultos Mayores")</f>
        <v>Niños</v>
      </c>
    </row>
    <row r="471" spans="1:13" x14ac:dyDescent="0.25">
      <c r="A471" s="3" t="s">
        <v>1636</v>
      </c>
      <c r="B471" s="3" t="s">
        <v>902</v>
      </c>
      <c r="C471" s="3">
        <v>468</v>
      </c>
      <c r="D471" s="5">
        <v>18</v>
      </c>
      <c r="E471" s="3">
        <v>0</v>
      </c>
      <c r="F471" s="3">
        <v>0</v>
      </c>
      <c r="G471" s="3">
        <v>1</v>
      </c>
      <c r="H471" s="3">
        <v>0</v>
      </c>
      <c r="I471" s="3">
        <v>347078</v>
      </c>
      <c r="J471" s="13">
        <v>26.55</v>
      </c>
      <c r="K471" s="3" t="s">
        <v>2210</v>
      </c>
      <c r="L471" s="3" t="s">
        <v>905</v>
      </c>
      <c r="M471" t="str" cm="1">
        <f t="array" ref="M471">_xlfn.IFS(INFO_Pasajeros[[#This Row],[Edad]]&lt;=13,"Niños",INFO_Pasajeros[[#This Row],[Edad]]&lt;=18,"Jóvenes",INFO_Pasajeros[[#This Row],[Edad]]&lt;=50,"Adultos",INFO_Pasajeros[[#This Row],[Edad]]&gt;=51,"Adultos Mayores")</f>
        <v>Jóvenes</v>
      </c>
    </row>
    <row r="472" spans="1:13" x14ac:dyDescent="0.25">
      <c r="A472" s="3" t="s">
        <v>1637</v>
      </c>
      <c r="B472" s="3" t="s">
        <v>902</v>
      </c>
      <c r="C472" s="3">
        <v>469</v>
      </c>
      <c r="D472" s="5">
        <v>28</v>
      </c>
      <c r="E472" s="3">
        <v>0</v>
      </c>
      <c r="F472" s="3">
        <v>0</v>
      </c>
      <c r="G472" s="3">
        <v>3</v>
      </c>
      <c r="H472" s="3">
        <v>0</v>
      </c>
      <c r="I472" s="3">
        <v>347080</v>
      </c>
      <c r="J472" s="13">
        <v>7.7249999999999996</v>
      </c>
      <c r="K472" s="3" t="s">
        <v>2210</v>
      </c>
      <c r="L472" s="3" t="s">
        <v>905</v>
      </c>
      <c r="M472" t="str" cm="1">
        <f t="array" ref="M472">_xlfn.IFS(INFO_Pasajeros[[#This Row],[Edad]]&lt;=13,"Niños",INFO_Pasajeros[[#This Row],[Edad]]&lt;=18,"Jóvenes",INFO_Pasajeros[[#This Row],[Edad]]&lt;=50,"Adultos",INFO_Pasajeros[[#This Row],[Edad]]&gt;=51,"Adultos Mayores")</f>
        <v>Adultos</v>
      </c>
    </row>
    <row r="473" spans="1:13" x14ac:dyDescent="0.25">
      <c r="A473" s="3" t="s">
        <v>1638</v>
      </c>
      <c r="B473" s="3" t="s">
        <v>907</v>
      </c>
      <c r="C473" s="3">
        <v>470</v>
      </c>
      <c r="D473" s="5">
        <v>34</v>
      </c>
      <c r="E473" s="3">
        <v>1</v>
      </c>
      <c r="F473" s="3">
        <v>2</v>
      </c>
      <c r="G473" s="3">
        <v>3</v>
      </c>
      <c r="H473" s="3">
        <v>1</v>
      </c>
      <c r="I473" s="3">
        <v>347080</v>
      </c>
      <c r="J473" s="13">
        <v>192.583</v>
      </c>
      <c r="K473" s="3" t="s">
        <v>2210</v>
      </c>
      <c r="L473" s="3" t="s">
        <v>905</v>
      </c>
      <c r="M473" t="str" cm="1">
        <f t="array" ref="M473">_xlfn.IFS(INFO_Pasajeros[[#This Row],[Edad]]&lt;=13,"Niños",INFO_Pasajeros[[#This Row],[Edad]]&lt;=18,"Jóvenes",INFO_Pasajeros[[#This Row],[Edad]]&lt;=50,"Adultos",INFO_Pasajeros[[#This Row],[Edad]]&gt;=51,"Adultos Mayores")</f>
        <v>Adultos</v>
      </c>
    </row>
    <row r="474" spans="1:13" x14ac:dyDescent="0.25">
      <c r="A474" s="3" t="s">
        <v>1640</v>
      </c>
      <c r="B474" s="3" t="s">
        <v>902</v>
      </c>
      <c r="C474" s="3">
        <v>471</v>
      </c>
      <c r="D474" s="5">
        <v>22</v>
      </c>
      <c r="E474" s="3">
        <v>0</v>
      </c>
      <c r="F474" s="3">
        <v>0</v>
      </c>
      <c r="G474" s="3">
        <v>3</v>
      </c>
      <c r="H474" s="3">
        <v>0</v>
      </c>
      <c r="I474" s="3">
        <v>347081</v>
      </c>
      <c r="J474" s="13">
        <v>7.25</v>
      </c>
      <c r="K474" s="3" t="s">
        <v>2210</v>
      </c>
      <c r="L474" s="3" t="s">
        <v>905</v>
      </c>
      <c r="M474" t="str" cm="1">
        <f t="array" ref="M474">_xlfn.IFS(INFO_Pasajeros[[#This Row],[Edad]]&lt;=13,"Niños",INFO_Pasajeros[[#This Row],[Edad]]&lt;=18,"Jóvenes",INFO_Pasajeros[[#This Row],[Edad]]&lt;=50,"Adultos",INFO_Pasajeros[[#This Row],[Edad]]&gt;=51,"Adultos Mayores")</f>
        <v>Adultos</v>
      </c>
    </row>
    <row r="475" spans="1:13" x14ac:dyDescent="0.25">
      <c r="A475" s="3" t="s">
        <v>1641</v>
      </c>
      <c r="B475" s="3" t="s">
        <v>902</v>
      </c>
      <c r="C475" s="3">
        <v>472</v>
      </c>
      <c r="D475" s="5">
        <v>39</v>
      </c>
      <c r="E475" s="3">
        <v>0</v>
      </c>
      <c r="F475" s="3">
        <v>0</v>
      </c>
      <c r="G475" s="3">
        <v>3</v>
      </c>
      <c r="H475" s="3">
        <v>0</v>
      </c>
      <c r="I475" s="3">
        <v>347082</v>
      </c>
      <c r="J475" s="13">
        <v>86.625</v>
      </c>
      <c r="K475" s="3" t="s">
        <v>2210</v>
      </c>
      <c r="L475" s="3" t="s">
        <v>905</v>
      </c>
      <c r="M475" t="str" cm="1">
        <f t="array" ref="M475">_xlfn.IFS(INFO_Pasajeros[[#This Row],[Edad]]&lt;=13,"Niños",INFO_Pasajeros[[#This Row],[Edad]]&lt;=18,"Jóvenes",INFO_Pasajeros[[#This Row],[Edad]]&lt;=50,"Adultos",INFO_Pasajeros[[#This Row],[Edad]]&gt;=51,"Adultos Mayores")</f>
        <v>Adultos</v>
      </c>
    </row>
    <row r="476" spans="1:13" x14ac:dyDescent="0.25">
      <c r="A476" s="3" t="s">
        <v>1642</v>
      </c>
      <c r="B476" s="3" t="s">
        <v>907</v>
      </c>
      <c r="C476" s="3">
        <v>473</v>
      </c>
      <c r="D476" s="5">
        <v>2</v>
      </c>
      <c r="E476" s="3">
        <v>2</v>
      </c>
      <c r="F476" s="3">
        <v>1</v>
      </c>
      <c r="G476" s="3">
        <v>2</v>
      </c>
      <c r="H476" s="3">
        <v>1</v>
      </c>
      <c r="I476" s="3">
        <v>347082</v>
      </c>
      <c r="J476" s="13">
        <v>27.75</v>
      </c>
      <c r="K476" s="3" t="s">
        <v>2210</v>
      </c>
      <c r="L476" s="3" t="s">
        <v>905</v>
      </c>
      <c r="M476" t="str" cm="1">
        <f t="array" ref="M476">_xlfn.IFS(INFO_Pasajeros[[#This Row],[Edad]]&lt;=13,"Niños",INFO_Pasajeros[[#This Row],[Edad]]&lt;=18,"Jóvenes",INFO_Pasajeros[[#This Row],[Edad]]&lt;=50,"Adultos",INFO_Pasajeros[[#This Row],[Edad]]&gt;=51,"Adultos Mayores")</f>
        <v>Niños</v>
      </c>
    </row>
    <row r="477" spans="1:13" x14ac:dyDescent="0.25">
      <c r="A477" s="3" t="s">
        <v>1643</v>
      </c>
      <c r="B477" s="3" t="s">
        <v>907</v>
      </c>
      <c r="C477" s="3">
        <v>474</v>
      </c>
      <c r="D477" s="5">
        <v>9</v>
      </c>
      <c r="E477" s="3">
        <v>0</v>
      </c>
      <c r="F477" s="3">
        <v>0</v>
      </c>
      <c r="G477" s="3">
        <v>2</v>
      </c>
      <c r="H477" s="3">
        <v>1</v>
      </c>
      <c r="I477" s="3">
        <v>347082</v>
      </c>
      <c r="J477" s="13">
        <v>137.917</v>
      </c>
      <c r="K477" s="3" t="s">
        <v>2210</v>
      </c>
      <c r="L477" s="3" t="s">
        <v>905</v>
      </c>
      <c r="M477" t="str" cm="1">
        <f t="array" ref="M477">_xlfn.IFS(INFO_Pasajeros[[#This Row],[Edad]]&lt;=13,"Niños",INFO_Pasajeros[[#This Row],[Edad]]&lt;=18,"Jóvenes",INFO_Pasajeros[[#This Row],[Edad]]&lt;=50,"Adultos",INFO_Pasajeros[[#This Row],[Edad]]&gt;=51,"Adultos Mayores")</f>
        <v>Niños</v>
      </c>
    </row>
    <row r="478" spans="1:13" x14ac:dyDescent="0.25">
      <c r="A478" s="3" t="s">
        <v>1645</v>
      </c>
      <c r="B478" s="3" t="s">
        <v>907</v>
      </c>
      <c r="C478" s="3">
        <v>475</v>
      </c>
      <c r="D478" s="5">
        <v>11</v>
      </c>
      <c r="E478" s="3">
        <v>0</v>
      </c>
      <c r="F478" s="3">
        <v>0</v>
      </c>
      <c r="G478" s="3">
        <v>3</v>
      </c>
      <c r="H478" s="3">
        <v>0</v>
      </c>
      <c r="I478" s="3">
        <v>347082</v>
      </c>
      <c r="J478" s="13">
        <v>98.375</v>
      </c>
      <c r="K478" s="3" t="s">
        <v>2210</v>
      </c>
      <c r="L478" s="3" t="s">
        <v>905</v>
      </c>
      <c r="M478" t="str" cm="1">
        <f t="array" ref="M478">_xlfn.IFS(INFO_Pasajeros[[#This Row],[Edad]]&lt;=13,"Niños",INFO_Pasajeros[[#This Row],[Edad]]&lt;=18,"Jóvenes",INFO_Pasajeros[[#This Row],[Edad]]&lt;=50,"Adultos",INFO_Pasajeros[[#This Row],[Edad]]&gt;=51,"Adultos Mayores")</f>
        <v>Niños</v>
      </c>
    </row>
    <row r="479" spans="1:13" x14ac:dyDescent="0.25">
      <c r="A479" s="3" t="s">
        <v>1646</v>
      </c>
      <c r="B479" s="3" t="s">
        <v>902</v>
      </c>
      <c r="C479" s="3">
        <v>476</v>
      </c>
      <c r="D479" s="5">
        <v>39</v>
      </c>
      <c r="E479" s="3">
        <v>0</v>
      </c>
      <c r="F479" s="3">
        <v>0</v>
      </c>
      <c r="G479" s="3">
        <v>1</v>
      </c>
      <c r="H479" s="3">
        <v>0</v>
      </c>
      <c r="I479" s="3">
        <v>347082</v>
      </c>
      <c r="J479" s="13">
        <v>52</v>
      </c>
      <c r="K479" s="3" t="s">
        <v>2210</v>
      </c>
      <c r="L479" s="3" t="s">
        <v>905</v>
      </c>
      <c r="M479" t="str" cm="1">
        <f t="array" ref="M479">_xlfn.IFS(INFO_Pasajeros[[#This Row],[Edad]]&lt;=13,"Niños",INFO_Pasajeros[[#This Row],[Edad]]&lt;=18,"Jóvenes",INFO_Pasajeros[[#This Row],[Edad]]&lt;=50,"Adultos",INFO_Pasajeros[[#This Row],[Edad]]&gt;=51,"Adultos Mayores")</f>
        <v>Adultos</v>
      </c>
    </row>
    <row r="480" spans="1:13" x14ac:dyDescent="0.25">
      <c r="A480" s="3" t="s">
        <v>1648</v>
      </c>
      <c r="B480" s="3" t="s">
        <v>902</v>
      </c>
      <c r="C480" s="3">
        <v>477</v>
      </c>
      <c r="D480" s="5">
        <v>6</v>
      </c>
      <c r="E480" s="3">
        <v>0</v>
      </c>
      <c r="F480" s="3">
        <v>1</v>
      </c>
      <c r="G480" s="3">
        <v>2</v>
      </c>
      <c r="H480" s="3">
        <v>0</v>
      </c>
      <c r="I480" s="3">
        <v>347082</v>
      </c>
      <c r="J480" s="13">
        <v>21</v>
      </c>
      <c r="K480" s="3" t="s">
        <v>2210</v>
      </c>
      <c r="L480" s="3" t="s">
        <v>905</v>
      </c>
      <c r="M480" t="str" cm="1">
        <f t="array" ref="M480">_xlfn.IFS(INFO_Pasajeros[[#This Row],[Edad]]&lt;=13,"Niños",INFO_Pasajeros[[#This Row],[Edad]]&lt;=18,"Jóvenes",INFO_Pasajeros[[#This Row],[Edad]]&lt;=50,"Adultos",INFO_Pasajeros[[#This Row],[Edad]]&gt;=51,"Adultos Mayores")</f>
        <v>Niños</v>
      </c>
    </row>
    <row r="481" spans="1:13" x14ac:dyDescent="0.25">
      <c r="A481" s="3" t="s">
        <v>1649</v>
      </c>
      <c r="B481" s="3" t="s">
        <v>902</v>
      </c>
      <c r="C481" s="3">
        <v>478</v>
      </c>
      <c r="D481" s="5">
        <v>4</v>
      </c>
      <c r="E481" s="3">
        <v>0</v>
      </c>
      <c r="F481" s="3">
        <v>1</v>
      </c>
      <c r="G481" s="3">
        <v>3</v>
      </c>
      <c r="H481" s="3">
        <v>0</v>
      </c>
      <c r="I481" s="3">
        <v>347082</v>
      </c>
      <c r="J481" s="13">
        <v>70.457999999999998</v>
      </c>
      <c r="K481" s="3" t="s">
        <v>2210</v>
      </c>
      <c r="L481" s="3" t="s">
        <v>905</v>
      </c>
      <c r="M481" t="str" cm="1">
        <f t="array" ref="M481">_xlfn.IFS(INFO_Pasajeros[[#This Row],[Edad]]&lt;=13,"Niños",INFO_Pasajeros[[#This Row],[Edad]]&lt;=18,"Jóvenes",INFO_Pasajeros[[#This Row],[Edad]]&lt;=50,"Adultos",INFO_Pasajeros[[#This Row],[Edad]]&gt;=51,"Adultos Mayores")</f>
        <v>Niños</v>
      </c>
    </row>
    <row r="482" spans="1:13" x14ac:dyDescent="0.25">
      <c r="A482" s="3" t="s">
        <v>1650</v>
      </c>
      <c r="B482" s="3" t="s">
        <v>902</v>
      </c>
      <c r="C482" s="3">
        <v>479</v>
      </c>
      <c r="D482" s="5">
        <v>25</v>
      </c>
      <c r="E482" s="3">
        <v>0</v>
      </c>
      <c r="F482" s="3">
        <v>0</v>
      </c>
      <c r="G482" s="3">
        <v>3</v>
      </c>
      <c r="H482" s="3">
        <v>0</v>
      </c>
      <c r="I482" s="3">
        <v>347083</v>
      </c>
      <c r="J482" s="13">
        <v>75.207999999999998</v>
      </c>
      <c r="K482" s="3" t="s">
        <v>2210</v>
      </c>
      <c r="L482" s="3" t="s">
        <v>905</v>
      </c>
      <c r="M482" t="str" cm="1">
        <f t="array" ref="M482">_xlfn.IFS(INFO_Pasajeros[[#This Row],[Edad]]&lt;=13,"Niños",INFO_Pasajeros[[#This Row],[Edad]]&lt;=18,"Jóvenes",INFO_Pasajeros[[#This Row],[Edad]]&lt;=50,"Adultos",INFO_Pasajeros[[#This Row],[Edad]]&gt;=51,"Adultos Mayores")</f>
        <v>Adultos</v>
      </c>
    </row>
    <row r="483" spans="1:13" x14ac:dyDescent="0.25">
      <c r="A483" s="3" t="s">
        <v>1651</v>
      </c>
      <c r="B483" s="3" t="s">
        <v>907</v>
      </c>
      <c r="C483" s="3">
        <v>480</v>
      </c>
      <c r="D483" s="5">
        <v>22</v>
      </c>
      <c r="E483" s="3">
        <v>1</v>
      </c>
      <c r="F483" s="3">
        <v>0</v>
      </c>
      <c r="G483" s="3">
        <v>3</v>
      </c>
      <c r="H483" s="3">
        <v>1</v>
      </c>
      <c r="I483" s="3">
        <v>347085</v>
      </c>
      <c r="J483" s="13">
        <v>122.875</v>
      </c>
      <c r="K483" s="3" t="s">
        <v>2210</v>
      </c>
      <c r="L483" s="3" t="s">
        <v>905</v>
      </c>
      <c r="M483" t="str" cm="1">
        <f t="array" ref="M483">_xlfn.IFS(INFO_Pasajeros[[#This Row],[Edad]]&lt;=13,"Niños",INFO_Pasajeros[[#This Row],[Edad]]&lt;=18,"Jóvenes",INFO_Pasajeros[[#This Row],[Edad]]&lt;=50,"Adultos",INFO_Pasajeros[[#This Row],[Edad]]&gt;=51,"Adultos Mayores")</f>
        <v>Adultos</v>
      </c>
    </row>
    <row r="484" spans="1:13" x14ac:dyDescent="0.25">
      <c r="A484" s="3" t="s">
        <v>1652</v>
      </c>
      <c r="B484" s="3" t="s">
        <v>902</v>
      </c>
      <c r="C484" s="3">
        <v>481</v>
      </c>
      <c r="D484" s="5">
        <v>18</v>
      </c>
      <c r="E484" s="3">
        <v>2</v>
      </c>
      <c r="F484" s="3">
        <v>5</v>
      </c>
      <c r="G484" s="3">
        <v>3</v>
      </c>
      <c r="H484" s="3">
        <v>0</v>
      </c>
      <c r="I484" s="3">
        <v>347087</v>
      </c>
      <c r="J484" s="13">
        <v>46.9</v>
      </c>
      <c r="K484" s="3" t="s">
        <v>2210</v>
      </c>
      <c r="L484" s="3" t="s">
        <v>905</v>
      </c>
      <c r="M484" t="str" cm="1">
        <f t="array" ref="M484">_xlfn.IFS(INFO_Pasajeros[[#This Row],[Edad]]&lt;=13,"Niños",INFO_Pasajeros[[#This Row],[Edad]]&lt;=18,"Jóvenes",INFO_Pasajeros[[#This Row],[Edad]]&lt;=50,"Adultos",INFO_Pasajeros[[#This Row],[Edad]]&gt;=51,"Adultos Mayores")</f>
        <v>Jóvenes</v>
      </c>
    </row>
    <row r="485" spans="1:13" x14ac:dyDescent="0.25">
      <c r="A485" s="3" t="s">
        <v>1653</v>
      </c>
      <c r="B485" s="3" t="s">
        <v>902</v>
      </c>
      <c r="C485" s="3">
        <v>482</v>
      </c>
      <c r="D485" s="5">
        <v>4</v>
      </c>
      <c r="E485" s="3">
        <v>0</v>
      </c>
      <c r="F485" s="3">
        <v>0</v>
      </c>
      <c r="G485" s="3">
        <v>2</v>
      </c>
      <c r="H485" s="3">
        <v>0</v>
      </c>
      <c r="I485" s="3">
        <v>347088</v>
      </c>
      <c r="J485" s="13">
        <v>0</v>
      </c>
      <c r="K485" s="3" t="s">
        <v>2210</v>
      </c>
      <c r="L485" s="3" t="s">
        <v>905</v>
      </c>
      <c r="M485" t="str" cm="1">
        <f t="array" ref="M485">_xlfn.IFS(INFO_Pasajeros[[#This Row],[Edad]]&lt;=13,"Niños",INFO_Pasajeros[[#This Row],[Edad]]&lt;=18,"Jóvenes",INFO_Pasajeros[[#This Row],[Edad]]&lt;=50,"Adultos",INFO_Pasajeros[[#This Row],[Edad]]&gt;=51,"Adultos Mayores")</f>
        <v>Niños</v>
      </c>
    </row>
    <row r="486" spans="1:13" x14ac:dyDescent="0.25">
      <c r="A486" s="3" t="s">
        <v>1654</v>
      </c>
      <c r="B486" s="3" t="s">
        <v>902</v>
      </c>
      <c r="C486" s="3">
        <v>483</v>
      </c>
      <c r="D486" s="5">
        <v>45</v>
      </c>
      <c r="E486" s="3">
        <v>0</v>
      </c>
      <c r="F486" s="3">
        <v>0</v>
      </c>
      <c r="G486" s="3">
        <v>3</v>
      </c>
      <c r="H486" s="3">
        <v>0</v>
      </c>
      <c r="I486" s="3">
        <v>347088</v>
      </c>
      <c r="J486" s="13">
        <v>8.0500000000000007</v>
      </c>
      <c r="K486" s="3" t="s">
        <v>2210</v>
      </c>
      <c r="L486" s="3" t="s">
        <v>905</v>
      </c>
      <c r="M486" t="str" cm="1">
        <f t="array" ref="M486">_xlfn.IFS(INFO_Pasajeros[[#This Row],[Edad]]&lt;=13,"Niños",INFO_Pasajeros[[#This Row],[Edad]]&lt;=18,"Jóvenes",INFO_Pasajeros[[#This Row],[Edad]]&lt;=50,"Adultos",INFO_Pasajeros[[#This Row],[Edad]]&gt;=51,"Adultos Mayores")</f>
        <v>Adultos</v>
      </c>
    </row>
    <row r="487" spans="1:13" x14ac:dyDescent="0.25">
      <c r="A487" s="3" t="s">
        <v>1656</v>
      </c>
      <c r="B487" s="3" t="s">
        <v>907</v>
      </c>
      <c r="C487" s="3">
        <v>484</v>
      </c>
      <c r="D487" s="5">
        <v>40</v>
      </c>
      <c r="E487" s="3">
        <v>0</v>
      </c>
      <c r="F487" s="3">
        <v>0</v>
      </c>
      <c r="G487" s="3">
        <v>3</v>
      </c>
      <c r="H487" s="3">
        <v>1</v>
      </c>
      <c r="I487" s="3">
        <v>347088</v>
      </c>
      <c r="J487" s="13">
        <v>95.875</v>
      </c>
      <c r="K487" s="3" t="s">
        <v>2210</v>
      </c>
      <c r="L487" s="3" t="s">
        <v>905</v>
      </c>
      <c r="M487" t="str" cm="1">
        <f t="array" ref="M487">_xlfn.IFS(INFO_Pasajeros[[#This Row],[Edad]]&lt;=13,"Niños",INFO_Pasajeros[[#This Row],[Edad]]&lt;=18,"Jóvenes",INFO_Pasajeros[[#This Row],[Edad]]&lt;=50,"Adultos",INFO_Pasajeros[[#This Row],[Edad]]&gt;=51,"Adultos Mayores")</f>
        <v>Adultos</v>
      </c>
    </row>
    <row r="488" spans="1:13" x14ac:dyDescent="0.25">
      <c r="A488" s="3" t="s">
        <v>1657</v>
      </c>
      <c r="B488" s="3" t="s">
        <v>902</v>
      </c>
      <c r="C488" s="3">
        <v>485</v>
      </c>
      <c r="D488" s="5">
        <v>9</v>
      </c>
      <c r="E488" s="3">
        <v>0</v>
      </c>
      <c r="F488" s="3">
        <v>1</v>
      </c>
      <c r="G488" s="3">
        <v>1</v>
      </c>
      <c r="H488" s="3">
        <v>1</v>
      </c>
      <c r="I488" s="3">
        <v>347088</v>
      </c>
      <c r="J488" s="13">
        <v>910.79200000000003</v>
      </c>
      <c r="K488" s="3" t="s">
        <v>2210</v>
      </c>
      <c r="L488" s="3" t="s">
        <v>905</v>
      </c>
      <c r="M488" t="str" cm="1">
        <f t="array" ref="M488">_xlfn.IFS(INFO_Pasajeros[[#This Row],[Edad]]&lt;=13,"Niños",INFO_Pasajeros[[#This Row],[Edad]]&lt;=18,"Jóvenes",INFO_Pasajeros[[#This Row],[Edad]]&lt;=50,"Adultos",INFO_Pasajeros[[#This Row],[Edad]]&gt;=51,"Adultos Mayores")</f>
        <v>Niños</v>
      </c>
    </row>
    <row r="489" spans="1:13" x14ac:dyDescent="0.25">
      <c r="A489" s="3" t="s">
        <v>1658</v>
      </c>
      <c r="B489" s="3" t="s">
        <v>907</v>
      </c>
      <c r="C489" s="3">
        <v>486</v>
      </c>
      <c r="D489" s="5">
        <v>2</v>
      </c>
      <c r="E489" s="3">
        <v>1</v>
      </c>
      <c r="F489" s="3">
        <v>3</v>
      </c>
      <c r="G489" s="3">
        <v>3</v>
      </c>
      <c r="H489" s="3">
        <v>0</v>
      </c>
      <c r="I489" s="3">
        <v>347088</v>
      </c>
      <c r="J489" s="13">
        <v>254.667</v>
      </c>
      <c r="K489" s="3" t="s">
        <v>2210</v>
      </c>
      <c r="L489" s="3" t="s">
        <v>905</v>
      </c>
      <c r="M489" t="str" cm="1">
        <f t="array" ref="M489">_xlfn.IFS(INFO_Pasajeros[[#This Row],[Edad]]&lt;=13,"Niños",INFO_Pasajeros[[#This Row],[Edad]]&lt;=18,"Jóvenes",INFO_Pasajeros[[#This Row],[Edad]]&lt;=50,"Adultos",INFO_Pasajeros[[#This Row],[Edad]]&gt;=51,"Adultos Mayores")</f>
        <v>Niños</v>
      </c>
    </row>
    <row r="490" spans="1:13" x14ac:dyDescent="0.25">
      <c r="A490" s="3" t="s">
        <v>1659</v>
      </c>
      <c r="B490" s="3" t="s">
        <v>907</v>
      </c>
      <c r="C490" s="3">
        <v>487</v>
      </c>
      <c r="D490" s="5">
        <v>10</v>
      </c>
      <c r="E490" s="3">
        <v>0</v>
      </c>
      <c r="F490" s="3">
        <v>1</v>
      </c>
      <c r="G490" s="3">
        <v>1</v>
      </c>
      <c r="H490" s="3">
        <v>1</v>
      </c>
      <c r="I490" s="3">
        <v>347088</v>
      </c>
      <c r="J490" s="13">
        <v>90</v>
      </c>
      <c r="K490" s="3" t="s">
        <v>2210</v>
      </c>
      <c r="L490" s="3" t="s">
        <v>905</v>
      </c>
      <c r="M490" t="str" cm="1">
        <f t="array" ref="M490">_xlfn.IFS(INFO_Pasajeros[[#This Row],[Edad]]&lt;=13,"Niños",INFO_Pasajeros[[#This Row],[Edad]]&lt;=18,"Jóvenes",INFO_Pasajeros[[#This Row],[Edad]]&lt;=50,"Adultos",INFO_Pasajeros[[#This Row],[Edad]]&gt;=51,"Adultos Mayores")</f>
        <v>Niños</v>
      </c>
    </row>
    <row r="491" spans="1:13" x14ac:dyDescent="0.25">
      <c r="A491" s="3" t="s">
        <v>1660</v>
      </c>
      <c r="B491" s="3" t="s">
        <v>902</v>
      </c>
      <c r="C491" s="3">
        <v>488</v>
      </c>
      <c r="D491" s="5">
        <v>27</v>
      </c>
      <c r="E491" s="3">
        <v>0</v>
      </c>
      <c r="F491" s="3">
        <v>0</v>
      </c>
      <c r="G491" s="3">
        <v>1</v>
      </c>
      <c r="H491" s="3">
        <v>0</v>
      </c>
      <c r="I491" s="3">
        <v>347089</v>
      </c>
      <c r="J491" s="13">
        <v>29.7</v>
      </c>
      <c r="K491" s="3" t="s">
        <v>2210</v>
      </c>
      <c r="L491" s="3" t="s">
        <v>905</v>
      </c>
      <c r="M491" t="str" cm="1">
        <f t="array" ref="M491">_xlfn.IFS(INFO_Pasajeros[[#This Row],[Edad]]&lt;=13,"Niños",INFO_Pasajeros[[#This Row],[Edad]]&lt;=18,"Jóvenes",INFO_Pasajeros[[#This Row],[Edad]]&lt;=50,"Adultos",INFO_Pasajeros[[#This Row],[Edad]]&gt;=51,"Adultos Mayores")</f>
        <v>Adultos</v>
      </c>
    </row>
    <row r="492" spans="1:13" x14ac:dyDescent="0.25">
      <c r="A492" s="3" t="s">
        <v>1662</v>
      </c>
      <c r="B492" s="3" t="s">
        <v>902</v>
      </c>
      <c r="C492" s="3">
        <v>489</v>
      </c>
      <c r="D492" s="5">
        <v>28</v>
      </c>
      <c r="E492" s="3">
        <v>0</v>
      </c>
      <c r="F492" s="3">
        <v>0</v>
      </c>
      <c r="G492" s="3">
        <v>3</v>
      </c>
      <c r="H492" s="3">
        <v>0</v>
      </c>
      <c r="I492" s="3">
        <v>347464</v>
      </c>
      <c r="J492" s="13">
        <v>8.0500000000000007</v>
      </c>
      <c r="K492" s="3" t="s">
        <v>2210</v>
      </c>
      <c r="L492" s="3" t="s">
        <v>905</v>
      </c>
      <c r="M492" t="str" cm="1">
        <f t="array" ref="M492">_xlfn.IFS(INFO_Pasajeros[[#This Row],[Edad]]&lt;=13,"Niños",INFO_Pasajeros[[#This Row],[Edad]]&lt;=18,"Jóvenes",INFO_Pasajeros[[#This Row],[Edad]]&lt;=50,"Adultos",INFO_Pasajeros[[#This Row],[Edad]]&gt;=51,"Adultos Mayores")</f>
        <v>Adultos</v>
      </c>
    </row>
    <row r="493" spans="1:13" x14ac:dyDescent="0.25">
      <c r="A493" s="3" t="s">
        <v>1664</v>
      </c>
      <c r="B493" s="3" t="s">
        <v>902</v>
      </c>
      <c r="C493" s="3">
        <v>490</v>
      </c>
      <c r="D493" s="5">
        <v>20</v>
      </c>
      <c r="E493" s="3">
        <v>1</v>
      </c>
      <c r="F493" s="3">
        <v>1</v>
      </c>
      <c r="G493" s="3">
        <v>3</v>
      </c>
      <c r="H493" s="3">
        <v>1</v>
      </c>
      <c r="I493" s="3">
        <v>347466</v>
      </c>
      <c r="J493" s="13">
        <v>15.9</v>
      </c>
      <c r="K493" s="3" t="s">
        <v>2210</v>
      </c>
      <c r="L493" s="3" t="s">
        <v>905</v>
      </c>
      <c r="M493" t="str" cm="1">
        <f t="array" ref="M493">_xlfn.IFS(INFO_Pasajeros[[#This Row],[Edad]]&lt;=13,"Niños",INFO_Pasajeros[[#This Row],[Edad]]&lt;=18,"Jóvenes",INFO_Pasajeros[[#This Row],[Edad]]&lt;=50,"Adultos",INFO_Pasajeros[[#This Row],[Edad]]&gt;=51,"Adultos Mayores")</f>
        <v>Adultos</v>
      </c>
    </row>
    <row r="494" spans="1:13" x14ac:dyDescent="0.25">
      <c r="A494" s="3" t="s">
        <v>1665</v>
      </c>
      <c r="B494" s="3" t="s">
        <v>902</v>
      </c>
      <c r="C494" s="3">
        <v>491</v>
      </c>
      <c r="D494" s="5">
        <v>23</v>
      </c>
      <c r="E494" s="3">
        <v>0</v>
      </c>
      <c r="F494" s="3">
        <v>1</v>
      </c>
      <c r="G494" s="3">
        <v>3</v>
      </c>
      <c r="H494" s="3">
        <v>0</v>
      </c>
      <c r="I494" s="3">
        <v>347468</v>
      </c>
      <c r="J494" s="13">
        <v>199.667</v>
      </c>
      <c r="K494" s="3" t="s">
        <v>2210</v>
      </c>
      <c r="L494" s="3" t="s">
        <v>905</v>
      </c>
      <c r="M494" t="str" cm="1">
        <f t="array" ref="M494">_xlfn.IFS(INFO_Pasajeros[[#This Row],[Edad]]&lt;=13,"Niños",INFO_Pasajeros[[#This Row],[Edad]]&lt;=18,"Jóvenes",INFO_Pasajeros[[#This Row],[Edad]]&lt;=50,"Adultos",INFO_Pasajeros[[#This Row],[Edad]]&gt;=51,"Adultos Mayores")</f>
        <v>Adultos</v>
      </c>
    </row>
    <row r="495" spans="1:13" x14ac:dyDescent="0.25">
      <c r="A495" s="3" t="s">
        <v>1666</v>
      </c>
      <c r="B495" s="3" t="s">
        <v>902</v>
      </c>
      <c r="C495" s="3">
        <v>492</v>
      </c>
      <c r="D495" s="5">
        <v>26</v>
      </c>
      <c r="E495" s="3">
        <v>0</v>
      </c>
      <c r="F495" s="3">
        <v>0</v>
      </c>
      <c r="G495" s="3">
        <v>3</v>
      </c>
      <c r="H495" s="3">
        <v>0</v>
      </c>
      <c r="I495" s="3">
        <v>347470</v>
      </c>
      <c r="J495" s="13">
        <v>7.25</v>
      </c>
      <c r="K495" s="3" t="s">
        <v>2210</v>
      </c>
      <c r="L495" s="3" t="s">
        <v>905</v>
      </c>
      <c r="M495" t="str" cm="1">
        <f t="array" ref="M495">_xlfn.IFS(INFO_Pasajeros[[#This Row],[Edad]]&lt;=13,"Niños",INFO_Pasajeros[[#This Row],[Edad]]&lt;=18,"Jóvenes",INFO_Pasajeros[[#This Row],[Edad]]&lt;=50,"Adultos",INFO_Pasajeros[[#This Row],[Edad]]&gt;=51,"Adultos Mayores")</f>
        <v>Adultos</v>
      </c>
    </row>
    <row r="496" spans="1:13" x14ac:dyDescent="0.25">
      <c r="A496" s="3" t="s">
        <v>1668</v>
      </c>
      <c r="B496" s="3" t="s">
        <v>902</v>
      </c>
      <c r="C496" s="3">
        <v>493</v>
      </c>
      <c r="D496" s="5">
        <v>27</v>
      </c>
      <c r="E496" s="3">
        <v>0</v>
      </c>
      <c r="F496" s="3">
        <v>0</v>
      </c>
      <c r="G496" s="3">
        <v>1</v>
      </c>
      <c r="H496" s="3">
        <v>0</v>
      </c>
      <c r="I496" s="3">
        <v>347742</v>
      </c>
      <c r="J496" s="13">
        <v>30.5</v>
      </c>
      <c r="K496" s="3" t="s">
        <v>2210</v>
      </c>
      <c r="L496" s="3" t="s">
        <v>905</v>
      </c>
      <c r="M496" t="str" cm="1">
        <f t="array" ref="M496">_xlfn.IFS(INFO_Pasajeros[[#This Row],[Edad]]&lt;=13,"Niños",INFO_Pasajeros[[#This Row],[Edad]]&lt;=18,"Jóvenes",INFO_Pasajeros[[#This Row],[Edad]]&lt;=50,"Adultos",INFO_Pasajeros[[#This Row],[Edad]]&gt;=51,"Adultos Mayores")</f>
        <v>Adultos</v>
      </c>
    </row>
    <row r="497" spans="1:13" x14ac:dyDescent="0.25">
      <c r="A497" s="3" t="s">
        <v>1670</v>
      </c>
      <c r="B497" s="3" t="s">
        <v>902</v>
      </c>
      <c r="C497" s="3">
        <v>494</v>
      </c>
      <c r="D497" s="5">
        <v>1</v>
      </c>
      <c r="E497" s="3">
        <v>0</v>
      </c>
      <c r="F497" s="3">
        <v>0</v>
      </c>
      <c r="G497" s="3">
        <v>1</v>
      </c>
      <c r="H497" s="3">
        <v>0</v>
      </c>
      <c r="I497" s="3">
        <v>347742</v>
      </c>
      <c r="J497" s="13">
        <v>495.04199999999997</v>
      </c>
      <c r="K497" s="3" t="s">
        <v>2210</v>
      </c>
      <c r="L497" s="3" t="s">
        <v>905</v>
      </c>
      <c r="M497" t="str" cm="1">
        <f t="array" ref="M497">_xlfn.IFS(INFO_Pasajeros[[#This Row],[Edad]]&lt;=13,"Niños",INFO_Pasajeros[[#This Row],[Edad]]&lt;=18,"Jóvenes",INFO_Pasajeros[[#This Row],[Edad]]&lt;=50,"Adultos",INFO_Pasajeros[[#This Row],[Edad]]&gt;=51,"Adultos Mayores")</f>
        <v>Niños</v>
      </c>
    </row>
    <row r="498" spans="1:13" x14ac:dyDescent="0.25">
      <c r="A498" s="3" t="s">
        <v>1672</v>
      </c>
      <c r="B498" s="3" t="s">
        <v>902</v>
      </c>
      <c r="C498" s="3">
        <v>495</v>
      </c>
      <c r="D498" s="5">
        <v>4</v>
      </c>
      <c r="E498" s="3">
        <v>0</v>
      </c>
      <c r="F498" s="3">
        <v>0</v>
      </c>
      <c r="G498" s="3">
        <v>3</v>
      </c>
      <c r="H498" s="3">
        <v>0</v>
      </c>
      <c r="I498" s="3">
        <v>347742</v>
      </c>
      <c r="J498" s="13">
        <v>8.0500000000000007</v>
      </c>
      <c r="K498" s="3" t="s">
        <v>2210</v>
      </c>
      <c r="L498" s="3" t="s">
        <v>905</v>
      </c>
      <c r="M498" t="str" cm="1">
        <f t="array" ref="M498">_xlfn.IFS(INFO_Pasajeros[[#This Row],[Edad]]&lt;=13,"Niños",INFO_Pasajeros[[#This Row],[Edad]]&lt;=18,"Jóvenes",INFO_Pasajeros[[#This Row],[Edad]]&lt;=50,"Adultos",INFO_Pasajeros[[#This Row],[Edad]]&gt;=51,"Adultos Mayores")</f>
        <v>Niños</v>
      </c>
    </row>
    <row r="499" spans="1:13" x14ac:dyDescent="0.25">
      <c r="A499" s="3" t="s">
        <v>1674</v>
      </c>
      <c r="B499" s="3" t="s">
        <v>902</v>
      </c>
      <c r="C499" s="3">
        <v>496</v>
      </c>
      <c r="D499" s="5">
        <v>51</v>
      </c>
      <c r="E499" s="3">
        <v>0</v>
      </c>
      <c r="F499" s="3">
        <v>0</v>
      </c>
      <c r="G499" s="3">
        <v>3</v>
      </c>
      <c r="H499" s="3">
        <v>0</v>
      </c>
      <c r="I499" s="3">
        <v>347743</v>
      </c>
      <c r="J499" s="13">
        <v>144.583</v>
      </c>
      <c r="K499" s="3" t="s">
        <v>2210</v>
      </c>
      <c r="L499" s="3" t="s">
        <v>905</v>
      </c>
      <c r="M499" t="str" cm="1">
        <f t="array" ref="M499">_xlfn.IFS(INFO_Pasajeros[[#This Row],[Edad]]&lt;=13,"Niños",INFO_Pasajeros[[#This Row],[Edad]]&lt;=18,"Jóvenes",INFO_Pasajeros[[#This Row],[Edad]]&lt;=50,"Adultos",INFO_Pasajeros[[#This Row],[Edad]]&gt;=51,"Adultos Mayores")</f>
        <v>Adultos Mayores</v>
      </c>
    </row>
    <row r="500" spans="1:13" x14ac:dyDescent="0.25">
      <c r="A500" s="3" t="s">
        <v>1675</v>
      </c>
      <c r="B500" s="3" t="s">
        <v>907</v>
      </c>
      <c r="C500" s="3">
        <v>497</v>
      </c>
      <c r="D500" s="5">
        <v>42</v>
      </c>
      <c r="E500" s="3">
        <v>0</v>
      </c>
      <c r="F500" s="3">
        <v>1</v>
      </c>
      <c r="G500" s="3">
        <v>1</v>
      </c>
      <c r="H500" s="3">
        <v>1</v>
      </c>
      <c r="I500" s="3">
        <v>348121</v>
      </c>
      <c r="J500" s="13">
        <v>782.66700000000003</v>
      </c>
      <c r="K500" s="3" t="s">
        <v>1950</v>
      </c>
      <c r="L500" s="3" t="s">
        <v>905</v>
      </c>
      <c r="M500" t="str" cm="1">
        <f t="array" ref="M500">_xlfn.IFS(INFO_Pasajeros[[#This Row],[Edad]]&lt;=13,"Niños",INFO_Pasajeros[[#This Row],[Edad]]&lt;=18,"Jóvenes",INFO_Pasajeros[[#This Row],[Edad]]&lt;=50,"Adultos",INFO_Pasajeros[[#This Row],[Edad]]&gt;=51,"Adultos Mayores")</f>
        <v>Adultos</v>
      </c>
    </row>
    <row r="501" spans="1:13" x14ac:dyDescent="0.25">
      <c r="A501" s="3" t="s">
        <v>1677</v>
      </c>
      <c r="B501" s="3" t="s">
        <v>902</v>
      </c>
      <c r="C501" s="3">
        <v>498</v>
      </c>
      <c r="D501" s="5">
        <v>25</v>
      </c>
      <c r="E501" s="3">
        <v>0</v>
      </c>
      <c r="F501" s="3">
        <v>0</v>
      </c>
      <c r="G501" s="3">
        <v>3</v>
      </c>
      <c r="H501" s="3">
        <v>0</v>
      </c>
      <c r="I501" s="3">
        <v>348123</v>
      </c>
      <c r="J501" s="13">
        <v>15.1</v>
      </c>
      <c r="K501" s="3" t="s">
        <v>1036</v>
      </c>
      <c r="L501" s="3" t="s">
        <v>905</v>
      </c>
      <c r="M501" t="str" cm="1">
        <f t="array" ref="M501">_xlfn.IFS(INFO_Pasajeros[[#This Row],[Edad]]&lt;=13,"Niños",INFO_Pasajeros[[#This Row],[Edad]]&lt;=18,"Jóvenes",INFO_Pasajeros[[#This Row],[Edad]]&lt;=50,"Adultos",INFO_Pasajeros[[#This Row],[Edad]]&gt;=51,"Adultos Mayores")</f>
        <v>Adultos</v>
      </c>
    </row>
    <row r="502" spans="1:13" x14ac:dyDescent="0.25">
      <c r="A502" s="3" t="s">
        <v>1680</v>
      </c>
      <c r="B502" s="3" t="s">
        <v>907</v>
      </c>
      <c r="C502" s="3">
        <v>499</v>
      </c>
      <c r="D502" s="5">
        <v>19</v>
      </c>
      <c r="E502" s="3">
        <v>2</v>
      </c>
      <c r="F502" s="3">
        <v>1</v>
      </c>
      <c r="G502" s="3">
        <v>1</v>
      </c>
      <c r="H502" s="3">
        <v>0</v>
      </c>
      <c r="I502" s="3">
        <v>348124</v>
      </c>
      <c r="J502" s="13">
        <v>151.55000000000001</v>
      </c>
      <c r="K502" s="3" t="s">
        <v>1036</v>
      </c>
      <c r="L502" s="3" t="s">
        <v>905</v>
      </c>
      <c r="M502" t="str" cm="1">
        <f t="array" ref="M502">_xlfn.IFS(INFO_Pasajeros[[#This Row],[Edad]]&lt;=13,"Niños",INFO_Pasajeros[[#This Row],[Edad]]&lt;=18,"Jóvenes",INFO_Pasajeros[[#This Row],[Edad]]&lt;=50,"Adultos",INFO_Pasajeros[[#This Row],[Edad]]&gt;=51,"Adultos Mayores")</f>
        <v>Adultos</v>
      </c>
    </row>
    <row r="503" spans="1:13" x14ac:dyDescent="0.25">
      <c r="A503" s="3" t="s">
        <v>1681</v>
      </c>
      <c r="B503" s="3" t="s">
        <v>902</v>
      </c>
      <c r="C503" s="3">
        <v>500</v>
      </c>
      <c r="D503" s="5">
        <v>10</v>
      </c>
      <c r="E503" s="3">
        <v>0</v>
      </c>
      <c r="F503" s="3">
        <v>0</v>
      </c>
      <c r="G503" s="3">
        <v>3</v>
      </c>
      <c r="H503" s="3">
        <v>0</v>
      </c>
      <c r="I503" s="3">
        <v>349201</v>
      </c>
      <c r="J503" s="13">
        <v>77.957999999999998</v>
      </c>
      <c r="K503" s="3" t="s">
        <v>2210</v>
      </c>
      <c r="L503" s="3" t="s">
        <v>905</v>
      </c>
      <c r="M503" t="str" cm="1">
        <f t="array" ref="M503">_xlfn.IFS(INFO_Pasajeros[[#This Row],[Edad]]&lt;=13,"Niños",INFO_Pasajeros[[#This Row],[Edad]]&lt;=18,"Jóvenes",INFO_Pasajeros[[#This Row],[Edad]]&lt;=50,"Adultos",INFO_Pasajeros[[#This Row],[Edad]]&gt;=51,"Adultos Mayores")</f>
        <v>Niños</v>
      </c>
    </row>
    <row r="504" spans="1:13" x14ac:dyDescent="0.25">
      <c r="A504" s="3" t="s">
        <v>1682</v>
      </c>
      <c r="B504" s="3" t="s">
        <v>902</v>
      </c>
      <c r="C504" s="3">
        <v>501</v>
      </c>
      <c r="D504" s="5">
        <v>25</v>
      </c>
      <c r="E504" s="3">
        <v>0</v>
      </c>
      <c r="F504" s="3">
        <v>0</v>
      </c>
      <c r="G504" s="3">
        <v>3</v>
      </c>
      <c r="H504" s="3">
        <v>0</v>
      </c>
      <c r="I504" s="3">
        <v>349203</v>
      </c>
      <c r="J504" s="13">
        <v>86.625</v>
      </c>
      <c r="K504" s="3" t="s">
        <v>2210</v>
      </c>
      <c r="L504" s="3" t="s">
        <v>905</v>
      </c>
      <c r="M504" t="str" cm="1">
        <f t="array" ref="M504">_xlfn.IFS(INFO_Pasajeros[[#This Row],[Edad]]&lt;=13,"Niños",INFO_Pasajeros[[#This Row],[Edad]]&lt;=18,"Jóvenes",INFO_Pasajeros[[#This Row],[Edad]]&lt;=50,"Adultos",INFO_Pasajeros[[#This Row],[Edad]]&gt;=51,"Adultos Mayores")</f>
        <v>Adultos</v>
      </c>
    </row>
    <row r="505" spans="1:13" x14ac:dyDescent="0.25">
      <c r="A505" s="3" t="s">
        <v>1683</v>
      </c>
      <c r="B505" s="3" t="s">
        <v>907</v>
      </c>
      <c r="C505" s="3">
        <v>502</v>
      </c>
      <c r="D505" s="5">
        <v>23</v>
      </c>
      <c r="E505" s="3">
        <v>0</v>
      </c>
      <c r="F505" s="3">
        <v>0</v>
      </c>
      <c r="G505" s="3">
        <v>3</v>
      </c>
      <c r="H505" s="3">
        <v>0</v>
      </c>
      <c r="I505" s="3">
        <v>349204</v>
      </c>
      <c r="J505" s="13">
        <v>7.75</v>
      </c>
      <c r="K505" s="3" t="s">
        <v>2210</v>
      </c>
      <c r="L505" s="3" t="s">
        <v>905</v>
      </c>
      <c r="M505" t="str" cm="1">
        <f t="array" ref="M505">_xlfn.IFS(INFO_Pasajeros[[#This Row],[Edad]]&lt;=13,"Niños",INFO_Pasajeros[[#This Row],[Edad]]&lt;=18,"Jóvenes",INFO_Pasajeros[[#This Row],[Edad]]&lt;=50,"Adultos",INFO_Pasajeros[[#This Row],[Edad]]&gt;=51,"Adultos Mayores")</f>
        <v>Adultos</v>
      </c>
    </row>
    <row r="506" spans="1:13" x14ac:dyDescent="0.25">
      <c r="A506" s="3" t="s">
        <v>1684</v>
      </c>
      <c r="B506" s="3" t="s">
        <v>907</v>
      </c>
      <c r="C506" s="3">
        <v>503</v>
      </c>
      <c r="D506" s="5">
        <v>19</v>
      </c>
      <c r="E506" s="3">
        <v>0</v>
      </c>
      <c r="F506" s="3">
        <v>0</v>
      </c>
      <c r="G506" s="3">
        <v>3</v>
      </c>
      <c r="H506" s="3">
        <v>0</v>
      </c>
      <c r="I506" s="3">
        <v>349205</v>
      </c>
      <c r="J506" s="13">
        <v>76.292000000000002</v>
      </c>
      <c r="K506" s="3" t="s">
        <v>2210</v>
      </c>
      <c r="L506" s="3" t="s">
        <v>905</v>
      </c>
      <c r="M506" t="str" cm="1">
        <f t="array" ref="M506">_xlfn.IFS(INFO_Pasajeros[[#This Row],[Edad]]&lt;=13,"Niños",INFO_Pasajeros[[#This Row],[Edad]]&lt;=18,"Jóvenes",INFO_Pasajeros[[#This Row],[Edad]]&lt;=50,"Adultos",INFO_Pasajeros[[#This Row],[Edad]]&gt;=51,"Adultos Mayores")</f>
        <v>Adultos</v>
      </c>
    </row>
    <row r="507" spans="1:13" x14ac:dyDescent="0.25">
      <c r="A507" s="3" t="s">
        <v>1685</v>
      </c>
      <c r="B507" s="3" t="s">
        <v>907</v>
      </c>
      <c r="C507" s="3">
        <v>504</v>
      </c>
      <c r="D507" s="5">
        <v>22</v>
      </c>
      <c r="E507" s="3">
        <v>0</v>
      </c>
      <c r="F507" s="3">
        <v>0</v>
      </c>
      <c r="G507" s="3">
        <v>3</v>
      </c>
      <c r="H507" s="3">
        <v>0</v>
      </c>
      <c r="I507" s="3">
        <v>349206</v>
      </c>
      <c r="J507" s="13">
        <v>95.875</v>
      </c>
      <c r="K507" s="3" t="s">
        <v>2210</v>
      </c>
      <c r="L507" s="3" t="s">
        <v>905</v>
      </c>
      <c r="M507" t="str" cm="1">
        <f t="array" ref="M507">_xlfn.IFS(INFO_Pasajeros[[#This Row],[Edad]]&lt;=13,"Niños",INFO_Pasajeros[[#This Row],[Edad]]&lt;=18,"Jóvenes",INFO_Pasajeros[[#This Row],[Edad]]&lt;=50,"Adultos",INFO_Pasajeros[[#This Row],[Edad]]&gt;=51,"Adultos Mayores")</f>
        <v>Adultos</v>
      </c>
    </row>
    <row r="508" spans="1:13" x14ac:dyDescent="0.25">
      <c r="A508" s="3" t="s">
        <v>1686</v>
      </c>
      <c r="B508" s="3" t="s">
        <v>907</v>
      </c>
      <c r="C508" s="3">
        <v>505</v>
      </c>
      <c r="D508" s="5">
        <v>28</v>
      </c>
      <c r="E508" s="3">
        <v>0</v>
      </c>
      <c r="F508" s="3">
        <v>0</v>
      </c>
      <c r="G508" s="3">
        <v>1</v>
      </c>
      <c r="H508" s="3">
        <v>1</v>
      </c>
      <c r="I508" s="3">
        <v>349207</v>
      </c>
      <c r="J508" s="13">
        <v>86.5</v>
      </c>
      <c r="K508" s="3" t="s">
        <v>2210</v>
      </c>
      <c r="L508" s="3" t="s">
        <v>905</v>
      </c>
      <c r="M508" t="str" cm="1">
        <f t="array" ref="M508">_xlfn.IFS(INFO_Pasajeros[[#This Row],[Edad]]&lt;=13,"Niños",INFO_Pasajeros[[#This Row],[Edad]]&lt;=18,"Jóvenes",INFO_Pasajeros[[#This Row],[Edad]]&lt;=50,"Adultos",INFO_Pasajeros[[#This Row],[Edad]]&gt;=51,"Adultos Mayores")</f>
        <v>Adultos</v>
      </c>
    </row>
    <row r="509" spans="1:13" x14ac:dyDescent="0.25">
      <c r="A509" s="3" t="s">
        <v>1688</v>
      </c>
      <c r="B509" s="3" t="s">
        <v>902</v>
      </c>
      <c r="C509" s="3">
        <v>506</v>
      </c>
      <c r="D509" s="5">
        <v>6</v>
      </c>
      <c r="E509" s="3">
        <v>0</v>
      </c>
      <c r="F509" s="3">
        <v>1</v>
      </c>
      <c r="G509" s="3">
        <v>1</v>
      </c>
      <c r="H509" s="3">
        <v>0</v>
      </c>
      <c r="I509" s="3">
        <v>349208</v>
      </c>
      <c r="J509" s="13">
        <v>108.9</v>
      </c>
      <c r="K509" s="3" t="s">
        <v>2210</v>
      </c>
      <c r="L509" s="3" t="s">
        <v>905</v>
      </c>
      <c r="M509" t="str" cm="1">
        <f t="array" ref="M509">_xlfn.IFS(INFO_Pasajeros[[#This Row],[Edad]]&lt;=13,"Niños",INFO_Pasajeros[[#This Row],[Edad]]&lt;=18,"Jóvenes",INFO_Pasajeros[[#This Row],[Edad]]&lt;=50,"Adultos",INFO_Pasajeros[[#This Row],[Edad]]&gt;=51,"Adultos Mayores")</f>
        <v>Niños</v>
      </c>
    </row>
    <row r="510" spans="1:13" x14ac:dyDescent="0.25">
      <c r="A510" s="3" t="s">
        <v>1689</v>
      </c>
      <c r="B510" s="3" t="s">
        <v>907</v>
      </c>
      <c r="C510" s="3">
        <v>507</v>
      </c>
      <c r="D510" s="5">
        <v>24</v>
      </c>
      <c r="E510" s="3">
        <v>2</v>
      </c>
      <c r="F510" s="3">
        <v>0</v>
      </c>
      <c r="G510" s="3">
        <v>2</v>
      </c>
      <c r="H510" s="3">
        <v>1</v>
      </c>
      <c r="I510" s="3">
        <v>349209</v>
      </c>
      <c r="J510" s="13">
        <v>26</v>
      </c>
      <c r="K510" s="3" t="s">
        <v>2210</v>
      </c>
      <c r="L510" s="3" t="s">
        <v>905</v>
      </c>
      <c r="M510" t="str" cm="1">
        <f t="array" ref="M510">_xlfn.IFS(INFO_Pasajeros[[#This Row],[Edad]]&lt;=13,"Niños",INFO_Pasajeros[[#This Row],[Edad]]&lt;=18,"Jóvenes",INFO_Pasajeros[[#This Row],[Edad]]&lt;=50,"Adultos",INFO_Pasajeros[[#This Row],[Edad]]&gt;=51,"Adultos Mayores")</f>
        <v>Adultos</v>
      </c>
    </row>
    <row r="511" spans="1:13" x14ac:dyDescent="0.25">
      <c r="A511" s="3" t="s">
        <v>1690</v>
      </c>
      <c r="B511" s="3" t="s">
        <v>902</v>
      </c>
      <c r="C511" s="3">
        <v>508</v>
      </c>
      <c r="D511" s="5">
        <v>36</v>
      </c>
      <c r="E511" s="3">
        <v>0</v>
      </c>
      <c r="F511" s="3">
        <v>0</v>
      </c>
      <c r="G511" s="3">
        <v>1</v>
      </c>
      <c r="H511" s="3">
        <v>1</v>
      </c>
      <c r="I511" s="3">
        <v>349210</v>
      </c>
      <c r="J511" s="13">
        <v>26.55</v>
      </c>
      <c r="K511" s="3" t="s">
        <v>2210</v>
      </c>
      <c r="L511" s="3" t="s">
        <v>905</v>
      </c>
      <c r="M511" t="str" cm="1">
        <f t="array" ref="M511">_xlfn.IFS(INFO_Pasajeros[[#This Row],[Edad]]&lt;=13,"Niños",INFO_Pasajeros[[#This Row],[Edad]]&lt;=18,"Jóvenes",INFO_Pasajeros[[#This Row],[Edad]]&lt;=50,"Adultos",INFO_Pasajeros[[#This Row],[Edad]]&gt;=51,"Adultos Mayores")</f>
        <v>Adultos</v>
      </c>
    </row>
    <row r="512" spans="1:13" x14ac:dyDescent="0.25">
      <c r="A512" s="3" t="s">
        <v>1691</v>
      </c>
      <c r="B512" s="3" t="s">
        <v>902</v>
      </c>
      <c r="C512" s="3">
        <v>509</v>
      </c>
      <c r="D512" s="5">
        <v>19</v>
      </c>
      <c r="E512" s="3">
        <v>0</v>
      </c>
      <c r="F512" s="3">
        <v>0</v>
      </c>
      <c r="G512" s="3">
        <v>3</v>
      </c>
      <c r="H512" s="3">
        <v>0</v>
      </c>
      <c r="I512" s="3">
        <v>349212</v>
      </c>
      <c r="J512" s="13">
        <v>22.524999999999999</v>
      </c>
      <c r="K512" s="3" t="s">
        <v>2210</v>
      </c>
      <c r="L512" s="3" t="s">
        <v>905</v>
      </c>
      <c r="M512" t="str" cm="1">
        <f t="array" ref="M512">_xlfn.IFS(INFO_Pasajeros[[#This Row],[Edad]]&lt;=13,"Niños",INFO_Pasajeros[[#This Row],[Edad]]&lt;=18,"Jóvenes",INFO_Pasajeros[[#This Row],[Edad]]&lt;=50,"Adultos",INFO_Pasajeros[[#This Row],[Edad]]&gt;=51,"Adultos Mayores")</f>
        <v>Adultos</v>
      </c>
    </row>
    <row r="513" spans="1:13" x14ac:dyDescent="0.25">
      <c r="A513" s="3" t="s">
        <v>1693</v>
      </c>
      <c r="B513" s="3" t="s">
        <v>902</v>
      </c>
      <c r="C513" s="3">
        <v>510</v>
      </c>
      <c r="D513" s="5">
        <v>35</v>
      </c>
      <c r="E513" s="3">
        <v>0</v>
      </c>
      <c r="F513" s="3">
        <v>0</v>
      </c>
      <c r="G513" s="3">
        <v>3</v>
      </c>
      <c r="H513" s="3">
        <v>1</v>
      </c>
      <c r="I513" s="3">
        <v>349213</v>
      </c>
      <c r="J513" s="13">
        <v>564.95799999999997</v>
      </c>
      <c r="K513" s="3" t="s">
        <v>2210</v>
      </c>
      <c r="L513" s="3" t="s">
        <v>910</v>
      </c>
      <c r="M513" t="str" cm="1">
        <f t="array" ref="M513">_xlfn.IFS(INFO_Pasajeros[[#This Row],[Edad]]&lt;=13,"Niños",INFO_Pasajeros[[#This Row],[Edad]]&lt;=18,"Jóvenes",INFO_Pasajeros[[#This Row],[Edad]]&lt;=50,"Adultos",INFO_Pasajeros[[#This Row],[Edad]]&gt;=51,"Adultos Mayores")</f>
        <v>Adultos</v>
      </c>
    </row>
    <row r="514" spans="1:13" x14ac:dyDescent="0.25">
      <c r="A514" s="3" t="s">
        <v>1694</v>
      </c>
      <c r="B514" s="3" t="s">
        <v>902</v>
      </c>
      <c r="C514" s="3">
        <v>511</v>
      </c>
      <c r="D514" s="5">
        <v>3</v>
      </c>
      <c r="E514" s="3">
        <v>0</v>
      </c>
      <c r="F514" s="3">
        <v>0</v>
      </c>
      <c r="G514" s="3">
        <v>3</v>
      </c>
      <c r="H514" s="3">
        <v>1</v>
      </c>
      <c r="I514" s="3">
        <v>349214</v>
      </c>
      <c r="J514" s="13">
        <v>7.75</v>
      </c>
      <c r="K514" s="3" t="s">
        <v>2210</v>
      </c>
      <c r="L514" s="3" t="s">
        <v>905</v>
      </c>
      <c r="M514" t="str" cm="1">
        <f t="array" ref="M514">_xlfn.IFS(INFO_Pasajeros[[#This Row],[Edad]]&lt;=13,"Niños",INFO_Pasajeros[[#This Row],[Edad]]&lt;=18,"Jóvenes",INFO_Pasajeros[[#This Row],[Edad]]&lt;=50,"Adultos",INFO_Pasajeros[[#This Row],[Edad]]&gt;=51,"Adultos Mayores")</f>
        <v>Niños</v>
      </c>
    </row>
    <row r="515" spans="1:13" x14ac:dyDescent="0.25">
      <c r="A515" s="3" t="s">
        <v>1695</v>
      </c>
      <c r="B515" s="3" t="s">
        <v>902</v>
      </c>
      <c r="C515" s="3">
        <v>512</v>
      </c>
      <c r="D515" s="5">
        <v>67</v>
      </c>
      <c r="E515" s="3">
        <v>0</v>
      </c>
      <c r="F515" s="3">
        <v>0</v>
      </c>
      <c r="G515" s="3">
        <v>3</v>
      </c>
      <c r="H515" s="3">
        <v>0</v>
      </c>
      <c r="I515" s="3">
        <v>349215</v>
      </c>
      <c r="J515" s="13">
        <v>8.0500000000000007</v>
      </c>
      <c r="K515" s="3" t="s">
        <v>2210</v>
      </c>
      <c r="L515" s="3" t="s">
        <v>905</v>
      </c>
      <c r="M515" t="str" cm="1">
        <f t="array" ref="M515">_xlfn.IFS(INFO_Pasajeros[[#This Row],[Edad]]&lt;=13,"Niños",INFO_Pasajeros[[#This Row],[Edad]]&lt;=18,"Jóvenes",INFO_Pasajeros[[#This Row],[Edad]]&lt;=50,"Adultos",INFO_Pasajeros[[#This Row],[Edad]]&gt;=51,"Adultos Mayores")</f>
        <v>Adultos Mayores</v>
      </c>
    </row>
    <row r="516" spans="1:13" x14ac:dyDescent="0.25">
      <c r="A516" s="3" t="s">
        <v>1697</v>
      </c>
      <c r="B516" s="3" t="s">
        <v>902</v>
      </c>
      <c r="C516" s="3">
        <v>513</v>
      </c>
      <c r="D516" s="5">
        <v>80</v>
      </c>
      <c r="E516" s="3">
        <v>0</v>
      </c>
      <c r="F516" s="3">
        <v>0</v>
      </c>
      <c r="G516" s="3">
        <v>1</v>
      </c>
      <c r="H516" s="3">
        <v>1</v>
      </c>
      <c r="I516" s="3">
        <v>349216</v>
      </c>
      <c r="J516" s="13">
        <v>262.875</v>
      </c>
      <c r="K516" s="3" t="s">
        <v>2210</v>
      </c>
      <c r="L516" s="3" t="s">
        <v>905</v>
      </c>
      <c r="M516" t="str" cm="1">
        <f t="array" ref="M516">_xlfn.IFS(INFO_Pasajeros[[#This Row],[Edad]]&lt;=13,"Niños",INFO_Pasajeros[[#This Row],[Edad]]&lt;=18,"Jóvenes",INFO_Pasajeros[[#This Row],[Edad]]&lt;=50,"Adultos",INFO_Pasajeros[[#This Row],[Edad]]&gt;=51,"Adultos Mayores")</f>
        <v>Adultos Mayores</v>
      </c>
    </row>
    <row r="517" spans="1:13" x14ac:dyDescent="0.25">
      <c r="A517" s="3" t="s">
        <v>1700</v>
      </c>
      <c r="B517" s="3" t="s">
        <v>907</v>
      </c>
      <c r="C517" s="3">
        <v>514</v>
      </c>
      <c r="D517" s="5">
        <v>50</v>
      </c>
      <c r="E517" s="3">
        <v>0</v>
      </c>
      <c r="F517" s="3">
        <v>1</v>
      </c>
      <c r="G517" s="3">
        <v>1</v>
      </c>
      <c r="H517" s="3">
        <v>1</v>
      </c>
      <c r="I517" s="3">
        <v>349217</v>
      </c>
      <c r="J517" s="13">
        <v>59.4</v>
      </c>
      <c r="K517" s="3" t="s">
        <v>2210</v>
      </c>
      <c r="L517" s="3" t="s">
        <v>905</v>
      </c>
      <c r="M517" t="str" cm="1">
        <f t="array" ref="M517">_xlfn.IFS(INFO_Pasajeros[[#This Row],[Edad]]&lt;=13,"Niños",INFO_Pasajeros[[#This Row],[Edad]]&lt;=18,"Jóvenes",INFO_Pasajeros[[#This Row],[Edad]]&lt;=50,"Adultos",INFO_Pasajeros[[#This Row],[Edad]]&gt;=51,"Adultos Mayores")</f>
        <v>Adultos</v>
      </c>
    </row>
    <row r="518" spans="1:13" x14ac:dyDescent="0.25">
      <c r="A518" s="3" t="s">
        <v>1703</v>
      </c>
      <c r="B518" s="3" t="s">
        <v>902</v>
      </c>
      <c r="C518" s="3">
        <v>515</v>
      </c>
      <c r="D518" s="5">
        <v>48</v>
      </c>
      <c r="E518" s="3">
        <v>0</v>
      </c>
      <c r="F518" s="3">
        <v>0</v>
      </c>
      <c r="G518" s="3">
        <v>3</v>
      </c>
      <c r="H518" s="3">
        <v>0</v>
      </c>
      <c r="I518" s="3">
        <v>349218</v>
      </c>
      <c r="J518" s="13">
        <v>74.957999999999998</v>
      </c>
      <c r="K518" s="3" t="s">
        <v>2210</v>
      </c>
      <c r="L518" s="3" t="s">
        <v>905</v>
      </c>
      <c r="M518" t="str" cm="1">
        <f t="array" ref="M518">_xlfn.IFS(INFO_Pasajeros[[#This Row],[Edad]]&lt;=13,"Niños",INFO_Pasajeros[[#This Row],[Edad]]&lt;=18,"Jóvenes",INFO_Pasajeros[[#This Row],[Edad]]&lt;=50,"Adultos",INFO_Pasajeros[[#This Row],[Edad]]&gt;=51,"Adultos Mayores")</f>
        <v>Adultos</v>
      </c>
    </row>
    <row r="519" spans="1:13" x14ac:dyDescent="0.25">
      <c r="A519" s="3" t="s">
        <v>1704</v>
      </c>
      <c r="B519" s="3" t="s">
        <v>902</v>
      </c>
      <c r="C519" s="3">
        <v>516</v>
      </c>
      <c r="D519" s="5">
        <v>27</v>
      </c>
      <c r="E519" s="3">
        <v>0</v>
      </c>
      <c r="F519" s="3">
        <v>0</v>
      </c>
      <c r="G519" s="3">
        <v>1</v>
      </c>
      <c r="H519" s="3">
        <v>0</v>
      </c>
      <c r="I519" s="3">
        <v>349219</v>
      </c>
      <c r="J519" s="13">
        <v>340.20800000000003</v>
      </c>
      <c r="K519" s="3" t="s">
        <v>2210</v>
      </c>
      <c r="L519" s="3" t="s">
        <v>905</v>
      </c>
      <c r="M519" t="str" cm="1">
        <f t="array" ref="M519">_xlfn.IFS(INFO_Pasajeros[[#This Row],[Edad]]&lt;=13,"Niños",INFO_Pasajeros[[#This Row],[Edad]]&lt;=18,"Jóvenes",INFO_Pasajeros[[#This Row],[Edad]]&lt;=50,"Adultos",INFO_Pasajeros[[#This Row],[Edad]]&gt;=51,"Adultos Mayores")</f>
        <v>Adultos</v>
      </c>
    </row>
    <row r="520" spans="1:13" x14ac:dyDescent="0.25">
      <c r="A520" s="3" t="s">
        <v>1706</v>
      </c>
      <c r="B520" s="3" t="s">
        <v>907</v>
      </c>
      <c r="C520" s="3">
        <v>517</v>
      </c>
      <c r="D520" s="5">
        <v>20</v>
      </c>
      <c r="E520" s="3">
        <v>0</v>
      </c>
      <c r="F520" s="3">
        <v>0</v>
      </c>
      <c r="G520" s="3">
        <v>2</v>
      </c>
      <c r="H520" s="3">
        <v>1</v>
      </c>
      <c r="I520" s="3">
        <v>349221</v>
      </c>
      <c r="J520" s="13">
        <v>10.5</v>
      </c>
      <c r="K520" s="3" t="s">
        <v>2210</v>
      </c>
      <c r="L520" s="3" t="s">
        <v>905</v>
      </c>
      <c r="M520" t="str" cm="1">
        <f t="array" ref="M520">_xlfn.IFS(INFO_Pasajeros[[#This Row],[Edad]]&lt;=13,"Niños",INFO_Pasajeros[[#This Row],[Edad]]&lt;=18,"Jóvenes",INFO_Pasajeros[[#This Row],[Edad]]&lt;=50,"Adultos",INFO_Pasajeros[[#This Row],[Edad]]&gt;=51,"Adultos Mayores")</f>
        <v>Adultos</v>
      </c>
    </row>
    <row r="521" spans="1:13" x14ac:dyDescent="0.25">
      <c r="A521" s="3" t="s">
        <v>1708</v>
      </c>
      <c r="B521" s="3" t="s">
        <v>902</v>
      </c>
      <c r="C521" s="3">
        <v>518</v>
      </c>
      <c r="D521" s="5">
        <v>31</v>
      </c>
      <c r="E521" s="3">
        <v>0</v>
      </c>
      <c r="F521" s="3">
        <v>0</v>
      </c>
      <c r="G521" s="3">
        <v>3</v>
      </c>
      <c r="H521" s="3">
        <v>0</v>
      </c>
      <c r="I521" s="3">
        <v>349222</v>
      </c>
      <c r="J521" s="13">
        <v>24.15</v>
      </c>
      <c r="K521" s="3" t="s">
        <v>2210</v>
      </c>
      <c r="L521" s="3" t="s">
        <v>905</v>
      </c>
      <c r="M521" t="str" cm="1">
        <f t="array" ref="M521">_xlfn.IFS(INFO_Pasajeros[[#This Row],[Edad]]&lt;=13,"Niños",INFO_Pasajeros[[#This Row],[Edad]]&lt;=18,"Jóvenes",INFO_Pasajeros[[#This Row],[Edad]]&lt;=50,"Adultos",INFO_Pasajeros[[#This Row],[Edad]]&gt;=51,"Adultos Mayores")</f>
        <v>Adultos</v>
      </c>
    </row>
    <row r="522" spans="1:13" x14ac:dyDescent="0.25">
      <c r="A522" s="3" t="s">
        <v>1709</v>
      </c>
      <c r="B522" s="3" t="s">
        <v>907</v>
      </c>
      <c r="C522" s="3">
        <v>519</v>
      </c>
      <c r="D522" s="5">
        <v>10</v>
      </c>
      <c r="E522" s="3">
        <v>0</v>
      </c>
      <c r="F522" s="3">
        <v>1</v>
      </c>
      <c r="G522" s="3">
        <v>2</v>
      </c>
      <c r="H522" s="3">
        <v>1</v>
      </c>
      <c r="I522" s="3">
        <v>349223</v>
      </c>
      <c r="J522" s="13">
        <v>26</v>
      </c>
      <c r="K522" s="3" t="s">
        <v>2210</v>
      </c>
      <c r="L522" s="3" t="s">
        <v>905</v>
      </c>
      <c r="M522" t="str" cm="1">
        <f t="array" ref="M522">_xlfn.IFS(INFO_Pasajeros[[#This Row],[Edad]]&lt;=13,"Niños",INFO_Pasajeros[[#This Row],[Edad]]&lt;=18,"Jóvenes",INFO_Pasajeros[[#This Row],[Edad]]&lt;=50,"Adultos",INFO_Pasajeros[[#This Row],[Edad]]&gt;=51,"Adultos Mayores")</f>
        <v>Niños</v>
      </c>
    </row>
    <row r="523" spans="1:13" x14ac:dyDescent="0.25">
      <c r="A523" s="3" t="s">
        <v>1710</v>
      </c>
      <c r="B523" s="3" t="s">
        <v>902</v>
      </c>
      <c r="C523" s="3">
        <v>520</v>
      </c>
      <c r="D523" s="5">
        <v>26</v>
      </c>
      <c r="E523" s="3">
        <v>0</v>
      </c>
      <c r="F523" s="3">
        <v>0</v>
      </c>
      <c r="G523" s="3">
        <v>3</v>
      </c>
      <c r="H523" s="3">
        <v>0</v>
      </c>
      <c r="I523" s="3">
        <v>349224</v>
      </c>
      <c r="J523" s="13">
        <v>78.957999999999998</v>
      </c>
      <c r="K523" s="3" t="s">
        <v>2210</v>
      </c>
      <c r="L523" s="3" t="s">
        <v>905</v>
      </c>
      <c r="M523" t="str" cm="1">
        <f t="array" ref="M523">_xlfn.IFS(INFO_Pasajeros[[#This Row],[Edad]]&lt;=13,"Niños",INFO_Pasajeros[[#This Row],[Edad]]&lt;=18,"Jóvenes",INFO_Pasajeros[[#This Row],[Edad]]&lt;=50,"Adultos",INFO_Pasajeros[[#This Row],[Edad]]&gt;=51,"Adultos Mayores")</f>
        <v>Adultos</v>
      </c>
    </row>
    <row r="524" spans="1:13" x14ac:dyDescent="0.25">
      <c r="A524" s="3" t="s">
        <v>1711</v>
      </c>
      <c r="B524" s="3" t="s">
        <v>907</v>
      </c>
      <c r="C524" s="3">
        <v>521</v>
      </c>
      <c r="D524" s="5">
        <v>2</v>
      </c>
      <c r="E524" s="3">
        <v>0</v>
      </c>
      <c r="F524" s="3">
        <v>0</v>
      </c>
      <c r="G524" s="3">
        <v>1</v>
      </c>
      <c r="H524" s="3">
        <v>1</v>
      </c>
      <c r="I524" s="3">
        <v>349225</v>
      </c>
      <c r="J524" s="13">
        <v>93.5</v>
      </c>
      <c r="K524" s="3" t="s">
        <v>2210</v>
      </c>
      <c r="L524" s="3" t="s">
        <v>905</v>
      </c>
      <c r="M524" t="str" cm="1">
        <f t="array" ref="M524">_xlfn.IFS(INFO_Pasajeros[[#This Row],[Edad]]&lt;=13,"Niños",INFO_Pasajeros[[#This Row],[Edad]]&lt;=18,"Jóvenes",INFO_Pasajeros[[#This Row],[Edad]]&lt;=50,"Adultos",INFO_Pasajeros[[#This Row],[Edad]]&gt;=51,"Adultos Mayores")</f>
        <v>Niños</v>
      </c>
    </row>
    <row r="525" spans="1:13" x14ac:dyDescent="0.25">
      <c r="A525" s="3" t="s">
        <v>1714</v>
      </c>
      <c r="B525" s="3" t="s">
        <v>902</v>
      </c>
      <c r="C525" s="3">
        <v>522</v>
      </c>
      <c r="D525" s="5">
        <v>69</v>
      </c>
      <c r="E525" s="3">
        <v>0</v>
      </c>
      <c r="F525" s="3">
        <v>0</v>
      </c>
      <c r="G525" s="3">
        <v>3</v>
      </c>
      <c r="H525" s="3">
        <v>0</v>
      </c>
      <c r="I525" s="3">
        <v>349227</v>
      </c>
      <c r="J525" s="13">
        <v>78.957999999999998</v>
      </c>
      <c r="K525" s="3" t="s">
        <v>2210</v>
      </c>
      <c r="L525" s="3" t="s">
        <v>905</v>
      </c>
      <c r="M525" t="str" cm="1">
        <f t="array" ref="M525">_xlfn.IFS(INFO_Pasajeros[[#This Row],[Edad]]&lt;=13,"Niños",INFO_Pasajeros[[#This Row],[Edad]]&lt;=18,"Jóvenes",INFO_Pasajeros[[#This Row],[Edad]]&lt;=50,"Adultos",INFO_Pasajeros[[#This Row],[Edad]]&gt;=51,"Adultos Mayores")</f>
        <v>Adultos Mayores</v>
      </c>
    </row>
    <row r="526" spans="1:13" x14ac:dyDescent="0.25">
      <c r="A526" s="3" t="s">
        <v>1715</v>
      </c>
      <c r="B526" s="3" t="s">
        <v>902</v>
      </c>
      <c r="C526" s="3">
        <v>523</v>
      </c>
      <c r="D526" s="5">
        <v>19</v>
      </c>
      <c r="E526" s="3">
        <v>0</v>
      </c>
      <c r="F526" s="3">
        <v>0</v>
      </c>
      <c r="G526" s="3">
        <v>3</v>
      </c>
      <c r="H526" s="3">
        <v>0</v>
      </c>
      <c r="I526" s="3">
        <v>349228</v>
      </c>
      <c r="J526" s="13">
        <v>7.2249999999999996</v>
      </c>
      <c r="K526" s="3" t="s">
        <v>2210</v>
      </c>
      <c r="L526" s="3" t="s">
        <v>905</v>
      </c>
      <c r="M526" t="str" cm="1">
        <f t="array" ref="M526">_xlfn.IFS(INFO_Pasajeros[[#This Row],[Edad]]&lt;=13,"Niños",INFO_Pasajeros[[#This Row],[Edad]]&lt;=18,"Jóvenes",INFO_Pasajeros[[#This Row],[Edad]]&lt;=50,"Adultos",INFO_Pasajeros[[#This Row],[Edad]]&gt;=51,"Adultos Mayores")</f>
        <v>Adultos</v>
      </c>
    </row>
    <row r="527" spans="1:13" x14ac:dyDescent="0.25">
      <c r="A527" s="3" t="s">
        <v>1716</v>
      </c>
      <c r="B527" s="3" t="s">
        <v>907</v>
      </c>
      <c r="C527" s="3">
        <v>524</v>
      </c>
      <c r="D527" s="5">
        <v>19</v>
      </c>
      <c r="E527" s="3">
        <v>1</v>
      </c>
      <c r="F527" s="3">
        <v>0</v>
      </c>
      <c r="G527" s="3">
        <v>1</v>
      </c>
      <c r="H527" s="3">
        <v>1</v>
      </c>
      <c r="I527" s="3">
        <v>349231</v>
      </c>
      <c r="J527" s="13">
        <v>579.79200000000003</v>
      </c>
      <c r="K527" s="3" t="s">
        <v>2210</v>
      </c>
      <c r="L527" s="3" t="s">
        <v>905</v>
      </c>
      <c r="M527" t="str" cm="1">
        <f t="array" ref="M527">_xlfn.IFS(INFO_Pasajeros[[#This Row],[Edad]]&lt;=13,"Niños",INFO_Pasajeros[[#This Row],[Edad]]&lt;=18,"Jóvenes",INFO_Pasajeros[[#This Row],[Edad]]&lt;=50,"Adultos",INFO_Pasajeros[[#This Row],[Edad]]&gt;=51,"Adultos Mayores")</f>
        <v>Adultos</v>
      </c>
    </row>
    <row r="528" spans="1:13" x14ac:dyDescent="0.25">
      <c r="A528" s="3" t="s">
        <v>1717</v>
      </c>
      <c r="B528" s="3" t="s">
        <v>902</v>
      </c>
      <c r="C528" s="3">
        <v>525</v>
      </c>
      <c r="D528" s="5">
        <v>24</v>
      </c>
      <c r="E528" s="3">
        <v>0</v>
      </c>
      <c r="F528" s="3">
        <v>0</v>
      </c>
      <c r="G528" s="3">
        <v>3</v>
      </c>
      <c r="H528" s="3">
        <v>0</v>
      </c>
      <c r="I528" s="3">
        <v>349233</v>
      </c>
      <c r="J528" s="13">
        <v>72.292000000000002</v>
      </c>
      <c r="K528" s="3" t="s">
        <v>2210</v>
      </c>
      <c r="L528" s="3" t="s">
        <v>905</v>
      </c>
      <c r="M528" t="str" cm="1">
        <f t="array" ref="M528">_xlfn.IFS(INFO_Pasajeros[[#This Row],[Edad]]&lt;=13,"Niños",INFO_Pasajeros[[#This Row],[Edad]]&lt;=18,"Jóvenes",INFO_Pasajeros[[#This Row],[Edad]]&lt;=50,"Adultos",INFO_Pasajeros[[#This Row],[Edad]]&gt;=51,"Adultos Mayores")</f>
        <v>Adultos</v>
      </c>
    </row>
    <row r="529" spans="1:13" x14ac:dyDescent="0.25">
      <c r="A529" s="3" t="s">
        <v>1718</v>
      </c>
      <c r="B529" s="3" t="s">
        <v>902</v>
      </c>
      <c r="C529" s="3">
        <v>526</v>
      </c>
      <c r="D529" s="5">
        <v>19</v>
      </c>
      <c r="E529" s="3">
        <v>0</v>
      </c>
      <c r="F529" s="3">
        <v>0</v>
      </c>
      <c r="G529" s="3">
        <v>3</v>
      </c>
      <c r="H529" s="3">
        <v>0</v>
      </c>
      <c r="I529" s="3">
        <v>349234</v>
      </c>
      <c r="J529" s="13">
        <v>7.75</v>
      </c>
      <c r="K529" s="3" t="s">
        <v>2210</v>
      </c>
      <c r="L529" s="3" t="s">
        <v>905</v>
      </c>
      <c r="M529" t="str" cm="1">
        <f t="array" ref="M529">_xlfn.IFS(INFO_Pasajeros[[#This Row],[Edad]]&lt;=13,"Niños",INFO_Pasajeros[[#This Row],[Edad]]&lt;=18,"Jóvenes",INFO_Pasajeros[[#This Row],[Edad]]&lt;=50,"Adultos",INFO_Pasajeros[[#This Row],[Edad]]&gt;=51,"Adultos Mayores")</f>
        <v>Adultos</v>
      </c>
    </row>
    <row r="530" spans="1:13" x14ac:dyDescent="0.25">
      <c r="A530" s="3" t="s">
        <v>1719</v>
      </c>
      <c r="B530" s="3" t="s">
        <v>907</v>
      </c>
      <c r="C530" s="3">
        <v>527</v>
      </c>
      <c r="D530" s="5">
        <v>24</v>
      </c>
      <c r="E530" s="3">
        <v>0</v>
      </c>
      <c r="F530" s="3">
        <v>0</v>
      </c>
      <c r="G530" s="3">
        <v>2</v>
      </c>
      <c r="H530" s="3">
        <v>1</v>
      </c>
      <c r="I530" s="3">
        <v>349236</v>
      </c>
      <c r="J530" s="13">
        <v>10.5</v>
      </c>
      <c r="K530" s="3" t="s">
        <v>2210</v>
      </c>
      <c r="L530" s="3" t="s">
        <v>905</v>
      </c>
      <c r="M530" t="str" cm="1">
        <f t="array" ref="M530">_xlfn.IFS(INFO_Pasajeros[[#This Row],[Edad]]&lt;=13,"Niños",INFO_Pasajeros[[#This Row],[Edad]]&lt;=18,"Jóvenes",INFO_Pasajeros[[#This Row],[Edad]]&lt;=50,"Adultos",INFO_Pasajeros[[#This Row],[Edad]]&gt;=51,"Adultos Mayores")</f>
        <v>Adultos</v>
      </c>
    </row>
    <row r="531" spans="1:13" x14ac:dyDescent="0.25">
      <c r="A531" s="3" t="s">
        <v>1721</v>
      </c>
      <c r="B531" s="3" t="s">
        <v>902</v>
      </c>
      <c r="C531" s="3">
        <v>528</v>
      </c>
      <c r="D531" s="5">
        <v>18</v>
      </c>
      <c r="E531" s="3">
        <v>0</v>
      </c>
      <c r="F531" s="3">
        <v>0</v>
      </c>
      <c r="G531" s="3">
        <v>1</v>
      </c>
      <c r="H531" s="3">
        <v>0</v>
      </c>
      <c r="I531" s="3">
        <v>349237</v>
      </c>
      <c r="J531" s="13">
        <v>221.7792</v>
      </c>
      <c r="K531" s="3" t="s">
        <v>2210</v>
      </c>
      <c r="L531" s="3" t="s">
        <v>905</v>
      </c>
      <c r="M531" t="str" cm="1">
        <f t="array" ref="M531">_xlfn.IFS(INFO_Pasajeros[[#This Row],[Edad]]&lt;=13,"Niños",INFO_Pasajeros[[#This Row],[Edad]]&lt;=18,"Jóvenes",INFO_Pasajeros[[#This Row],[Edad]]&lt;=50,"Adultos",INFO_Pasajeros[[#This Row],[Edad]]&gt;=51,"Adultos Mayores")</f>
        <v>Jóvenes</v>
      </c>
    </row>
    <row r="532" spans="1:13" x14ac:dyDescent="0.25">
      <c r="A532" s="3" t="s">
        <v>1724</v>
      </c>
      <c r="B532" s="3" t="s">
        <v>902</v>
      </c>
      <c r="C532" s="3">
        <v>529</v>
      </c>
      <c r="D532" s="5">
        <v>25</v>
      </c>
      <c r="E532" s="3">
        <v>0</v>
      </c>
      <c r="F532" s="3">
        <v>0</v>
      </c>
      <c r="G532" s="3">
        <v>3</v>
      </c>
      <c r="H532" s="3">
        <v>0</v>
      </c>
      <c r="I532" s="3">
        <v>349237</v>
      </c>
      <c r="J532" s="13">
        <v>7.9249999999999998</v>
      </c>
      <c r="K532" s="3" t="s">
        <v>2210</v>
      </c>
      <c r="L532" s="3" t="s">
        <v>905</v>
      </c>
      <c r="M532" t="str" cm="1">
        <f t="array" ref="M532">_xlfn.IFS(INFO_Pasajeros[[#This Row],[Edad]]&lt;=13,"Niños",INFO_Pasajeros[[#This Row],[Edad]]&lt;=18,"Jóvenes",INFO_Pasajeros[[#This Row],[Edad]]&lt;=50,"Adultos",INFO_Pasajeros[[#This Row],[Edad]]&gt;=51,"Adultos Mayores")</f>
        <v>Adultos</v>
      </c>
    </row>
    <row r="533" spans="1:13" x14ac:dyDescent="0.25">
      <c r="A533" s="3" t="s">
        <v>1725</v>
      </c>
      <c r="B533" s="3" t="s">
        <v>902</v>
      </c>
      <c r="C533" s="3">
        <v>530</v>
      </c>
      <c r="D533" s="5">
        <v>33</v>
      </c>
      <c r="E533" s="3">
        <v>1</v>
      </c>
      <c r="F533" s="3">
        <v>2</v>
      </c>
      <c r="G533" s="3">
        <v>2</v>
      </c>
      <c r="H533" s="3">
        <v>0</v>
      </c>
      <c r="I533" s="3">
        <v>349239</v>
      </c>
      <c r="J533" s="13">
        <v>11.5</v>
      </c>
      <c r="K533" s="3" t="s">
        <v>2210</v>
      </c>
      <c r="L533" s="3" t="s">
        <v>910</v>
      </c>
      <c r="M533" t="str" cm="1">
        <f t="array" ref="M533">_xlfn.IFS(INFO_Pasajeros[[#This Row],[Edad]]&lt;=13,"Niños",INFO_Pasajeros[[#This Row],[Edad]]&lt;=18,"Jóvenes",INFO_Pasajeros[[#This Row],[Edad]]&lt;=50,"Adultos",INFO_Pasajeros[[#This Row],[Edad]]&gt;=51,"Adultos Mayores")</f>
        <v>Adultos</v>
      </c>
    </row>
    <row r="534" spans="1:13" x14ac:dyDescent="0.25">
      <c r="A534" s="3" t="s">
        <v>1726</v>
      </c>
      <c r="B534" s="3" t="s">
        <v>907</v>
      </c>
      <c r="C534" s="3">
        <v>531</v>
      </c>
      <c r="D534" s="5">
        <v>29</v>
      </c>
      <c r="E534" s="3">
        <v>1</v>
      </c>
      <c r="F534" s="3">
        <v>1</v>
      </c>
      <c r="G534" s="3">
        <v>2</v>
      </c>
      <c r="H534" s="3">
        <v>1</v>
      </c>
      <c r="I534" s="3">
        <v>349240</v>
      </c>
      <c r="J534" s="13">
        <v>26</v>
      </c>
      <c r="K534" s="3" t="s">
        <v>2210</v>
      </c>
      <c r="L534" s="3" t="s">
        <v>910</v>
      </c>
      <c r="M534" t="str" cm="1">
        <f t="array" ref="M534">_xlfn.IFS(INFO_Pasajeros[[#This Row],[Edad]]&lt;=13,"Niños",INFO_Pasajeros[[#This Row],[Edad]]&lt;=18,"Jóvenes",INFO_Pasajeros[[#This Row],[Edad]]&lt;=50,"Adultos",INFO_Pasajeros[[#This Row],[Edad]]&gt;=51,"Adultos Mayores")</f>
        <v>Adultos</v>
      </c>
    </row>
    <row r="535" spans="1:13" x14ac:dyDescent="0.25">
      <c r="A535" s="3" t="s">
        <v>1727</v>
      </c>
      <c r="B535" s="3" t="s">
        <v>902</v>
      </c>
      <c r="C535" s="3">
        <v>532</v>
      </c>
      <c r="D535" s="5">
        <v>33</v>
      </c>
      <c r="E535" s="3">
        <v>0</v>
      </c>
      <c r="F535" s="3">
        <v>0</v>
      </c>
      <c r="G535" s="3">
        <v>3</v>
      </c>
      <c r="H535" s="3">
        <v>0</v>
      </c>
      <c r="I535" s="3">
        <v>349241</v>
      </c>
      <c r="J535" s="13">
        <v>72.292000000000002</v>
      </c>
      <c r="K535" s="3" t="s">
        <v>2210</v>
      </c>
      <c r="L535" s="3" t="s">
        <v>910</v>
      </c>
      <c r="M535" t="str" cm="1">
        <f t="array" ref="M535">_xlfn.IFS(INFO_Pasajeros[[#This Row],[Edad]]&lt;=13,"Niños",INFO_Pasajeros[[#This Row],[Edad]]&lt;=18,"Jóvenes",INFO_Pasajeros[[#This Row],[Edad]]&lt;=50,"Adultos",INFO_Pasajeros[[#This Row],[Edad]]&gt;=51,"Adultos Mayores")</f>
        <v>Adultos</v>
      </c>
    </row>
    <row r="536" spans="1:13" x14ac:dyDescent="0.25">
      <c r="A536" s="3" t="s">
        <v>1728</v>
      </c>
      <c r="B536" s="3" t="s">
        <v>902</v>
      </c>
      <c r="C536" s="3">
        <v>533</v>
      </c>
      <c r="D536" s="5">
        <v>32</v>
      </c>
      <c r="E536" s="3">
        <v>1</v>
      </c>
      <c r="F536" s="3">
        <v>1</v>
      </c>
      <c r="G536" s="3">
        <v>3</v>
      </c>
      <c r="H536" s="3">
        <v>0</v>
      </c>
      <c r="I536" s="3">
        <v>349242</v>
      </c>
      <c r="J536" s="13">
        <v>72.292000000000002</v>
      </c>
      <c r="K536" s="3" t="s">
        <v>2210</v>
      </c>
      <c r="L536" s="3" t="s">
        <v>905</v>
      </c>
      <c r="M536" t="str" cm="1">
        <f t="array" ref="M536">_xlfn.IFS(INFO_Pasajeros[[#This Row],[Edad]]&lt;=13,"Niños",INFO_Pasajeros[[#This Row],[Edad]]&lt;=18,"Jóvenes",INFO_Pasajeros[[#This Row],[Edad]]&lt;=50,"Adultos",INFO_Pasajeros[[#This Row],[Edad]]&gt;=51,"Adultos Mayores")</f>
        <v>Adultos</v>
      </c>
    </row>
    <row r="537" spans="1:13" x14ac:dyDescent="0.25">
      <c r="A537" s="3" t="s">
        <v>1729</v>
      </c>
      <c r="B537" s="3" t="s">
        <v>907</v>
      </c>
      <c r="C537" s="3">
        <v>534</v>
      </c>
      <c r="D537" s="5">
        <v>28</v>
      </c>
      <c r="E537" s="3">
        <v>2</v>
      </c>
      <c r="F537" s="3">
        <v>0</v>
      </c>
      <c r="G537" s="3">
        <v>3</v>
      </c>
      <c r="H537" s="3">
        <v>1</v>
      </c>
      <c r="I537" s="3">
        <v>349243</v>
      </c>
      <c r="J537" s="13">
        <v>223.583</v>
      </c>
      <c r="K537" s="3" t="s">
        <v>2210</v>
      </c>
      <c r="L537" s="3" t="s">
        <v>905</v>
      </c>
      <c r="M537" t="str" cm="1">
        <f t="array" ref="M537">_xlfn.IFS(INFO_Pasajeros[[#This Row],[Edad]]&lt;=13,"Niños",INFO_Pasajeros[[#This Row],[Edad]]&lt;=18,"Jóvenes",INFO_Pasajeros[[#This Row],[Edad]]&lt;=50,"Adultos",INFO_Pasajeros[[#This Row],[Edad]]&gt;=51,"Adultos Mayores")</f>
        <v>Adultos</v>
      </c>
    </row>
    <row r="538" spans="1:13" x14ac:dyDescent="0.25">
      <c r="A538" s="3" t="s">
        <v>1730</v>
      </c>
      <c r="B538" s="3" t="s">
        <v>907</v>
      </c>
      <c r="C538" s="3">
        <v>535</v>
      </c>
      <c r="D538" s="5">
        <v>31</v>
      </c>
      <c r="E538" s="3">
        <v>0</v>
      </c>
      <c r="F538" s="3">
        <v>0</v>
      </c>
      <c r="G538" s="3">
        <v>3</v>
      </c>
      <c r="H538" s="3">
        <v>0</v>
      </c>
      <c r="I538" s="3">
        <v>349244</v>
      </c>
      <c r="J538" s="13">
        <v>86.625</v>
      </c>
      <c r="K538" s="3" t="s">
        <v>2210</v>
      </c>
      <c r="L538" s="3" t="s">
        <v>905</v>
      </c>
      <c r="M538" t="str" cm="1">
        <f t="array" ref="M538">_xlfn.IFS(INFO_Pasajeros[[#This Row],[Edad]]&lt;=13,"Niños",INFO_Pasajeros[[#This Row],[Edad]]&lt;=18,"Jóvenes",INFO_Pasajeros[[#This Row],[Edad]]&lt;=50,"Adultos",INFO_Pasajeros[[#This Row],[Edad]]&gt;=51,"Adultos Mayores")</f>
        <v>Adultos</v>
      </c>
    </row>
    <row r="539" spans="1:13" x14ac:dyDescent="0.25">
      <c r="A539" s="3" t="s">
        <v>1731</v>
      </c>
      <c r="B539" s="3" t="s">
        <v>907</v>
      </c>
      <c r="C539" s="3">
        <v>536</v>
      </c>
      <c r="D539" s="5">
        <v>28</v>
      </c>
      <c r="E539" s="3">
        <v>2</v>
      </c>
      <c r="F539" s="3">
        <v>0</v>
      </c>
      <c r="G539" s="3">
        <v>2</v>
      </c>
      <c r="H539" s="3">
        <v>1</v>
      </c>
      <c r="I539" s="3">
        <v>349245</v>
      </c>
      <c r="J539" s="13">
        <v>26.25</v>
      </c>
      <c r="K539" s="3" t="s">
        <v>2210</v>
      </c>
      <c r="L539" s="3" t="s">
        <v>905</v>
      </c>
      <c r="M539" t="str" cm="1">
        <f t="array" ref="M539">_xlfn.IFS(INFO_Pasajeros[[#This Row],[Edad]]&lt;=13,"Niños",INFO_Pasajeros[[#This Row],[Edad]]&lt;=18,"Jóvenes",INFO_Pasajeros[[#This Row],[Edad]]&lt;=50,"Adultos",INFO_Pasajeros[[#This Row],[Edad]]&gt;=51,"Adultos Mayores")</f>
        <v>Adultos</v>
      </c>
    </row>
    <row r="540" spans="1:13" x14ac:dyDescent="0.25">
      <c r="A540" s="3" t="s">
        <v>1732</v>
      </c>
      <c r="B540" s="3" t="s">
        <v>902</v>
      </c>
      <c r="C540" s="3">
        <v>537</v>
      </c>
      <c r="D540" s="5">
        <v>30</v>
      </c>
      <c r="E540" s="3">
        <v>0</v>
      </c>
      <c r="F540" s="3">
        <v>0</v>
      </c>
      <c r="G540" s="3">
        <v>1</v>
      </c>
      <c r="H540" s="3">
        <v>0</v>
      </c>
      <c r="I540" s="3">
        <v>349246</v>
      </c>
      <c r="J540" s="13">
        <v>26.55</v>
      </c>
      <c r="K540" s="3" t="s">
        <v>2210</v>
      </c>
      <c r="L540" s="3" t="s">
        <v>905</v>
      </c>
      <c r="M540" t="str" cm="1">
        <f t="array" ref="M540">_xlfn.IFS(INFO_Pasajeros[[#This Row],[Edad]]&lt;=13,"Niños",INFO_Pasajeros[[#This Row],[Edad]]&lt;=18,"Jóvenes",INFO_Pasajeros[[#This Row],[Edad]]&lt;=50,"Adultos",INFO_Pasajeros[[#This Row],[Edad]]&gt;=51,"Adultos Mayores")</f>
        <v>Adultos</v>
      </c>
    </row>
    <row r="541" spans="1:13" x14ac:dyDescent="0.25">
      <c r="A541" s="3" t="s">
        <v>1734</v>
      </c>
      <c r="B541" s="3" t="s">
        <v>907</v>
      </c>
      <c r="C541" s="3">
        <v>538</v>
      </c>
      <c r="D541" s="5">
        <v>36</v>
      </c>
      <c r="E541" s="3">
        <v>0</v>
      </c>
      <c r="F541" s="3">
        <v>0</v>
      </c>
      <c r="G541" s="3">
        <v>1</v>
      </c>
      <c r="H541" s="3">
        <v>1</v>
      </c>
      <c r="I541" s="3">
        <v>349247</v>
      </c>
      <c r="J541" s="13">
        <v>106.425</v>
      </c>
      <c r="K541" s="3" t="s">
        <v>2210</v>
      </c>
      <c r="L541" s="3" t="s">
        <v>905</v>
      </c>
      <c r="M541" t="str" cm="1">
        <f t="array" ref="M541">_xlfn.IFS(INFO_Pasajeros[[#This Row],[Edad]]&lt;=13,"Niños",INFO_Pasajeros[[#This Row],[Edad]]&lt;=18,"Jóvenes",INFO_Pasajeros[[#This Row],[Edad]]&lt;=50,"Adultos",INFO_Pasajeros[[#This Row],[Edad]]&gt;=51,"Adultos Mayores")</f>
        <v>Adultos</v>
      </c>
    </row>
    <row r="542" spans="1:13" x14ac:dyDescent="0.25">
      <c r="A542" s="3" t="s">
        <v>1736</v>
      </c>
      <c r="B542" s="3" t="s">
        <v>902</v>
      </c>
      <c r="C542" s="3">
        <v>539</v>
      </c>
      <c r="D542" s="5">
        <v>26</v>
      </c>
      <c r="E542" s="3">
        <v>0</v>
      </c>
      <c r="F542" s="3">
        <v>0</v>
      </c>
      <c r="G542" s="3">
        <v>3</v>
      </c>
      <c r="H542" s="3">
        <v>0</v>
      </c>
      <c r="I542" s="3">
        <v>349248</v>
      </c>
      <c r="J542" s="13">
        <v>14.5</v>
      </c>
      <c r="K542" s="3" t="s">
        <v>2210</v>
      </c>
      <c r="L542" s="3" t="s">
        <v>905</v>
      </c>
      <c r="M542" t="str" cm="1">
        <f t="array" ref="M542">_xlfn.IFS(INFO_Pasajeros[[#This Row],[Edad]]&lt;=13,"Niños",INFO_Pasajeros[[#This Row],[Edad]]&lt;=18,"Jóvenes",INFO_Pasajeros[[#This Row],[Edad]]&lt;=50,"Adultos",INFO_Pasajeros[[#This Row],[Edad]]&gt;=51,"Adultos Mayores")</f>
        <v>Adultos</v>
      </c>
    </row>
    <row r="543" spans="1:13" x14ac:dyDescent="0.25">
      <c r="A543" s="3" t="s">
        <v>1737</v>
      </c>
      <c r="B543" s="3" t="s">
        <v>907</v>
      </c>
      <c r="C543" s="3">
        <v>540</v>
      </c>
      <c r="D543" s="5">
        <v>38</v>
      </c>
      <c r="E543" s="3">
        <v>2</v>
      </c>
      <c r="F543" s="3">
        <v>0</v>
      </c>
      <c r="G543" s="3">
        <v>1</v>
      </c>
      <c r="H543" s="3">
        <v>1</v>
      </c>
      <c r="I543" s="3">
        <v>349249</v>
      </c>
      <c r="J543" s="13">
        <v>49.5</v>
      </c>
      <c r="K543" s="3" t="s">
        <v>2210</v>
      </c>
      <c r="L543" s="3" t="s">
        <v>905</v>
      </c>
      <c r="M543" t="str" cm="1">
        <f t="array" ref="M543">_xlfn.IFS(INFO_Pasajeros[[#This Row],[Edad]]&lt;=13,"Niños",INFO_Pasajeros[[#This Row],[Edad]]&lt;=18,"Jóvenes",INFO_Pasajeros[[#This Row],[Edad]]&lt;=50,"Adultos",INFO_Pasajeros[[#This Row],[Edad]]&gt;=51,"Adultos Mayores")</f>
        <v>Adultos</v>
      </c>
    </row>
    <row r="544" spans="1:13" x14ac:dyDescent="0.25">
      <c r="A544" s="3" t="s">
        <v>1740</v>
      </c>
      <c r="B544" s="3" t="s">
        <v>907</v>
      </c>
      <c r="C544" s="3">
        <v>541</v>
      </c>
      <c r="D544" s="5">
        <v>40</v>
      </c>
      <c r="E544" s="3">
        <v>2</v>
      </c>
      <c r="F544" s="3">
        <v>0</v>
      </c>
      <c r="G544" s="3">
        <v>1</v>
      </c>
      <c r="H544" s="3">
        <v>1</v>
      </c>
      <c r="I544" s="3">
        <v>349251</v>
      </c>
      <c r="J544" s="13">
        <v>71</v>
      </c>
      <c r="K544" s="3" t="s">
        <v>2210</v>
      </c>
      <c r="L544" s="3" t="s">
        <v>905</v>
      </c>
      <c r="M544" t="str" cm="1">
        <f t="array" ref="M544">_xlfn.IFS(INFO_Pasajeros[[#This Row],[Edad]]&lt;=13,"Niños",INFO_Pasajeros[[#This Row],[Edad]]&lt;=18,"Jóvenes",INFO_Pasajeros[[#This Row],[Edad]]&lt;=50,"Adultos",INFO_Pasajeros[[#This Row],[Edad]]&gt;=51,"Adultos Mayores")</f>
        <v>Adultos</v>
      </c>
    </row>
    <row r="545" spans="1:13" x14ac:dyDescent="0.25">
      <c r="A545" s="3" t="s">
        <v>1743</v>
      </c>
      <c r="B545" s="3" t="s">
        <v>907</v>
      </c>
      <c r="C545" s="3">
        <v>542</v>
      </c>
      <c r="D545" s="5">
        <v>22</v>
      </c>
      <c r="E545" s="3">
        <v>2</v>
      </c>
      <c r="F545" s="3">
        <v>4</v>
      </c>
      <c r="G545" s="3">
        <v>3</v>
      </c>
      <c r="H545" s="3">
        <v>0</v>
      </c>
      <c r="I545" s="3">
        <v>349252</v>
      </c>
      <c r="J545" s="13">
        <v>31.274999999999999</v>
      </c>
      <c r="K545" s="3" t="s">
        <v>2210</v>
      </c>
      <c r="L545" s="3" t="s">
        <v>905</v>
      </c>
      <c r="M545" t="str" cm="1">
        <f t="array" ref="M545">_xlfn.IFS(INFO_Pasajeros[[#This Row],[Edad]]&lt;=13,"Niños",INFO_Pasajeros[[#This Row],[Edad]]&lt;=18,"Jóvenes",INFO_Pasajeros[[#This Row],[Edad]]&lt;=50,"Adultos",INFO_Pasajeros[[#This Row],[Edad]]&gt;=51,"Adultos Mayores")</f>
        <v>Adultos</v>
      </c>
    </row>
    <row r="546" spans="1:13" x14ac:dyDescent="0.25">
      <c r="A546" s="3" t="s">
        <v>1744</v>
      </c>
      <c r="B546" s="3" t="s">
        <v>907</v>
      </c>
      <c r="C546" s="3">
        <v>543</v>
      </c>
      <c r="D546" s="5">
        <v>8</v>
      </c>
      <c r="E546" s="3">
        <v>2</v>
      </c>
      <c r="F546" s="3">
        <v>4</v>
      </c>
      <c r="G546" s="3">
        <v>3</v>
      </c>
      <c r="H546" s="3">
        <v>0</v>
      </c>
      <c r="I546" s="3">
        <v>349253</v>
      </c>
      <c r="J546" s="13">
        <v>31.274999999999999</v>
      </c>
      <c r="K546" s="3" t="s">
        <v>2210</v>
      </c>
      <c r="L546" s="3" t="s">
        <v>910</v>
      </c>
      <c r="M546" t="str" cm="1">
        <f t="array" ref="M546">_xlfn.IFS(INFO_Pasajeros[[#This Row],[Edad]]&lt;=13,"Niños",INFO_Pasajeros[[#This Row],[Edad]]&lt;=18,"Jóvenes",INFO_Pasajeros[[#This Row],[Edad]]&lt;=50,"Adultos",INFO_Pasajeros[[#This Row],[Edad]]&gt;=51,"Adultos Mayores")</f>
        <v>Niños</v>
      </c>
    </row>
    <row r="547" spans="1:13" x14ac:dyDescent="0.25">
      <c r="A547" s="3" t="s">
        <v>1745</v>
      </c>
      <c r="B547" s="3" t="s">
        <v>902</v>
      </c>
      <c r="C547" s="3">
        <v>544</v>
      </c>
      <c r="D547" s="5">
        <v>28</v>
      </c>
      <c r="E547" s="3">
        <v>0</v>
      </c>
      <c r="F547" s="3">
        <v>1</v>
      </c>
      <c r="G547" s="3">
        <v>2</v>
      </c>
      <c r="H547" s="3">
        <v>1</v>
      </c>
      <c r="I547" s="3">
        <v>349254</v>
      </c>
      <c r="J547" s="13">
        <v>26</v>
      </c>
      <c r="K547" s="3" t="s">
        <v>2210</v>
      </c>
      <c r="L547" s="3" t="s">
        <v>910</v>
      </c>
      <c r="M547" t="str" cm="1">
        <f t="array" ref="M547">_xlfn.IFS(INFO_Pasajeros[[#This Row],[Edad]]&lt;=13,"Niños",INFO_Pasajeros[[#This Row],[Edad]]&lt;=18,"Jóvenes",INFO_Pasajeros[[#This Row],[Edad]]&lt;=50,"Adultos",INFO_Pasajeros[[#This Row],[Edad]]&gt;=51,"Adultos Mayores")</f>
        <v>Adultos</v>
      </c>
    </row>
    <row r="548" spans="1:13" x14ac:dyDescent="0.25">
      <c r="A548" s="3" t="s">
        <v>1746</v>
      </c>
      <c r="B548" s="3" t="s">
        <v>902</v>
      </c>
      <c r="C548" s="3">
        <v>545</v>
      </c>
      <c r="D548" s="5">
        <v>4</v>
      </c>
      <c r="E548" s="3">
        <v>0</v>
      </c>
      <c r="F548" s="3">
        <v>1</v>
      </c>
      <c r="G548" s="3">
        <v>1</v>
      </c>
      <c r="H548" s="3">
        <v>0</v>
      </c>
      <c r="I548" s="3">
        <v>349256</v>
      </c>
      <c r="J548" s="13">
        <v>106.425</v>
      </c>
      <c r="K548" s="3" t="s">
        <v>2210</v>
      </c>
      <c r="L548" s="3" t="s">
        <v>910</v>
      </c>
      <c r="M548" t="str" cm="1">
        <f t="array" ref="M548">_xlfn.IFS(INFO_Pasajeros[[#This Row],[Edad]]&lt;=13,"Niños",INFO_Pasajeros[[#This Row],[Edad]]&lt;=18,"Jóvenes",INFO_Pasajeros[[#This Row],[Edad]]&lt;=50,"Adultos",INFO_Pasajeros[[#This Row],[Edad]]&gt;=51,"Adultos Mayores")</f>
        <v>Niños</v>
      </c>
    </row>
    <row r="549" spans="1:13" x14ac:dyDescent="0.25">
      <c r="A549" s="3" t="s">
        <v>1748</v>
      </c>
      <c r="B549" s="3" t="s">
        <v>902</v>
      </c>
      <c r="C549" s="3">
        <v>546</v>
      </c>
      <c r="D549" s="5">
        <v>33</v>
      </c>
      <c r="E549" s="3">
        <v>0</v>
      </c>
      <c r="F549" s="3">
        <v>0</v>
      </c>
      <c r="G549" s="3">
        <v>1</v>
      </c>
      <c r="H549" s="3">
        <v>0</v>
      </c>
      <c r="I549" s="3">
        <v>349257</v>
      </c>
      <c r="J549" s="13">
        <v>26</v>
      </c>
      <c r="K549" s="3" t="s">
        <v>2210</v>
      </c>
      <c r="L549" s="3" t="s">
        <v>905</v>
      </c>
      <c r="M549" t="str" cm="1">
        <f t="array" ref="M549">_xlfn.IFS(INFO_Pasajeros[[#This Row],[Edad]]&lt;=13,"Niños",INFO_Pasajeros[[#This Row],[Edad]]&lt;=18,"Jóvenes",INFO_Pasajeros[[#This Row],[Edad]]&lt;=50,"Adultos",INFO_Pasajeros[[#This Row],[Edad]]&gt;=51,"Adultos Mayores")</f>
        <v>Adultos</v>
      </c>
    </row>
    <row r="550" spans="1:13" x14ac:dyDescent="0.25">
      <c r="A550" s="3" t="s">
        <v>1749</v>
      </c>
      <c r="B550" s="3" t="s">
        <v>907</v>
      </c>
      <c r="C550" s="3">
        <v>547</v>
      </c>
      <c r="D550" s="5">
        <v>2</v>
      </c>
      <c r="E550" s="3">
        <v>0</v>
      </c>
      <c r="F550" s="3">
        <v>1</v>
      </c>
      <c r="G550" s="3">
        <v>2</v>
      </c>
      <c r="H550" s="3">
        <v>1</v>
      </c>
      <c r="I550" s="3">
        <v>349909</v>
      </c>
      <c r="J550" s="13">
        <v>26</v>
      </c>
      <c r="K550" s="3" t="s">
        <v>2210</v>
      </c>
      <c r="L550" s="3" t="s">
        <v>905</v>
      </c>
      <c r="M550" t="str" cm="1">
        <f t="array" ref="M550">_xlfn.IFS(INFO_Pasajeros[[#This Row],[Edad]]&lt;=13,"Niños",INFO_Pasajeros[[#This Row],[Edad]]&lt;=18,"Jóvenes",INFO_Pasajeros[[#This Row],[Edad]]&lt;=50,"Adultos",INFO_Pasajeros[[#This Row],[Edad]]&gt;=51,"Adultos Mayores")</f>
        <v>Niños</v>
      </c>
    </row>
    <row r="551" spans="1:13" x14ac:dyDescent="0.25">
      <c r="A551" s="3" t="s">
        <v>1750</v>
      </c>
      <c r="B551" s="3" t="s">
        <v>902</v>
      </c>
      <c r="C551" s="3">
        <v>548</v>
      </c>
      <c r="D551" s="5">
        <v>8</v>
      </c>
      <c r="E551" s="3">
        <v>0</v>
      </c>
      <c r="F551" s="3">
        <v>0</v>
      </c>
      <c r="G551" s="3">
        <v>2</v>
      </c>
      <c r="H551" s="3">
        <v>1</v>
      </c>
      <c r="I551" s="3">
        <v>349909</v>
      </c>
      <c r="J551" s="13">
        <v>138.625</v>
      </c>
      <c r="K551" s="3" t="s">
        <v>2210</v>
      </c>
      <c r="L551" s="3" t="s">
        <v>905</v>
      </c>
      <c r="M551" t="str" cm="1">
        <f t="array" ref="M551">_xlfn.IFS(INFO_Pasajeros[[#This Row],[Edad]]&lt;=13,"Niños",INFO_Pasajeros[[#This Row],[Edad]]&lt;=18,"Jóvenes",INFO_Pasajeros[[#This Row],[Edad]]&lt;=50,"Adultos",INFO_Pasajeros[[#This Row],[Edad]]&gt;=51,"Adultos Mayores")</f>
        <v>Niños</v>
      </c>
    </row>
    <row r="552" spans="1:13" x14ac:dyDescent="0.25">
      <c r="A552" s="3" t="s">
        <v>1752</v>
      </c>
      <c r="B552" s="3" t="s">
        <v>902</v>
      </c>
      <c r="C552" s="3">
        <v>549</v>
      </c>
      <c r="D552" s="5">
        <v>3</v>
      </c>
      <c r="E552" s="3">
        <v>1</v>
      </c>
      <c r="F552" s="3">
        <v>1</v>
      </c>
      <c r="G552" s="3">
        <v>3</v>
      </c>
      <c r="H552" s="3">
        <v>0</v>
      </c>
      <c r="I552" s="3">
        <v>349909</v>
      </c>
      <c r="J552" s="13">
        <v>20.524999999999999</v>
      </c>
      <c r="K552" s="3" t="s">
        <v>2210</v>
      </c>
      <c r="L552" s="3" t="s">
        <v>905</v>
      </c>
      <c r="M552" t="str" cm="1">
        <f t="array" ref="M552">_xlfn.IFS(INFO_Pasajeros[[#This Row],[Edad]]&lt;=13,"Niños",INFO_Pasajeros[[#This Row],[Edad]]&lt;=18,"Jóvenes",INFO_Pasajeros[[#This Row],[Edad]]&lt;=50,"Adultos",INFO_Pasajeros[[#This Row],[Edad]]&gt;=51,"Adultos Mayores")</f>
        <v>Niños</v>
      </c>
    </row>
    <row r="553" spans="1:13" x14ac:dyDescent="0.25">
      <c r="A553" s="3" t="s">
        <v>1753</v>
      </c>
      <c r="B553" s="3" t="s">
        <v>902</v>
      </c>
      <c r="C553" s="3">
        <v>550</v>
      </c>
      <c r="D553" s="5">
        <v>29</v>
      </c>
      <c r="E553" s="3">
        <v>1</v>
      </c>
      <c r="F553" s="3">
        <v>1</v>
      </c>
      <c r="G553" s="3">
        <v>2</v>
      </c>
      <c r="H553" s="3">
        <v>1</v>
      </c>
      <c r="I553" s="3">
        <v>349909</v>
      </c>
      <c r="J553" s="13">
        <v>36.75</v>
      </c>
      <c r="K553" s="3" t="s">
        <v>2210</v>
      </c>
      <c r="L553" s="3" t="s">
        <v>905</v>
      </c>
      <c r="M553" t="str" cm="1">
        <f t="array" ref="M553">_xlfn.IFS(INFO_Pasajeros[[#This Row],[Edad]]&lt;=13,"Niños",INFO_Pasajeros[[#This Row],[Edad]]&lt;=18,"Jóvenes",INFO_Pasajeros[[#This Row],[Edad]]&lt;=50,"Adultos",INFO_Pasajeros[[#This Row],[Edad]]&gt;=51,"Adultos Mayores")</f>
        <v>Adultos</v>
      </c>
    </row>
    <row r="554" spans="1:13" x14ac:dyDescent="0.25">
      <c r="A554" s="3" t="s">
        <v>1754</v>
      </c>
      <c r="B554" s="3" t="s">
        <v>902</v>
      </c>
      <c r="C554" s="3">
        <v>551</v>
      </c>
      <c r="D554" s="5">
        <v>36</v>
      </c>
      <c r="E554" s="3">
        <v>2</v>
      </c>
      <c r="F554" s="3">
        <v>0</v>
      </c>
      <c r="G554" s="3">
        <v>1</v>
      </c>
      <c r="H554" s="3">
        <v>1</v>
      </c>
      <c r="I554" s="3">
        <v>349910</v>
      </c>
      <c r="J554" s="13">
        <v>110.88330000000001</v>
      </c>
      <c r="K554" s="3" t="s">
        <v>2210</v>
      </c>
      <c r="L554" s="3" t="s">
        <v>905</v>
      </c>
      <c r="M554" t="str" cm="1">
        <f t="array" ref="M554">_xlfn.IFS(INFO_Pasajeros[[#This Row],[Edad]]&lt;=13,"Niños",INFO_Pasajeros[[#This Row],[Edad]]&lt;=18,"Jóvenes",INFO_Pasajeros[[#This Row],[Edad]]&lt;=50,"Adultos",INFO_Pasajeros[[#This Row],[Edad]]&gt;=51,"Adultos Mayores")</f>
        <v>Adultos</v>
      </c>
    </row>
    <row r="555" spans="1:13" x14ac:dyDescent="0.25">
      <c r="A555" s="3" t="s">
        <v>1756</v>
      </c>
      <c r="B555" s="3" t="s">
        <v>902</v>
      </c>
      <c r="C555" s="3">
        <v>552</v>
      </c>
      <c r="D555" s="5">
        <v>18</v>
      </c>
      <c r="E555" s="3">
        <v>0</v>
      </c>
      <c r="F555" s="3">
        <v>0</v>
      </c>
      <c r="G555" s="3">
        <v>2</v>
      </c>
      <c r="H555" s="3">
        <v>0</v>
      </c>
      <c r="I555" s="3">
        <v>349912</v>
      </c>
      <c r="J555" s="13">
        <v>26</v>
      </c>
      <c r="K555" s="3" t="s">
        <v>2210</v>
      </c>
      <c r="L555" s="3" t="s">
        <v>905</v>
      </c>
      <c r="M555" t="str" cm="1">
        <f t="array" ref="M555">_xlfn.IFS(INFO_Pasajeros[[#This Row],[Edad]]&lt;=13,"Niños",INFO_Pasajeros[[#This Row],[Edad]]&lt;=18,"Jóvenes",INFO_Pasajeros[[#This Row],[Edad]]&lt;=50,"Adultos",INFO_Pasajeros[[#This Row],[Edad]]&gt;=51,"Adultos Mayores")</f>
        <v>Jóvenes</v>
      </c>
    </row>
    <row r="556" spans="1:13" x14ac:dyDescent="0.25">
      <c r="A556" s="3" t="s">
        <v>1757</v>
      </c>
      <c r="B556" s="3" t="s">
        <v>902</v>
      </c>
      <c r="C556" s="3">
        <v>553</v>
      </c>
      <c r="D556" s="5">
        <v>26</v>
      </c>
      <c r="E556" s="3">
        <v>0</v>
      </c>
      <c r="F556" s="3">
        <v>0</v>
      </c>
      <c r="G556" s="3">
        <v>3</v>
      </c>
      <c r="H556" s="3">
        <v>0</v>
      </c>
      <c r="I556" s="3">
        <v>350025</v>
      </c>
      <c r="J556" s="13">
        <v>78.292000000000002</v>
      </c>
      <c r="K556" s="3" t="s">
        <v>2210</v>
      </c>
      <c r="L556" s="3" t="s">
        <v>905</v>
      </c>
      <c r="M556" t="str" cm="1">
        <f t="array" ref="M556">_xlfn.IFS(INFO_Pasajeros[[#This Row],[Edad]]&lt;=13,"Niños",INFO_Pasajeros[[#This Row],[Edad]]&lt;=18,"Jóvenes",INFO_Pasajeros[[#This Row],[Edad]]&lt;=50,"Adultos",INFO_Pasajeros[[#This Row],[Edad]]&gt;=51,"Adultos Mayores")</f>
        <v>Adultos</v>
      </c>
    </row>
    <row r="557" spans="1:13" x14ac:dyDescent="0.25">
      <c r="A557" s="3" t="s">
        <v>1758</v>
      </c>
      <c r="B557" s="3" t="s">
        <v>902</v>
      </c>
      <c r="C557" s="3">
        <v>554</v>
      </c>
      <c r="D557" s="5">
        <v>41</v>
      </c>
      <c r="E557" s="3">
        <v>0</v>
      </c>
      <c r="F557" s="3">
        <v>0</v>
      </c>
      <c r="G557" s="3">
        <v>3</v>
      </c>
      <c r="H557" s="3">
        <v>1</v>
      </c>
      <c r="I557" s="3">
        <v>350026</v>
      </c>
      <c r="J557" s="13">
        <v>7.2249999999999996</v>
      </c>
      <c r="K557" s="3" t="s">
        <v>2210</v>
      </c>
      <c r="L557" s="3" t="s">
        <v>905</v>
      </c>
      <c r="M557" t="str" cm="1">
        <f t="array" ref="M557">_xlfn.IFS(INFO_Pasajeros[[#This Row],[Edad]]&lt;=13,"Niños",INFO_Pasajeros[[#This Row],[Edad]]&lt;=18,"Jóvenes",INFO_Pasajeros[[#This Row],[Edad]]&lt;=50,"Adultos",INFO_Pasajeros[[#This Row],[Edad]]&gt;=51,"Adultos Mayores")</f>
        <v>Adultos</v>
      </c>
    </row>
    <row r="558" spans="1:13" x14ac:dyDescent="0.25">
      <c r="A558" s="3" t="s">
        <v>1759</v>
      </c>
      <c r="B558" s="3" t="s">
        <v>907</v>
      </c>
      <c r="C558" s="3">
        <v>555</v>
      </c>
      <c r="D558" s="5">
        <v>21</v>
      </c>
      <c r="E558" s="3">
        <v>0</v>
      </c>
      <c r="F558" s="3">
        <v>0</v>
      </c>
      <c r="G558" s="3">
        <v>3</v>
      </c>
      <c r="H558" s="3">
        <v>1</v>
      </c>
      <c r="I558" s="3">
        <v>350029</v>
      </c>
      <c r="J558" s="13">
        <v>7.7750000000000004</v>
      </c>
      <c r="K558" s="3" t="s">
        <v>2210</v>
      </c>
      <c r="L558" s="3" t="s">
        <v>905</v>
      </c>
      <c r="M558" t="str" cm="1">
        <f t="array" ref="M558">_xlfn.IFS(INFO_Pasajeros[[#This Row],[Edad]]&lt;=13,"Niños",INFO_Pasajeros[[#This Row],[Edad]]&lt;=18,"Jóvenes",INFO_Pasajeros[[#This Row],[Edad]]&lt;=50,"Adultos",INFO_Pasajeros[[#This Row],[Edad]]&gt;=51,"Adultos Mayores")</f>
        <v>Adultos</v>
      </c>
    </row>
    <row r="559" spans="1:13" x14ac:dyDescent="0.25">
      <c r="A559" s="3" t="s">
        <v>1760</v>
      </c>
      <c r="B559" s="3" t="s">
        <v>902</v>
      </c>
      <c r="C559" s="3">
        <v>556</v>
      </c>
      <c r="D559" s="5">
        <v>21</v>
      </c>
      <c r="E559" s="3">
        <v>0</v>
      </c>
      <c r="F559" s="3">
        <v>0</v>
      </c>
      <c r="G559" s="3">
        <v>1</v>
      </c>
      <c r="H559" s="3">
        <v>0</v>
      </c>
      <c r="I559" s="3">
        <v>350034</v>
      </c>
      <c r="J559" s="13">
        <v>26.55</v>
      </c>
      <c r="K559" s="3" t="s">
        <v>2210</v>
      </c>
      <c r="L559" s="3" t="s">
        <v>905</v>
      </c>
      <c r="M559" t="str" cm="1">
        <f t="array" ref="M559">_xlfn.IFS(INFO_Pasajeros[[#This Row],[Edad]]&lt;=13,"Niños",INFO_Pasajeros[[#This Row],[Edad]]&lt;=18,"Jóvenes",INFO_Pasajeros[[#This Row],[Edad]]&lt;=50,"Adultos",INFO_Pasajeros[[#This Row],[Edad]]&gt;=51,"Adultos Mayores")</f>
        <v>Adultos</v>
      </c>
    </row>
    <row r="560" spans="1:13" x14ac:dyDescent="0.25">
      <c r="A560" s="3" t="s">
        <v>1761</v>
      </c>
      <c r="B560" s="3" t="s">
        <v>907</v>
      </c>
      <c r="C560" s="3">
        <v>557</v>
      </c>
      <c r="D560" s="5">
        <v>24</v>
      </c>
      <c r="E560" s="3">
        <v>0</v>
      </c>
      <c r="F560" s="3">
        <v>1</v>
      </c>
      <c r="G560" s="3">
        <v>1</v>
      </c>
      <c r="H560" s="3">
        <v>1</v>
      </c>
      <c r="I560" s="3">
        <v>350035</v>
      </c>
      <c r="J560" s="13">
        <v>39.6</v>
      </c>
      <c r="K560" s="3" t="s">
        <v>2210</v>
      </c>
      <c r="L560" s="3" t="s">
        <v>905</v>
      </c>
      <c r="M560" t="str" cm="1">
        <f t="array" ref="M560">_xlfn.IFS(INFO_Pasajeros[[#This Row],[Edad]]&lt;=13,"Niños",INFO_Pasajeros[[#This Row],[Edad]]&lt;=18,"Jóvenes",INFO_Pasajeros[[#This Row],[Edad]]&lt;=50,"Adultos",INFO_Pasajeros[[#This Row],[Edad]]&gt;=51,"Adultos Mayores")</f>
        <v>Adultos</v>
      </c>
    </row>
    <row r="561" spans="1:13" x14ac:dyDescent="0.25">
      <c r="A561" s="3" t="s">
        <v>1764</v>
      </c>
      <c r="B561" s="3" t="s">
        <v>902</v>
      </c>
      <c r="C561" s="3">
        <v>558</v>
      </c>
      <c r="D561" s="5">
        <v>18</v>
      </c>
      <c r="E561" s="3">
        <v>0</v>
      </c>
      <c r="F561" s="3">
        <v>0</v>
      </c>
      <c r="G561" s="3">
        <v>1</v>
      </c>
      <c r="H561" s="3">
        <v>0</v>
      </c>
      <c r="I561" s="3">
        <v>350036</v>
      </c>
      <c r="J561" s="13">
        <v>227.52500000000001</v>
      </c>
      <c r="K561" s="3" t="s">
        <v>2210</v>
      </c>
      <c r="L561" s="3" t="s">
        <v>905</v>
      </c>
      <c r="M561" t="str" cm="1">
        <f t="array" ref="M561">_xlfn.IFS(INFO_Pasajeros[[#This Row],[Edad]]&lt;=13,"Niños",INFO_Pasajeros[[#This Row],[Edad]]&lt;=18,"Jóvenes",INFO_Pasajeros[[#This Row],[Edad]]&lt;=50,"Adultos",INFO_Pasajeros[[#This Row],[Edad]]&gt;=51,"Adultos Mayores")</f>
        <v>Jóvenes</v>
      </c>
    </row>
    <row r="562" spans="1:13" x14ac:dyDescent="0.25">
      <c r="A562" s="3" t="s">
        <v>1765</v>
      </c>
      <c r="B562" s="3" t="s">
        <v>907</v>
      </c>
      <c r="C562" s="3">
        <v>559</v>
      </c>
      <c r="D562" s="5">
        <v>28</v>
      </c>
      <c r="E562" s="3">
        <v>1</v>
      </c>
      <c r="F562" s="3">
        <v>1</v>
      </c>
      <c r="G562" s="3">
        <v>1</v>
      </c>
      <c r="H562" s="3">
        <v>1</v>
      </c>
      <c r="I562" s="3">
        <v>350042</v>
      </c>
      <c r="J562" s="13">
        <v>79.650000000000006</v>
      </c>
      <c r="K562" s="3" t="s">
        <v>2210</v>
      </c>
      <c r="L562" s="3" t="s">
        <v>905</v>
      </c>
      <c r="M562" t="str" cm="1">
        <f t="array" ref="M562">_xlfn.IFS(INFO_Pasajeros[[#This Row],[Edad]]&lt;=13,"Niños",INFO_Pasajeros[[#This Row],[Edad]]&lt;=18,"Jóvenes",INFO_Pasajeros[[#This Row],[Edad]]&lt;=50,"Adultos",INFO_Pasajeros[[#This Row],[Edad]]&gt;=51,"Adultos Mayores")</f>
        <v>Adultos</v>
      </c>
    </row>
    <row r="563" spans="1:13" x14ac:dyDescent="0.25">
      <c r="A563" s="3" t="s">
        <v>1766</v>
      </c>
      <c r="B563" s="3" t="s">
        <v>907</v>
      </c>
      <c r="C563" s="3">
        <v>560</v>
      </c>
      <c r="D563" s="5">
        <v>27</v>
      </c>
      <c r="E563" s="3">
        <v>0</v>
      </c>
      <c r="F563" s="3">
        <v>1</v>
      </c>
      <c r="G563" s="3">
        <v>3</v>
      </c>
      <c r="H563" s="3">
        <v>1</v>
      </c>
      <c r="I563" s="3">
        <v>350043</v>
      </c>
      <c r="J563" s="13">
        <v>17.399999999999999</v>
      </c>
      <c r="K563" s="3" t="s">
        <v>2210</v>
      </c>
      <c r="L563" s="3" t="s">
        <v>905</v>
      </c>
      <c r="M563" t="str" cm="1">
        <f t="array" ref="M563">_xlfn.IFS(INFO_Pasajeros[[#This Row],[Edad]]&lt;=13,"Niños",INFO_Pasajeros[[#This Row],[Edad]]&lt;=18,"Jóvenes",INFO_Pasajeros[[#This Row],[Edad]]&lt;=50,"Adultos",INFO_Pasajeros[[#This Row],[Edad]]&gt;=51,"Adultos Mayores")</f>
        <v>Adultos</v>
      </c>
    </row>
    <row r="564" spans="1:13" x14ac:dyDescent="0.25">
      <c r="A564" s="3" t="s">
        <v>1768</v>
      </c>
      <c r="B564" s="3" t="s">
        <v>902</v>
      </c>
      <c r="C564" s="3">
        <v>561</v>
      </c>
      <c r="D564" s="5">
        <v>19</v>
      </c>
      <c r="E564" s="3">
        <v>0</v>
      </c>
      <c r="F564" s="3">
        <v>0</v>
      </c>
      <c r="G564" s="3">
        <v>3</v>
      </c>
      <c r="H564" s="3">
        <v>0</v>
      </c>
      <c r="I564" s="3">
        <v>350046</v>
      </c>
      <c r="J564" s="13">
        <v>7.75</v>
      </c>
      <c r="K564" s="3" t="s">
        <v>2210</v>
      </c>
      <c r="L564" s="3" t="s">
        <v>905</v>
      </c>
      <c r="M564" t="str" cm="1">
        <f t="array" ref="M564">_xlfn.IFS(INFO_Pasajeros[[#This Row],[Edad]]&lt;=13,"Niños",INFO_Pasajeros[[#This Row],[Edad]]&lt;=18,"Jóvenes",INFO_Pasajeros[[#This Row],[Edad]]&lt;=50,"Adultos",INFO_Pasajeros[[#This Row],[Edad]]&gt;=51,"Adultos Mayores")</f>
        <v>Adultos</v>
      </c>
    </row>
    <row r="565" spans="1:13" x14ac:dyDescent="0.25">
      <c r="A565" s="3" t="s">
        <v>1769</v>
      </c>
      <c r="B565" s="3" t="s">
        <v>902</v>
      </c>
      <c r="C565" s="3">
        <v>562</v>
      </c>
      <c r="D565" s="5">
        <v>48</v>
      </c>
      <c r="E565" s="3">
        <v>0</v>
      </c>
      <c r="F565" s="3">
        <v>0</v>
      </c>
      <c r="G565" s="3">
        <v>3</v>
      </c>
      <c r="H565" s="3">
        <v>0</v>
      </c>
      <c r="I565" s="3">
        <v>350047</v>
      </c>
      <c r="J565" s="13">
        <v>78.957999999999998</v>
      </c>
      <c r="K565" s="3" t="s">
        <v>2210</v>
      </c>
      <c r="L565" s="3" t="s">
        <v>905</v>
      </c>
      <c r="M565" t="str" cm="1">
        <f t="array" ref="M565">_xlfn.IFS(INFO_Pasajeros[[#This Row],[Edad]]&lt;=13,"Niños",INFO_Pasajeros[[#This Row],[Edad]]&lt;=18,"Jóvenes",INFO_Pasajeros[[#This Row],[Edad]]&lt;=50,"Adultos",INFO_Pasajeros[[#This Row],[Edad]]&gt;=51,"Adultos Mayores")</f>
        <v>Adultos</v>
      </c>
    </row>
    <row r="566" spans="1:13" x14ac:dyDescent="0.25">
      <c r="A566" s="3" t="s">
        <v>1770</v>
      </c>
      <c r="B566" s="3" t="s">
        <v>902</v>
      </c>
      <c r="C566" s="3">
        <v>563</v>
      </c>
      <c r="D566" s="5">
        <v>17</v>
      </c>
      <c r="E566" s="3">
        <v>0</v>
      </c>
      <c r="F566" s="3">
        <v>0</v>
      </c>
      <c r="G566" s="3">
        <v>2</v>
      </c>
      <c r="H566" s="3">
        <v>0</v>
      </c>
      <c r="I566" s="3">
        <v>350048</v>
      </c>
      <c r="J566" s="13">
        <v>13.5</v>
      </c>
      <c r="K566" s="3" t="s">
        <v>2210</v>
      </c>
      <c r="L566" s="3" t="s">
        <v>905</v>
      </c>
      <c r="M566" t="str" cm="1">
        <f t="array" ref="M566">_xlfn.IFS(INFO_Pasajeros[[#This Row],[Edad]]&lt;=13,"Niños",INFO_Pasajeros[[#This Row],[Edad]]&lt;=18,"Jóvenes",INFO_Pasajeros[[#This Row],[Edad]]&lt;=50,"Adultos",INFO_Pasajeros[[#This Row],[Edad]]&gt;=51,"Adultos Mayores")</f>
        <v>Jóvenes</v>
      </c>
    </row>
    <row r="567" spans="1:13" x14ac:dyDescent="0.25">
      <c r="A567" s="3" t="s">
        <v>1771</v>
      </c>
      <c r="B567" s="3" t="s">
        <v>902</v>
      </c>
      <c r="C567" s="3">
        <v>564</v>
      </c>
      <c r="D567" s="5">
        <v>20</v>
      </c>
      <c r="E567" s="3">
        <v>0</v>
      </c>
      <c r="F567" s="3">
        <v>0</v>
      </c>
      <c r="G567" s="3">
        <v>3</v>
      </c>
      <c r="H567" s="3">
        <v>0</v>
      </c>
      <c r="I567" s="3">
        <v>350050</v>
      </c>
      <c r="J567" s="13">
        <v>8.0500000000000007</v>
      </c>
      <c r="K567" s="3" t="s">
        <v>2210</v>
      </c>
      <c r="L567" s="3" t="s">
        <v>905</v>
      </c>
      <c r="M567" t="str" cm="1">
        <f t="array" ref="M567">_xlfn.IFS(INFO_Pasajeros[[#This Row],[Edad]]&lt;=13,"Niños",INFO_Pasajeros[[#This Row],[Edad]]&lt;=18,"Jóvenes",INFO_Pasajeros[[#This Row],[Edad]]&lt;=50,"Adultos",INFO_Pasajeros[[#This Row],[Edad]]&gt;=51,"Adultos Mayores")</f>
        <v>Adultos</v>
      </c>
    </row>
    <row r="568" spans="1:13" x14ac:dyDescent="0.25">
      <c r="A568" s="3" t="s">
        <v>1773</v>
      </c>
      <c r="B568" s="3" t="s">
        <v>907</v>
      </c>
      <c r="C568" s="3">
        <v>565</v>
      </c>
      <c r="D568" s="5">
        <v>22</v>
      </c>
      <c r="E568" s="3">
        <v>0</v>
      </c>
      <c r="F568" s="3">
        <v>0</v>
      </c>
      <c r="G568" s="3">
        <v>3</v>
      </c>
      <c r="H568" s="3">
        <v>0</v>
      </c>
      <c r="I568" s="3">
        <v>350052</v>
      </c>
      <c r="J568" s="13">
        <v>8.0500000000000007</v>
      </c>
      <c r="K568" s="3" t="s">
        <v>2210</v>
      </c>
      <c r="L568" s="3" t="s">
        <v>905</v>
      </c>
      <c r="M568" t="str" cm="1">
        <f t="array" ref="M568">_xlfn.IFS(INFO_Pasajeros[[#This Row],[Edad]]&lt;=13,"Niños",INFO_Pasajeros[[#This Row],[Edad]]&lt;=18,"Jóvenes",INFO_Pasajeros[[#This Row],[Edad]]&lt;=50,"Adultos",INFO_Pasajeros[[#This Row],[Edad]]&gt;=51,"Adultos Mayores")</f>
        <v>Adultos</v>
      </c>
    </row>
    <row r="569" spans="1:13" x14ac:dyDescent="0.25">
      <c r="A569" s="3" t="s">
        <v>1775</v>
      </c>
      <c r="B569" s="3" t="s">
        <v>902</v>
      </c>
      <c r="C569" s="3">
        <v>566</v>
      </c>
      <c r="D569" s="5">
        <v>22</v>
      </c>
      <c r="E569" s="3">
        <v>0</v>
      </c>
      <c r="F569" s="3">
        <v>2</v>
      </c>
      <c r="G569" s="3">
        <v>3</v>
      </c>
      <c r="H569" s="3">
        <v>0</v>
      </c>
      <c r="I569" s="3">
        <v>350060</v>
      </c>
      <c r="J569" s="13">
        <v>24.15</v>
      </c>
      <c r="K569" s="3" t="s">
        <v>2210</v>
      </c>
      <c r="L569" s="3" t="s">
        <v>905</v>
      </c>
      <c r="M569" t="str" cm="1">
        <f t="array" ref="M569">_xlfn.IFS(INFO_Pasajeros[[#This Row],[Edad]]&lt;=13,"Niños",INFO_Pasajeros[[#This Row],[Edad]]&lt;=18,"Jóvenes",INFO_Pasajeros[[#This Row],[Edad]]&lt;=50,"Adultos",INFO_Pasajeros[[#This Row],[Edad]]&gt;=51,"Adultos Mayores")</f>
        <v>Adultos</v>
      </c>
    </row>
    <row r="570" spans="1:13" x14ac:dyDescent="0.25">
      <c r="A570" s="3" t="s">
        <v>1777</v>
      </c>
      <c r="B570" s="3" t="s">
        <v>902</v>
      </c>
      <c r="C570" s="3">
        <v>567</v>
      </c>
      <c r="D570" s="5">
        <v>18</v>
      </c>
      <c r="E570" s="3">
        <v>0</v>
      </c>
      <c r="F570" s="3">
        <v>0</v>
      </c>
      <c r="G570" s="3">
        <v>3</v>
      </c>
      <c r="H570" s="3">
        <v>0</v>
      </c>
      <c r="I570" s="3">
        <v>350404</v>
      </c>
      <c r="J570" s="13">
        <v>78.957999999999998</v>
      </c>
      <c r="K570" s="3" t="s">
        <v>2210</v>
      </c>
      <c r="L570" s="3" t="s">
        <v>905</v>
      </c>
      <c r="M570" t="str" cm="1">
        <f t="array" ref="M570">_xlfn.IFS(INFO_Pasajeros[[#This Row],[Edad]]&lt;=13,"Niños",INFO_Pasajeros[[#This Row],[Edad]]&lt;=18,"Jóvenes",INFO_Pasajeros[[#This Row],[Edad]]&lt;=50,"Adultos",INFO_Pasajeros[[#This Row],[Edad]]&gt;=51,"Adultos Mayores")</f>
        <v>Jóvenes</v>
      </c>
    </row>
    <row r="571" spans="1:13" x14ac:dyDescent="0.25">
      <c r="A571" s="3" t="s">
        <v>1778</v>
      </c>
      <c r="B571" s="3" t="s">
        <v>907</v>
      </c>
      <c r="C571" s="3">
        <v>568</v>
      </c>
      <c r="D571" s="5">
        <v>14</v>
      </c>
      <c r="E571" s="3">
        <v>4</v>
      </c>
      <c r="F571" s="3">
        <v>0</v>
      </c>
      <c r="G571" s="3">
        <v>3</v>
      </c>
      <c r="H571" s="3">
        <v>0</v>
      </c>
      <c r="I571" s="3">
        <v>350406</v>
      </c>
      <c r="J571" s="13">
        <v>21.074999999999999</v>
      </c>
      <c r="K571" s="3" t="s">
        <v>2210</v>
      </c>
      <c r="L571" s="3" t="s">
        <v>905</v>
      </c>
      <c r="M571" t="str" cm="1">
        <f t="array" ref="M571">_xlfn.IFS(INFO_Pasajeros[[#This Row],[Edad]]&lt;=13,"Niños",INFO_Pasajeros[[#This Row],[Edad]]&lt;=18,"Jóvenes",INFO_Pasajeros[[#This Row],[Edad]]&lt;=50,"Adultos",INFO_Pasajeros[[#This Row],[Edad]]&gt;=51,"Adultos Mayores")</f>
        <v>Jóvenes</v>
      </c>
    </row>
    <row r="572" spans="1:13" x14ac:dyDescent="0.25">
      <c r="A572" s="3" t="s">
        <v>1779</v>
      </c>
      <c r="B572" s="3" t="s">
        <v>902</v>
      </c>
      <c r="C572" s="3">
        <v>569</v>
      </c>
      <c r="D572" s="5">
        <v>31</v>
      </c>
      <c r="E572" s="3">
        <v>0</v>
      </c>
      <c r="F572" s="3">
        <v>0</v>
      </c>
      <c r="G572" s="3">
        <v>3</v>
      </c>
      <c r="H572" s="3">
        <v>0</v>
      </c>
      <c r="I572" s="3">
        <v>350407</v>
      </c>
      <c r="J572" s="13">
        <v>72.292000000000002</v>
      </c>
      <c r="K572" s="3" t="s">
        <v>2210</v>
      </c>
      <c r="L572" s="3" t="s">
        <v>905</v>
      </c>
      <c r="M572" t="str" cm="1">
        <f t="array" ref="M572">_xlfn.IFS(INFO_Pasajeros[[#This Row],[Edad]]&lt;=13,"Niños",INFO_Pasajeros[[#This Row],[Edad]]&lt;=18,"Jóvenes",INFO_Pasajeros[[#This Row],[Edad]]&lt;=50,"Adultos",INFO_Pasajeros[[#This Row],[Edad]]&gt;=51,"Adultos Mayores")</f>
        <v>Adultos</v>
      </c>
    </row>
    <row r="573" spans="1:13" x14ac:dyDescent="0.25">
      <c r="A573" s="3" t="s">
        <v>1780</v>
      </c>
      <c r="B573" s="3" t="s">
        <v>902</v>
      </c>
      <c r="C573" s="3">
        <v>570</v>
      </c>
      <c r="D573" s="5">
        <v>32</v>
      </c>
      <c r="E573" s="3">
        <v>0</v>
      </c>
      <c r="F573" s="3">
        <v>0</v>
      </c>
      <c r="G573" s="3">
        <v>3</v>
      </c>
      <c r="H573" s="3">
        <v>1</v>
      </c>
      <c r="I573" s="3">
        <v>350417</v>
      </c>
      <c r="J573" s="13">
        <v>78.542000000000002</v>
      </c>
      <c r="K573" s="3" t="s">
        <v>2210</v>
      </c>
      <c r="L573" s="3" t="s">
        <v>905</v>
      </c>
      <c r="M573" t="str" cm="1">
        <f t="array" ref="M573">_xlfn.IFS(INFO_Pasajeros[[#This Row],[Edad]]&lt;=13,"Niños",INFO_Pasajeros[[#This Row],[Edad]]&lt;=18,"Jóvenes",INFO_Pasajeros[[#This Row],[Edad]]&lt;=50,"Adultos",INFO_Pasajeros[[#This Row],[Edad]]&gt;=51,"Adultos Mayores")</f>
        <v>Adultos</v>
      </c>
    </row>
    <row r="574" spans="1:13" x14ac:dyDescent="0.25">
      <c r="A574" s="3" t="s">
        <v>1781</v>
      </c>
      <c r="B574" s="3" t="s">
        <v>902</v>
      </c>
      <c r="C574" s="3">
        <v>571</v>
      </c>
      <c r="D574" s="5">
        <v>19</v>
      </c>
      <c r="E574" s="3">
        <v>0</v>
      </c>
      <c r="F574" s="3">
        <v>0</v>
      </c>
      <c r="G574" s="3">
        <v>2</v>
      </c>
      <c r="H574" s="3">
        <v>1</v>
      </c>
      <c r="I574" s="3">
        <v>358585</v>
      </c>
      <c r="J574" s="13">
        <v>10.5</v>
      </c>
      <c r="K574" s="3" t="s">
        <v>2210</v>
      </c>
      <c r="L574" s="3" t="s">
        <v>905</v>
      </c>
      <c r="M574" t="str" cm="1">
        <f t="array" ref="M574">_xlfn.IFS(INFO_Pasajeros[[#This Row],[Edad]]&lt;=13,"Niños",INFO_Pasajeros[[#This Row],[Edad]]&lt;=18,"Jóvenes",INFO_Pasajeros[[#This Row],[Edad]]&lt;=50,"Adultos",INFO_Pasajeros[[#This Row],[Edad]]&gt;=51,"Adultos Mayores")</f>
        <v>Adultos</v>
      </c>
    </row>
    <row r="575" spans="1:13" x14ac:dyDescent="0.25">
      <c r="A575" s="3" t="s">
        <v>1783</v>
      </c>
      <c r="B575" s="3" t="s">
        <v>907</v>
      </c>
      <c r="C575" s="3">
        <v>572</v>
      </c>
      <c r="D575" s="5">
        <v>57</v>
      </c>
      <c r="E575" s="3">
        <v>0</v>
      </c>
      <c r="F575" s="3">
        <v>2</v>
      </c>
      <c r="G575" s="3">
        <v>1</v>
      </c>
      <c r="H575" s="3">
        <v>1</v>
      </c>
      <c r="I575" s="3">
        <v>358585</v>
      </c>
      <c r="J575" s="13">
        <v>514.79200000000003</v>
      </c>
      <c r="K575" s="3" t="s">
        <v>2210</v>
      </c>
      <c r="L575" s="3" t="s">
        <v>905</v>
      </c>
      <c r="M575" t="str" cm="1">
        <f t="array" ref="M575">_xlfn.IFS(INFO_Pasajeros[[#This Row],[Edad]]&lt;=13,"Niños",INFO_Pasajeros[[#This Row],[Edad]]&lt;=18,"Jóvenes",INFO_Pasajeros[[#This Row],[Edad]]&lt;=50,"Adultos",INFO_Pasajeros[[#This Row],[Edad]]&gt;=51,"Adultos Mayores")</f>
        <v>Adultos Mayores</v>
      </c>
    </row>
    <row r="576" spans="1:13" x14ac:dyDescent="0.25">
      <c r="A576" s="3" t="s">
        <v>1785</v>
      </c>
      <c r="B576" s="3" t="s">
        <v>902</v>
      </c>
      <c r="C576" s="3">
        <v>573</v>
      </c>
      <c r="D576" s="5">
        <v>7</v>
      </c>
      <c r="E576" s="3">
        <v>0</v>
      </c>
      <c r="F576" s="3">
        <v>0</v>
      </c>
      <c r="G576" s="3">
        <v>1</v>
      </c>
      <c r="H576" s="3">
        <v>1</v>
      </c>
      <c r="I576" s="3">
        <v>362316</v>
      </c>
      <c r="J576" s="13">
        <v>263.875</v>
      </c>
      <c r="K576" s="3" t="s">
        <v>2210</v>
      </c>
      <c r="L576" s="3" t="s">
        <v>905</v>
      </c>
      <c r="M576" t="str" cm="1">
        <f t="array" ref="M576">_xlfn.IFS(INFO_Pasajeros[[#This Row],[Edad]]&lt;=13,"Niños",INFO_Pasajeros[[#This Row],[Edad]]&lt;=18,"Jóvenes",INFO_Pasajeros[[#This Row],[Edad]]&lt;=50,"Adultos",INFO_Pasajeros[[#This Row],[Edad]]&gt;=51,"Adultos Mayores")</f>
        <v>Niños</v>
      </c>
    </row>
    <row r="577" spans="1:13" x14ac:dyDescent="0.25">
      <c r="A577" s="3" t="s">
        <v>1787</v>
      </c>
      <c r="B577" s="3" t="s">
        <v>907</v>
      </c>
      <c r="C577" s="3">
        <v>574</v>
      </c>
      <c r="D577" s="5">
        <v>9</v>
      </c>
      <c r="E577" s="3">
        <v>0</v>
      </c>
      <c r="F577" s="3">
        <v>0</v>
      </c>
      <c r="G577" s="3">
        <v>3</v>
      </c>
      <c r="H577" s="3">
        <v>1</v>
      </c>
      <c r="I577" s="3">
        <v>363291</v>
      </c>
      <c r="J577" s="13">
        <v>7.75</v>
      </c>
      <c r="K577" s="3" t="s">
        <v>2210</v>
      </c>
      <c r="L577" s="3" t="s">
        <v>905</v>
      </c>
      <c r="M577" t="str" cm="1">
        <f t="array" ref="M577">_xlfn.IFS(INFO_Pasajeros[[#This Row],[Edad]]&lt;=13,"Niños",INFO_Pasajeros[[#This Row],[Edad]]&lt;=18,"Jóvenes",INFO_Pasajeros[[#This Row],[Edad]]&lt;=50,"Adultos",INFO_Pasajeros[[#This Row],[Edad]]&gt;=51,"Adultos Mayores")</f>
        <v>Niños</v>
      </c>
    </row>
    <row r="578" spans="1:13" x14ac:dyDescent="0.25">
      <c r="A578" s="3" t="s">
        <v>1788</v>
      </c>
      <c r="B578" s="3" t="s">
        <v>902</v>
      </c>
      <c r="C578" s="3">
        <v>575</v>
      </c>
      <c r="D578" s="5">
        <v>31</v>
      </c>
      <c r="E578" s="3">
        <v>0</v>
      </c>
      <c r="F578" s="3">
        <v>0</v>
      </c>
      <c r="G578" s="3">
        <v>3</v>
      </c>
      <c r="H578" s="3">
        <v>0</v>
      </c>
      <c r="I578" s="3">
        <v>363291</v>
      </c>
      <c r="J578" s="13">
        <v>8.0500000000000007</v>
      </c>
      <c r="K578" s="3" t="s">
        <v>2210</v>
      </c>
      <c r="L578" s="3" t="s">
        <v>905</v>
      </c>
      <c r="M578" t="str" cm="1">
        <f t="array" ref="M578">_xlfn.IFS(INFO_Pasajeros[[#This Row],[Edad]]&lt;=13,"Niños",INFO_Pasajeros[[#This Row],[Edad]]&lt;=18,"Jóvenes",INFO_Pasajeros[[#This Row],[Edad]]&lt;=50,"Adultos",INFO_Pasajeros[[#This Row],[Edad]]&gt;=51,"Adultos Mayores")</f>
        <v>Adultos</v>
      </c>
    </row>
    <row r="579" spans="1:13" x14ac:dyDescent="0.25">
      <c r="A579" s="3" t="s">
        <v>1790</v>
      </c>
      <c r="B579" s="3" t="s">
        <v>902</v>
      </c>
      <c r="C579" s="3">
        <v>576</v>
      </c>
      <c r="D579" s="5">
        <v>33</v>
      </c>
      <c r="E579" s="3">
        <v>0</v>
      </c>
      <c r="F579" s="3">
        <v>0</v>
      </c>
      <c r="G579" s="3">
        <v>3</v>
      </c>
      <c r="H579" s="3">
        <v>0</v>
      </c>
      <c r="I579" s="3">
        <v>363291</v>
      </c>
      <c r="J579" s="13">
        <v>14.5</v>
      </c>
      <c r="K579" s="3" t="s">
        <v>2210</v>
      </c>
      <c r="L579" s="3" t="s">
        <v>905</v>
      </c>
      <c r="M579" t="str" cm="1">
        <f t="array" ref="M579">_xlfn.IFS(INFO_Pasajeros[[#This Row],[Edad]]&lt;=13,"Niños",INFO_Pasajeros[[#This Row],[Edad]]&lt;=18,"Jóvenes",INFO_Pasajeros[[#This Row],[Edad]]&lt;=50,"Adultos",INFO_Pasajeros[[#This Row],[Edad]]&gt;=51,"Adultos Mayores")</f>
        <v>Adultos</v>
      </c>
    </row>
    <row r="580" spans="1:13" x14ac:dyDescent="0.25">
      <c r="A580" s="3" t="s">
        <v>1791</v>
      </c>
      <c r="B580" s="3" t="s">
        <v>907</v>
      </c>
      <c r="C580" s="3">
        <v>577</v>
      </c>
      <c r="D580" s="5">
        <v>34</v>
      </c>
      <c r="E580" s="3">
        <v>0</v>
      </c>
      <c r="F580" s="3">
        <v>0</v>
      </c>
      <c r="G580" s="3">
        <v>2</v>
      </c>
      <c r="H580" s="3">
        <v>1</v>
      </c>
      <c r="I580" s="3">
        <v>363294</v>
      </c>
      <c r="J580" s="13">
        <v>13</v>
      </c>
      <c r="K580" s="3" t="s">
        <v>2210</v>
      </c>
      <c r="L580" s="3" t="s">
        <v>905</v>
      </c>
      <c r="M580" t="str" cm="1">
        <f t="array" ref="M580">_xlfn.IFS(INFO_Pasajeros[[#This Row],[Edad]]&lt;=13,"Niños",INFO_Pasajeros[[#This Row],[Edad]]&lt;=18,"Jóvenes",INFO_Pasajeros[[#This Row],[Edad]]&lt;=50,"Adultos",INFO_Pasajeros[[#This Row],[Edad]]&gt;=51,"Adultos Mayores")</f>
        <v>Adultos</v>
      </c>
    </row>
    <row r="581" spans="1:13" x14ac:dyDescent="0.25">
      <c r="A581" s="3" t="s">
        <v>1792</v>
      </c>
      <c r="B581" s="3" t="s">
        <v>907</v>
      </c>
      <c r="C581" s="3">
        <v>578</v>
      </c>
      <c r="D581" s="5">
        <v>44</v>
      </c>
      <c r="E581" s="3">
        <v>0</v>
      </c>
      <c r="F581" s="3">
        <v>1</v>
      </c>
      <c r="G581" s="3">
        <v>1</v>
      </c>
      <c r="H581" s="3">
        <v>1</v>
      </c>
      <c r="I581" s="3">
        <v>363592</v>
      </c>
      <c r="J581" s="13">
        <v>55.9</v>
      </c>
      <c r="K581" s="3" t="s">
        <v>2210</v>
      </c>
      <c r="L581" s="3" t="s">
        <v>905</v>
      </c>
      <c r="M581" t="str" cm="1">
        <f t="array" ref="M581">_xlfn.IFS(INFO_Pasajeros[[#This Row],[Edad]]&lt;=13,"Niños",INFO_Pasajeros[[#This Row],[Edad]]&lt;=18,"Jóvenes",INFO_Pasajeros[[#This Row],[Edad]]&lt;=50,"Adultos",INFO_Pasajeros[[#This Row],[Edad]]&gt;=51,"Adultos Mayores")</f>
        <v>Adultos</v>
      </c>
    </row>
    <row r="582" spans="1:13" x14ac:dyDescent="0.25">
      <c r="A582" s="3" t="s">
        <v>1793</v>
      </c>
      <c r="B582" s="3" t="s">
        <v>907</v>
      </c>
      <c r="C582" s="3">
        <v>579</v>
      </c>
      <c r="D582" s="5">
        <v>35</v>
      </c>
      <c r="E582" s="3">
        <v>0</v>
      </c>
      <c r="F582" s="3">
        <v>1</v>
      </c>
      <c r="G582" s="3">
        <v>3</v>
      </c>
      <c r="H582" s="3">
        <v>0</v>
      </c>
      <c r="I582" s="3">
        <v>364498</v>
      </c>
      <c r="J582" s="13">
        <v>144.583</v>
      </c>
      <c r="K582" s="3" t="s">
        <v>2210</v>
      </c>
      <c r="L582" s="3" t="s">
        <v>905</v>
      </c>
      <c r="M582" t="str" cm="1">
        <f t="array" ref="M582">_xlfn.IFS(INFO_Pasajeros[[#This Row],[Edad]]&lt;=13,"Niños",INFO_Pasajeros[[#This Row],[Edad]]&lt;=18,"Jóvenes",INFO_Pasajeros[[#This Row],[Edad]]&lt;=50,"Adultos",INFO_Pasajeros[[#This Row],[Edad]]&gt;=51,"Adultos Mayores")</f>
        <v>Adultos</v>
      </c>
    </row>
    <row r="583" spans="1:13" x14ac:dyDescent="0.25">
      <c r="A583" s="3" t="s">
        <v>1794</v>
      </c>
      <c r="B583" s="3" t="s">
        <v>902</v>
      </c>
      <c r="C583" s="3">
        <v>580</v>
      </c>
      <c r="D583" s="5">
        <v>31</v>
      </c>
      <c r="E583" s="3">
        <v>0</v>
      </c>
      <c r="F583" s="3">
        <v>0</v>
      </c>
      <c r="G583" s="3">
        <v>3</v>
      </c>
      <c r="H583" s="3">
        <v>1</v>
      </c>
      <c r="I583" s="3">
        <v>364499</v>
      </c>
      <c r="J583" s="13">
        <v>7.9249999999999998</v>
      </c>
      <c r="K583" s="3" t="s">
        <v>2210</v>
      </c>
      <c r="L583" s="3" t="s">
        <v>905</v>
      </c>
      <c r="M583" t="str" cm="1">
        <f t="array" ref="M583">_xlfn.IFS(INFO_Pasajeros[[#This Row],[Edad]]&lt;=13,"Niños",INFO_Pasajeros[[#This Row],[Edad]]&lt;=18,"Jóvenes",INFO_Pasajeros[[#This Row],[Edad]]&lt;=50,"Adultos",INFO_Pasajeros[[#This Row],[Edad]]&gt;=51,"Adultos Mayores")</f>
        <v>Adultos</v>
      </c>
    </row>
    <row r="584" spans="1:13" x14ac:dyDescent="0.25">
      <c r="A584" s="3" t="s">
        <v>1796</v>
      </c>
      <c r="B584" s="3" t="s">
        <v>907</v>
      </c>
      <c r="C584" s="3">
        <v>581</v>
      </c>
      <c r="D584" s="5">
        <v>59</v>
      </c>
      <c r="E584" s="3">
        <v>1</v>
      </c>
      <c r="F584" s="3">
        <v>1</v>
      </c>
      <c r="G584" s="3">
        <v>2</v>
      </c>
      <c r="H584" s="3">
        <v>1</v>
      </c>
      <c r="I584" s="3">
        <v>364500</v>
      </c>
      <c r="J584" s="13">
        <v>30</v>
      </c>
      <c r="K584" s="3" t="s">
        <v>2210</v>
      </c>
      <c r="L584" s="3" t="s">
        <v>905</v>
      </c>
      <c r="M584" t="str" cm="1">
        <f t="array" ref="M584">_xlfn.IFS(INFO_Pasajeros[[#This Row],[Edad]]&lt;=13,"Niños",INFO_Pasajeros[[#This Row],[Edad]]&lt;=18,"Jóvenes",INFO_Pasajeros[[#This Row],[Edad]]&lt;=50,"Adultos",INFO_Pasajeros[[#This Row],[Edad]]&gt;=51,"Adultos Mayores")</f>
        <v>Adultos Mayores</v>
      </c>
    </row>
    <row r="585" spans="1:13" x14ac:dyDescent="0.25">
      <c r="A585" s="3" t="s">
        <v>1797</v>
      </c>
      <c r="B585" s="3" t="s">
        <v>907</v>
      </c>
      <c r="C585" s="3">
        <v>582</v>
      </c>
      <c r="D585" s="5">
        <v>34</v>
      </c>
      <c r="E585" s="3">
        <v>1</v>
      </c>
      <c r="F585" s="3">
        <v>1</v>
      </c>
      <c r="G585" s="3">
        <v>1</v>
      </c>
      <c r="H585" s="3">
        <v>1</v>
      </c>
      <c r="I585" s="3">
        <v>364506</v>
      </c>
      <c r="J585" s="13">
        <v>110.88330000000001</v>
      </c>
      <c r="K585" s="3" t="s">
        <v>2210</v>
      </c>
      <c r="L585" s="3" t="s">
        <v>905</v>
      </c>
      <c r="M585" t="str" cm="1">
        <f t="array" ref="M585">_xlfn.IFS(INFO_Pasajeros[[#This Row],[Edad]]&lt;=13,"Niños",INFO_Pasajeros[[#This Row],[Edad]]&lt;=18,"Jóvenes",INFO_Pasajeros[[#This Row],[Edad]]&lt;=50,"Adultos",INFO_Pasajeros[[#This Row],[Edad]]&gt;=51,"Adultos Mayores")</f>
        <v>Adultos</v>
      </c>
    </row>
    <row r="586" spans="1:13" x14ac:dyDescent="0.25">
      <c r="A586" s="3" t="s">
        <v>1799</v>
      </c>
      <c r="B586" s="3" t="s">
        <v>902</v>
      </c>
      <c r="C586" s="3">
        <v>583</v>
      </c>
      <c r="D586" s="5">
        <v>44</v>
      </c>
      <c r="E586" s="3">
        <v>0</v>
      </c>
      <c r="F586" s="3">
        <v>0</v>
      </c>
      <c r="G586" s="3">
        <v>2</v>
      </c>
      <c r="H586" s="3">
        <v>0</v>
      </c>
      <c r="I586" s="3">
        <v>364511</v>
      </c>
      <c r="J586" s="13">
        <v>26</v>
      </c>
      <c r="K586" s="3" t="s">
        <v>2210</v>
      </c>
      <c r="L586" s="3" t="s">
        <v>905</v>
      </c>
      <c r="M586" t="str" cm="1">
        <f t="array" ref="M586">_xlfn.IFS(INFO_Pasajeros[[#This Row],[Edad]]&lt;=13,"Niños",INFO_Pasajeros[[#This Row],[Edad]]&lt;=18,"Jóvenes",INFO_Pasajeros[[#This Row],[Edad]]&lt;=50,"Adultos",INFO_Pasajeros[[#This Row],[Edad]]&gt;=51,"Adultos Mayores")</f>
        <v>Adultos</v>
      </c>
    </row>
    <row r="587" spans="1:13" x14ac:dyDescent="0.25">
      <c r="A587" s="3" t="s">
        <v>1800</v>
      </c>
      <c r="B587" s="3" t="s">
        <v>902</v>
      </c>
      <c r="C587" s="3">
        <v>584</v>
      </c>
      <c r="D587" s="5">
        <v>35</v>
      </c>
      <c r="E587" s="3">
        <v>0</v>
      </c>
      <c r="F587" s="3">
        <v>0</v>
      </c>
      <c r="G587" s="3">
        <v>1</v>
      </c>
      <c r="H587" s="3">
        <v>0</v>
      </c>
      <c r="I587" s="3">
        <v>364512</v>
      </c>
      <c r="J587" s="13">
        <v>40.125</v>
      </c>
      <c r="K587" s="3" t="s">
        <v>2210</v>
      </c>
      <c r="L587" s="3" t="s">
        <v>905</v>
      </c>
      <c r="M587" t="str" cm="1">
        <f t="array" ref="M587">_xlfn.IFS(INFO_Pasajeros[[#This Row],[Edad]]&lt;=13,"Niños",INFO_Pasajeros[[#This Row],[Edad]]&lt;=18,"Jóvenes",INFO_Pasajeros[[#This Row],[Edad]]&lt;=50,"Adultos",INFO_Pasajeros[[#This Row],[Edad]]&gt;=51,"Adultos Mayores")</f>
        <v>Adultos</v>
      </c>
    </row>
    <row r="588" spans="1:13" x14ac:dyDescent="0.25">
      <c r="A588" s="3" t="s">
        <v>1802</v>
      </c>
      <c r="B588" s="3" t="s">
        <v>902</v>
      </c>
      <c r="C588" s="3">
        <v>585</v>
      </c>
      <c r="D588" s="5">
        <v>30</v>
      </c>
      <c r="E588" s="3">
        <v>0</v>
      </c>
      <c r="F588" s="3">
        <v>0</v>
      </c>
      <c r="G588" s="3">
        <v>3</v>
      </c>
      <c r="H588" s="3">
        <v>0</v>
      </c>
      <c r="I588" s="3">
        <v>364516</v>
      </c>
      <c r="J588" s="13">
        <v>87.125</v>
      </c>
      <c r="K588" s="3" t="s">
        <v>2210</v>
      </c>
      <c r="L588" s="3" t="s">
        <v>905</v>
      </c>
      <c r="M588" t="str" cm="1">
        <f t="array" ref="M588">_xlfn.IFS(INFO_Pasajeros[[#This Row],[Edad]]&lt;=13,"Niños",INFO_Pasajeros[[#This Row],[Edad]]&lt;=18,"Jóvenes",INFO_Pasajeros[[#This Row],[Edad]]&lt;=50,"Adultos",INFO_Pasajeros[[#This Row],[Edad]]&gt;=51,"Adultos Mayores")</f>
        <v>Adultos</v>
      </c>
    </row>
    <row r="589" spans="1:13" x14ac:dyDescent="0.25">
      <c r="A589" s="3" t="s">
        <v>1803</v>
      </c>
      <c r="B589" s="3" t="s">
        <v>907</v>
      </c>
      <c r="C589" s="3">
        <v>586</v>
      </c>
      <c r="D589" s="5">
        <v>5</v>
      </c>
      <c r="E589" s="3">
        <v>2</v>
      </c>
      <c r="F589" s="3">
        <v>0</v>
      </c>
      <c r="G589" s="3">
        <v>1</v>
      </c>
      <c r="H589" s="3">
        <v>1</v>
      </c>
      <c r="I589" s="3">
        <v>364516</v>
      </c>
      <c r="J589" s="13">
        <v>79.650000000000006</v>
      </c>
      <c r="K589" s="3" t="s">
        <v>2210</v>
      </c>
      <c r="L589" s="3" t="s">
        <v>905</v>
      </c>
      <c r="M589" t="str" cm="1">
        <f t="array" ref="M589">_xlfn.IFS(INFO_Pasajeros[[#This Row],[Edad]]&lt;=13,"Niños",INFO_Pasajeros[[#This Row],[Edad]]&lt;=18,"Jóvenes",INFO_Pasajeros[[#This Row],[Edad]]&lt;=50,"Adultos",INFO_Pasajeros[[#This Row],[Edad]]&gt;=51,"Adultos Mayores")</f>
        <v>Niños</v>
      </c>
    </row>
    <row r="590" spans="1:13" x14ac:dyDescent="0.25">
      <c r="A590" s="3" t="s">
        <v>1805</v>
      </c>
      <c r="B590" s="3" t="s">
        <v>902</v>
      </c>
      <c r="C590" s="3">
        <v>587</v>
      </c>
      <c r="D590" s="5">
        <v>21</v>
      </c>
      <c r="E590" s="3">
        <v>0</v>
      </c>
      <c r="F590" s="3">
        <v>0</v>
      </c>
      <c r="G590" s="3">
        <v>2</v>
      </c>
      <c r="H590" s="3">
        <v>0</v>
      </c>
      <c r="I590" s="3">
        <v>364846</v>
      </c>
      <c r="J590" s="13">
        <v>15</v>
      </c>
      <c r="K590" s="3" t="s">
        <v>2210</v>
      </c>
      <c r="L590" s="3" t="s">
        <v>919</v>
      </c>
      <c r="M590" t="str" cm="1">
        <f t="array" ref="M590">_xlfn.IFS(INFO_Pasajeros[[#This Row],[Edad]]&lt;=13,"Niños",INFO_Pasajeros[[#This Row],[Edad]]&lt;=18,"Jóvenes",INFO_Pasajeros[[#This Row],[Edad]]&lt;=50,"Adultos",INFO_Pasajeros[[#This Row],[Edad]]&gt;=51,"Adultos Mayores")</f>
        <v>Adultos</v>
      </c>
    </row>
    <row r="591" spans="1:13" x14ac:dyDescent="0.25">
      <c r="A591" s="3" t="s">
        <v>1806</v>
      </c>
      <c r="B591" s="3" t="s">
        <v>902</v>
      </c>
      <c r="C591" s="3">
        <v>588</v>
      </c>
      <c r="D591" s="5">
        <v>41</v>
      </c>
      <c r="E591" s="3">
        <v>1</v>
      </c>
      <c r="F591" s="3">
        <v>1</v>
      </c>
      <c r="G591" s="3">
        <v>1</v>
      </c>
      <c r="H591" s="3">
        <v>1</v>
      </c>
      <c r="I591" s="3">
        <v>364848</v>
      </c>
      <c r="J591" s="13">
        <v>79.2</v>
      </c>
      <c r="K591" s="3" t="s">
        <v>2210</v>
      </c>
      <c r="L591" s="3" t="s">
        <v>919</v>
      </c>
      <c r="M591" t="str" cm="1">
        <f t="array" ref="M591">_xlfn.IFS(INFO_Pasajeros[[#This Row],[Edad]]&lt;=13,"Niños",INFO_Pasajeros[[#This Row],[Edad]]&lt;=18,"Jóvenes",INFO_Pasajeros[[#This Row],[Edad]]&lt;=50,"Adultos",INFO_Pasajeros[[#This Row],[Edad]]&gt;=51,"Adultos Mayores")</f>
        <v>Adultos</v>
      </c>
    </row>
    <row r="592" spans="1:13" x14ac:dyDescent="0.25">
      <c r="A592" s="3" t="s">
        <v>1808</v>
      </c>
      <c r="B592" s="3" t="s">
        <v>902</v>
      </c>
      <c r="C592" s="3">
        <v>589</v>
      </c>
      <c r="D592" s="5">
        <v>40</v>
      </c>
      <c r="E592" s="3">
        <v>0</v>
      </c>
      <c r="F592" s="3">
        <v>0</v>
      </c>
      <c r="G592" s="3">
        <v>3</v>
      </c>
      <c r="H592" s="3">
        <v>0</v>
      </c>
      <c r="I592" s="3">
        <v>364849</v>
      </c>
      <c r="J592" s="13">
        <v>8.0500000000000007</v>
      </c>
      <c r="K592" s="3" t="s">
        <v>2210</v>
      </c>
      <c r="L592" s="3" t="s">
        <v>919</v>
      </c>
      <c r="M592" t="str" cm="1">
        <f t="array" ref="M592">_xlfn.IFS(INFO_Pasajeros[[#This Row],[Edad]]&lt;=13,"Niños",INFO_Pasajeros[[#This Row],[Edad]]&lt;=18,"Jóvenes",INFO_Pasajeros[[#This Row],[Edad]]&lt;=50,"Adultos",INFO_Pasajeros[[#This Row],[Edad]]&gt;=51,"Adultos Mayores")</f>
        <v>Adultos</v>
      </c>
    </row>
    <row r="593" spans="1:13" x14ac:dyDescent="0.25">
      <c r="A593" s="3" t="s">
        <v>1809</v>
      </c>
      <c r="B593" s="3" t="s">
        <v>902</v>
      </c>
      <c r="C593" s="3">
        <v>590</v>
      </c>
      <c r="D593" s="5">
        <v>32</v>
      </c>
      <c r="E593" s="3">
        <v>0</v>
      </c>
      <c r="F593" s="3">
        <v>0</v>
      </c>
      <c r="G593" s="3">
        <v>3</v>
      </c>
      <c r="H593" s="3">
        <v>0</v>
      </c>
      <c r="I593" s="3">
        <v>364849</v>
      </c>
      <c r="J593" s="13">
        <v>8.0500000000000007</v>
      </c>
      <c r="K593" s="3" t="s">
        <v>2210</v>
      </c>
      <c r="L593" s="3" t="s">
        <v>919</v>
      </c>
      <c r="M593" t="str" cm="1">
        <f t="array" ref="M593">_xlfn.IFS(INFO_Pasajeros[[#This Row],[Edad]]&lt;=13,"Niños",INFO_Pasajeros[[#This Row],[Edad]]&lt;=18,"Jóvenes",INFO_Pasajeros[[#This Row],[Edad]]&lt;=50,"Adultos",INFO_Pasajeros[[#This Row],[Edad]]&gt;=51,"Adultos Mayores")</f>
        <v>Adultos</v>
      </c>
    </row>
    <row r="594" spans="1:13" x14ac:dyDescent="0.25">
      <c r="A594" s="3" t="s">
        <v>1811</v>
      </c>
      <c r="B594" s="3" t="s">
        <v>902</v>
      </c>
      <c r="C594" s="3">
        <v>591</v>
      </c>
      <c r="D594" s="5">
        <v>31</v>
      </c>
      <c r="E594" s="3">
        <v>0</v>
      </c>
      <c r="F594" s="3">
        <v>0</v>
      </c>
      <c r="G594" s="3">
        <v>3</v>
      </c>
      <c r="H594" s="3">
        <v>0</v>
      </c>
      <c r="I594" s="3">
        <v>364850</v>
      </c>
      <c r="J594" s="13">
        <v>7.125</v>
      </c>
      <c r="K594" s="3" t="s">
        <v>2210</v>
      </c>
      <c r="L594" s="3" t="s">
        <v>919</v>
      </c>
      <c r="M594" t="str" cm="1">
        <f t="array" ref="M594">_xlfn.IFS(INFO_Pasajeros[[#This Row],[Edad]]&lt;=13,"Niños",INFO_Pasajeros[[#This Row],[Edad]]&lt;=18,"Jóvenes",INFO_Pasajeros[[#This Row],[Edad]]&lt;=50,"Adultos",INFO_Pasajeros[[#This Row],[Edad]]&gt;=51,"Adultos Mayores")</f>
        <v>Adultos</v>
      </c>
    </row>
    <row r="595" spans="1:13" x14ac:dyDescent="0.25">
      <c r="A595" s="3" t="s">
        <v>1813</v>
      </c>
      <c r="B595" s="3" t="s">
        <v>907</v>
      </c>
      <c r="C595" s="3">
        <v>592</v>
      </c>
      <c r="D595" s="5">
        <v>33</v>
      </c>
      <c r="E595" s="3">
        <v>0</v>
      </c>
      <c r="F595" s="3">
        <v>1</v>
      </c>
      <c r="G595" s="3">
        <v>1</v>
      </c>
      <c r="H595" s="3">
        <v>1</v>
      </c>
      <c r="I595" s="3">
        <v>364851</v>
      </c>
      <c r="J595" s="13">
        <v>782.66700000000003</v>
      </c>
      <c r="K595" s="3" t="s">
        <v>2210</v>
      </c>
      <c r="L595" s="3" t="s">
        <v>919</v>
      </c>
      <c r="M595" t="str" cm="1">
        <f t="array" ref="M595">_xlfn.IFS(INFO_Pasajeros[[#This Row],[Edad]]&lt;=13,"Niños",INFO_Pasajeros[[#This Row],[Edad]]&lt;=18,"Jóvenes",INFO_Pasajeros[[#This Row],[Edad]]&lt;=50,"Adultos",INFO_Pasajeros[[#This Row],[Edad]]&gt;=51,"Adultos Mayores")</f>
        <v>Adultos</v>
      </c>
    </row>
    <row r="596" spans="1:13" x14ac:dyDescent="0.25">
      <c r="A596" s="3" t="s">
        <v>1814</v>
      </c>
      <c r="B596" s="3" t="s">
        <v>902</v>
      </c>
      <c r="C596" s="3">
        <v>593</v>
      </c>
      <c r="D596" s="5">
        <v>19</v>
      </c>
      <c r="E596" s="3">
        <v>0</v>
      </c>
      <c r="F596" s="3">
        <v>0</v>
      </c>
      <c r="G596" s="3">
        <v>3</v>
      </c>
      <c r="H596" s="3">
        <v>0</v>
      </c>
      <c r="I596" s="3">
        <v>365222</v>
      </c>
      <c r="J596" s="13">
        <v>7.25</v>
      </c>
      <c r="K596" s="3" t="s">
        <v>2210</v>
      </c>
      <c r="L596" s="3" t="s">
        <v>919</v>
      </c>
      <c r="M596" t="str" cm="1">
        <f t="array" ref="M596">_xlfn.IFS(INFO_Pasajeros[[#This Row],[Edad]]&lt;=13,"Niños",INFO_Pasajeros[[#This Row],[Edad]]&lt;=18,"Jóvenes",INFO_Pasajeros[[#This Row],[Edad]]&lt;=50,"Adultos",INFO_Pasajeros[[#This Row],[Edad]]&gt;=51,"Adultos Mayores")</f>
        <v>Adultos</v>
      </c>
    </row>
    <row r="597" spans="1:13" x14ac:dyDescent="0.25">
      <c r="A597" s="3" t="s">
        <v>1816</v>
      </c>
      <c r="B597" s="3" t="s">
        <v>907</v>
      </c>
      <c r="C597" s="3">
        <v>594</v>
      </c>
      <c r="D597" s="5">
        <v>18</v>
      </c>
      <c r="E597" s="3">
        <v>2</v>
      </c>
      <c r="F597" s="3">
        <v>0</v>
      </c>
      <c r="G597" s="3">
        <v>3</v>
      </c>
      <c r="H597" s="3">
        <v>0</v>
      </c>
      <c r="I597" s="3">
        <v>365226</v>
      </c>
      <c r="J597" s="13">
        <v>7.75</v>
      </c>
      <c r="K597" s="3" t="s">
        <v>2210</v>
      </c>
      <c r="L597" s="3" t="s">
        <v>919</v>
      </c>
      <c r="M597" t="str" cm="1">
        <f t="array" ref="M597">_xlfn.IFS(INFO_Pasajeros[[#This Row],[Edad]]&lt;=13,"Niños",INFO_Pasajeros[[#This Row],[Edad]]&lt;=18,"Jóvenes",INFO_Pasajeros[[#This Row],[Edad]]&lt;=50,"Adultos",INFO_Pasajeros[[#This Row],[Edad]]&gt;=51,"Adultos Mayores")</f>
        <v>Jóvenes</v>
      </c>
    </row>
    <row r="598" spans="1:13" x14ac:dyDescent="0.25">
      <c r="A598" s="3" t="s">
        <v>1817</v>
      </c>
      <c r="B598" s="3" t="s">
        <v>902</v>
      </c>
      <c r="C598" s="3">
        <v>595</v>
      </c>
      <c r="D598" s="5">
        <v>60</v>
      </c>
      <c r="E598" s="3">
        <v>0</v>
      </c>
      <c r="F598" s="3">
        <v>1</v>
      </c>
      <c r="G598" s="3">
        <v>2</v>
      </c>
      <c r="H598" s="3">
        <v>0</v>
      </c>
      <c r="I598" s="3">
        <v>367226</v>
      </c>
      <c r="J598" s="13">
        <v>26</v>
      </c>
      <c r="K598" s="3" t="s">
        <v>2210</v>
      </c>
      <c r="L598" s="3" t="s">
        <v>919</v>
      </c>
      <c r="M598" t="str" cm="1">
        <f t="array" ref="M598">_xlfn.IFS(INFO_Pasajeros[[#This Row],[Edad]]&lt;=13,"Niños",INFO_Pasajeros[[#This Row],[Edad]]&lt;=18,"Jóvenes",INFO_Pasajeros[[#This Row],[Edad]]&lt;=50,"Adultos",INFO_Pasajeros[[#This Row],[Edad]]&gt;=51,"Adultos Mayores")</f>
        <v>Adultos Mayores</v>
      </c>
    </row>
    <row r="599" spans="1:13" x14ac:dyDescent="0.25">
      <c r="A599" s="3" t="s">
        <v>1819</v>
      </c>
      <c r="B599" s="3" t="s">
        <v>902</v>
      </c>
      <c r="C599" s="3">
        <v>596</v>
      </c>
      <c r="D599" s="5">
        <v>3</v>
      </c>
      <c r="E599" s="3">
        <v>1</v>
      </c>
      <c r="F599" s="3">
        <v>1</v>
      </c>
      <c r="G599" s="3">
        <v>3</v>
      </c>
      <c r="H599" s="3">
        <v>0</v>
      </c>
      <c r="I599" s="3">
        <v>367226</v>
      </c>
      <c r="J599" s="13">
        <v>24.15</v>
      </c>
      <c r="K599" s="3" t="s">
        <v>2210</v>
      </c>
      <c r="L599" s="3" t="s">
        <v>919</v>
      </c>
      <c r="M599" t="str" cm="1">
        <f t="array" ref="M599">_xlfn.IFS(INFO_Pasajeros[[#This Row],[Edad]]&lt;=13,"Niños",INFO_Pasajeros[[#This Row],[Edad]]&lt;=18,"Jóvenes",INFO_Pasajeros[[#This Row],[Edad]]&lt;=50,"Adultos",INFO_Pasajeros[[#This Row],[Edad]]&gt;=51,"Adultos Mayores")</f>
        <v>Niños</v>
      </c>
    </row>
    <row r="600" spans="1:13" x14ac:dyDescent="0.25">
      <c r="A600" s="3" t="s">
        <v>1820</v>
      </c>
      <c r="B600" s="3" t="s">
        <v>907</v>
      </c>
      <c r="C600" s="3">
        <v>597</v>
      </c>
      <c r="D600" s="5">
        <v>78</v>
      </c>
      <c r="E600" s="3">
        <v>0</v>
      </c>
      <c r="F600" s="3">
        <v>0</v>
      </c>
      <c r="G600" s="3">
        <v>2</v>
      </c>
      <c r="H600" s="3">
        <v>1</v>
      </c>
      <c r="I600" s="3">
        <v>367228</v>
      </c>
      <c r="J600" s="13">
        <v>33</v>
      </c>
      <c r="K600" s="3" t="s">
        <v>2210</v>
      </c>
      <c r="L600" s="3" t="s">
        <v>919</v>
      </c>
      <c r="M600" t="str" cm="1">
        <f t="array" ref="M600">_xlfn.IFS(INFO_Pasajeros[[#This Row],[Edad]]&lt;=13,"Niños",INFO_Pasajeros[[#This Row],[Edad]]&lt;=18,"Jóvenes",INFO_Pasajeros[[#This Row],[Edad]]&lt;=50,"Adultos",INFO_Pasajeros[[#This Row],[Edad]]&gt;=51,"Adultos Mayores")</f>
        <v>Adultos Mayores</v>
      </c>
    </row>
    <row r="601" spans="1:13" x14ac:dyDescent="0.25">
      <c r="A601" s="3" t="s">
        <v>1821</v>
      </c>
      <c r="B601" s="3" t="s">
        <v>902</v>
      </c>
      <c r="C601" s="3">
        <v>598</v>
      </c>
      <c r="D601" s="5">
        <v>57</v>
      </c>
      <c r="E601" s="3">
        <v>0</v>
      </c>
      <c r="F601" s="3">
        <v>0</v>
      </c>
      <c r="G601" s="3">
        <v>3</v>
      </c>
      <c r="H601" s="3">
        <v>0</v>
      </c>
      <c r="I601" s="3">
        <v>367229</v>
      </c>
      <c r="J601" s="13">
        <v>0</v>
      </c>
      <c r="K601" s="3" t="s">
        <v>2210</v>
      </c>
      <c r="L601" s="3" t="s">
        <v>919</v>
      </c>
      <c r="M601" t="str" cm="1">
        <f t="array" ref="M601">_xlfn.IFS(INFO_Pasajeros[[#This Row],[Edad]]&lt;=13,"Niños",INFO_Pasajeros[[#This Row],[Edad]]&lt;=18,"Jóvenes",INFO_Pasajeros[[#This Row],[Edad]]&lt;=50,"Adultos",INFO_Pasajeros[[#This Row],[Edad]]&gt;=51,"Adultos Mayores")</f>
        <v>Adultos Mayores</v>
      </c>
    </row>
    <row r="602" spans="1:13" x14ac:dyDescent="0.25">
      <c r="A602" s="3" t="s">
        <v>1822</v>
      </c>
      <c r="B602" s="3" t="s">
        <v>902</v>
      </c>
      <c r="C602" s="3">
        <v>599</v>
      </c>
      <c r="D602" s="5">
        <v>59</v>
      </c>
      <c r="E602" s="3">
        <v>0</v>
      </c>
      <c r="F602" s="3">
        <v>0</v>
      </c>
      <c r="G602" s="3">
        <v>3</v>
      </c>
      <c r="H602" s="3">
        <v>0</v>
      </c>
      <c r="I602" s="3">
        <v>367230</v>
      </c>
      <c r="J602" s="13">
        <v>7.2249999999999996</v>
      </c>
      <c r="K602" s="3" t="s">
        <v>2210</v>
      </c>
      <c r="L602" s="3" t="s">
        <v>919</v>
      </c>
      <c r="M602" t="str" cm="1">
        <f t="array" ref="M602">_xlfn.IFS(INFO_Pasajeros[[#This Row],[Edad]]&lt;=13,"Niños",INFO_Pasajeros[[#This Row],[Edad]]&lt;=18,"Jóvenes",INFO_Pasajeros[[#This Row],[Edad]]&lt;=50,"Adultos",INFO_Pasajeros[[#This Row],[Edad]]&gt;=51,"Adultos Mayores")</f>
        <v>Adultos Mayores</v>
      </c>
    </row>
    <row r="603" spans="1:13" x14ac:dyDescent="0.25">
      <c r="A603" s="3" t="s">
        <v>1823</v>
      </c>
      <c r="B603" s="3" t="s">
        <v>902</v>
      </c>
      <c r="C603" s="3">
        <v>600</v>
      </c>
      <c r="D603" s="5">
        <v>24</v>
      </c>
      <c r="E603" s="3">
        <v>0</v>
      </c>
      <c r="F603" s="3">
        <v>1</v>
      </c>
      <c r="G603" s="3">
        <v>1</v>
      </c>
      <c r="H603" s="3">
        <v>1</v>
      </c>
      <c r="I603" s="3">
        <v>367230</v>
      </c>
      <c r="J603" s="13">
        <v>569.29200000000003</v>
      </c>
      <c r="K603" s="3" t="s">
        <v>2210</v>
      </c>
      <c r="L603" s="3" t="s">
        <v>919</v>
      </c>
      <c r="M603" t="str" cm="1">
        <f t="array" ref="M603">_xlfn.IFS(INFO_Pasajeros[[#This Row],[Edad]]&lt;=13,"Niños",INFO_Pasajeros[[#This Row],[Edad]]&lt;=18,"Jóvenes",INFO_Pasajeros[[#This Row],[Edad]]&lt;=50,"Adultos",INFO_Pasajeros[[#This Row],[Edad]]&gt;=51,"Adultos Mayores")</f>
        <v>Adultos</v>
      </c>
    </row>
    <row r="604" spans="1:13" x14ac:dyDescent="0.25">
      <c r="A604" s="3" t="s">
        <v>1825</v>
      </c>
      <c r="B604" s="3" t="s">
        <v>907</v>
      </c>
      <c r="C604" s="3">
        <v>601</v>
      </c>
      <c r="D604" s="5">
        <v>16</v>
      </c>
      <c r="E604" s="3">
        <v>1</v>
      </c>
      <c r="F604" s="3">
        <v>2</v>
      </c>
      <c r="G604" s="3">
        <v>2</v>
      </c>
      <c r="H604" s="3">
        <v>1</v>
      </c>
      <c r="I604" s="3">
        <v>367231</v>
      </c>
      <c r="J604" s="13">
        <v>27</v>
      </c>
      <c r="K604" s="3" t="s">
        <v>2210</v>
      </c>
      <c r="L604" s="3" t="s">
        <v>919</v>
      </c>
      <c r="M604" t="str" cm="1">
        <f t="array" ref="M604">_xlfn.IFS(INFO_Pasajeros[[#This Row],[Edad]]&lt;=13,"Niños",INFO_Pasajeros[[#This Row],[Edad]]&lt;=18,"Jóvenes",INFO_Pasajeros[[#This Row],[Edad]]&lt;=50,"Adultos",INFO_Pasajeros[[#This Row],[Edad]]&gt;=51,"Adultos Mayores")</f>
        <v>Jóvenes</v>
      </c>
    </row>
    <row r="605" spans="1:13" x14ac:dyDescent="0.25">
      <c r="A605" s="3" t="s">
        <v>1826</v>
      </c>
      <c r="B605" s="3" t="s">
        <v>902</v>
      </c>
      <c r="C605" s="3">
        <v>602</v>
      </c>
      <c r="D605" s="5">
        <v>41</v>
      </c>
      <c r="E605" s="3">
        <v>0</v>
      </c>
      <c r="F605" s="3">
        <v>0</v>
      </c>
      <c r="G605" s="3">
        <v>3</v>
      </c>
      <c r="H605" s="3">
        <v>0</v>
      </c>
      <c r="I605" s="3">
        <v>367232</v>
      </c>
      <c r="J605" s="13">
        <v>78.957999999999998</v>
      </c>
      <c r="K605" s="3" t="s">
        <v>2210</v>
      </c>
      <c r="L605" s="3" t="s">
        <v>919</v>
      </c>
      <c r="M605" t="str" cm="1">
        <f t="array" ref="M605">_xlfn.IFS(INFO_Pasajeros[[#This Row],[Edad]]&lt;=13,"Niños",INFO_Pasajeros[[#This Row],[Edad]]&lt;=18,"Jóvenes",INFO_Pasajeros[[#This Row],[Edad]]&lt;=50,"Adultos",INFO_Pasajeros[[#This Row],[Edad]]&gt;=51,"Adultos Mayores")</f>
        <v>Adultos</v>
      </c>
    </row>
    <row r="606" spans="1:13" x14ac:dyDescent="0.25">
      <c r="A606" s="3" t="s">
        <v>1827</v>
      </c>
      <c r="B606" s="3" t="s">
        <v>902</v>
      </c>
      <c r="C606" s="3">
        <v>603</v>
      </c>
      <c r="D606" s="5">
        <v>3</v>
      </c>
      <c r="E606" s="3">
        <v>0</v>
      </c>
      <c r="F606" s="3">
        <v>0</v>
      </c>
      <c r="G606" s="3">
        <v>1</v>
      </c>
      <c r="H606" s="3">
        <v>0</v>
      </c>
      <c r="I606" s="3">
        <v>367655</v>
      </c>
      <c r="J606" s="13">
        <v>42.4</v>
      </c>
      <c r="K606" s="3" t="s">
        <v>2210</v>
      </c>
      <c r="L606" s="3" t="s">
        <v>919</v>
      </c>
      <c r="M606" t="str" cm="1">
        <f t="array" ref="M606">_xlfn.IFS(INFO_Pasajeros[[#This Row],[Edad]]&lt;=13,"Niños",INFO_Pasajeros[[#This Row],[Edad]]&lt;=18,"Jóvenes",INFO_Pasajeros[[#This Row],[Edad]]&lt;=50,"Adultos",INFO_Pasajeros[[#This Row],[Edad]]&gt;=51,"Adultos Mayores")</f>
        <v>Niños</v>
      </c>
    </row>
    <row r="607" spans="1:13" x14ac:dyDescent="0.25">
      <c r="A607" s="3" t="s">
        <v>1829</v>
      </c>
      <c r="B607" s="3" t="s">
        <v>902</v>
      </c>
      <c r="C607" s="3">
        <v>604</v>
      </c>
      <c r="D607" s="5">
        <v>70</v>
      </c>
      <c r="E607" s="3">
        <v>0</v>
      </c>
      <c r="F607" s="3">
        <v>0</v>
      </c>
      <c r="G607" s="3">
        <v>3</v>
      </c>
      <c r="H607" s="3">
        <v>0</v>
      </c>
      <c r="I607" s="3">
        <v>368323</v>
      </c>
      <c r="J607" s="13">
        <v>8.0500000000000007</v>
      </c>
      <c r="K607" s="3" t="s">
        <v>2210</v>
      </c>
      <c r="L607" s="3" t="s">
        <v>919</v>
      </c>
      <c r="M607" t="str" cm="1">
        <f t="array" ref="M607">_xlfn.IFS(INFO_Pasajeros[[#This Row],[Edad]]&lt;=13,"Niños",INFO_Pasajeros[[#This Row],[Edad]]&lt;=18,"Jóvenes",INFO_Pasajeros[[#This Row],[Edad]]&lt;=50,"Adultos",INFO_Pasajeros[[#This Row],[Edad]]&gt;=51,"Adultos Mayores")</f>
        <v>Adultos Mayores</v>
      </c>
    </row>
    <row r="608" spans="1:13" x14ac:dyDescent="0.25">
      <c r="A608" s="3" t="s">
        <v>1830</v>
      </c>
      <c r="B608" s="3" t="s">
        <v>902</v>
      </c>
      <c r="C608" s="3">
        <v>605</v>
      </c>
      <c r="D608" s="5">
        <v>2</v>
      </c>
      <c r="E608" s="3">
        <v>0</v>
      </c>
      <c r="F608" s="3">
        <v>0</v>
      </c>
      <c r="G608" s="3">
        <v>1</v>
      </c>
      <c r="H608" s="3">
        <v>1</v>
      </c>
      <c r="I608" s="3">
        <v>368703</v>
      </c>
      <c r="J608" s="13">
        <v>26.55</v>
      </c>
      <c r="K608" s="3" t="s">
        <v>2210</v>
      </c>
      <c r="L608" s="3" t="s">
        <v>919</v>
      </c>
      <c r="M608" t="str" cm="1">
        <f t="array" ref="M608">_xlfn.IFS(INFO_Pasajeros[[#This Row],[Edad]]&lt;=13,"Niños",INFO_Pasajeros[[#This Row],[Edad]]&lt;=18,"Jóvenes",INFO_Pasajeros[[#This Row],[Edad]]&lt;=50,"Adultos",INFO_Pasajeros[[#This Row],[Edad]]&gt;=51,"Adultos Mayores")</f>
        <v>Niños</v>
      </c>
    </row>
    <row r="609" spans="1:13" x14ac:dyDescent="0.25">
      <c r="A609" s="3" t="s">
        <v>1831</v>
      </c>
      <c r="B609" s="3" t="s">
        <v>902</v>
      </c>
      <c r="C609" s="3">
        <v>606</v>
      </c>
      <c r="D609" s="5">
        <v>41</v>
      </c>
      <c r="E609" s="3">
        <v>0</v>
      </c>
      <c r="F609" s="3">
        <v>1</v>
      </c>
      <c r="G609" s="3">
        <v>3</v>
      </c>
      <c r="H609" s="3">
        <v>0</v>
      </c>
      <c r="I609" s="3">
        <v>370129</v>
      </c>
      <c r="J609" s="13">
        <v>15.55</v>
      </c>
      <c r="K609" s="3" t="s">
        <v>2210</v>
      </c>
      <c r="L609" s="3" t="s">
        <v>905</v>
      </c>
      <c r="M609" t="str" cm="1">
        <f t="array" ref="M609">_xlfn.IFS(INFO_Pasajeros[[#This Row],[Edad]]&lt;=13,"Niños",INFO_Pasajeros[[#This Row],[Edad]]&lt;=18,"Jóvenes",INFO_Pasajeros[[#This Row],[Edad]]&lt;=50,"Adultos",INFO_Pasajeros[[#This Row],[Edad]]&gt;=51,"Adultos Mayores")</f>
        <v>Adultos</v>
      </c>
    </row>
    <row r="610" spans="1:13" x14ac:dyDescent="0.25">
      <c r="A610" s="3" t="s">
        <v>1833</v>
      </c>
      <c r="B610" s="3" t="s">
        <v>902</v>
      </c>
      <c r="C610" s="3">
        <v>607</v>
      </c>
      <c r="D610" s="5">
        <v>18</v>
      </c>
      <c r="E610" s="3">
        <v>0</v>
      </c>
      <c r="F610" s="3">
        <v>0</v>
      </c>
      <c r="G610" s="3">
        <v>3</v>
      </c>
      <c r="H610" s="3">
        <v>0</v>
      </c>
      <c r="I610" s="3">
        <v>370129</v>
      </c>
      <c r="J610" s="13">
        <v>78.957999999999998</v>
      </c>
      <c r="K610" s="3" t="s">
        <v>2210</v>
      </c>
      <c r="L610" s="3" t="s">
        <v>905</v>
      </c>
      <c r="M610" t="str" cm="1">
        <f t="array" ref="M610">_xlfn.IFS(INFO_Pasajeros[[#This Row],[Edad]]&lt;=13,"Niños",INFO_Pasajeros[[#This Row],[Edad]]&lt;=18,"Jóvenes",INFO_Pasajeros[[#This Row],[Edad]]&lt;=50,"Adultos",INFO_Pasajeros[[#This Row],[Edad]]&gt;=51,"Adultos Mayores")</f>
        <v>Jóvenes</v>
      </c>
    </row>
    <row r="611" spans="1:13" x14ac:dyDescent="0.25">
      <c r="A611" s="3" t="s">
        <v>1834</v>
      </c>
      <c r="B611" s="3" t="s">
        <v>902</v>
      </c>
      <c r="C611" s="3">
        <v>608</v>
      </c>
      <c r="D611" s="5">
        <v>68</v>
      </c>
      <c r="E611" s="3">
        <v>0</v>
      </c>
      <c r="F611" s="3">
        <v>0</v>
      </c>
      <c r="G611" s="3">
        <v>1</v>
      </c>
      <c r="H611" s="3">
        <v>1</v>
      </c>
      <c r="I611" s="3">
        <v>370365</v>
      </c>
      <c r="J611" s="13">
        <v>30.5</v>
      </c>
      <c r="K611" s="3" t="s">
        <v>2210</v>
      </c>
      <c r="L611" s="3" t="s">
        <v>919</v>
      </c>
      <c r="M611" t="str" cm="1">
        <f t="array" ref="M611">_xlfn.IFS(INFO_Pasajeros[[#This Row],[Edad]]&lt;=13,"Niños",INFO_Pasajeros[[#This Row],[Edad]]&lt;=18,"Jóvenes",INFO_Pasajeros[[#This Row],[Edad]]&lt;=50,"Adultos",INFO_Pasajeros[[#This Row],[Edad]]&gt;=51,"Adultos Mayores")</f>
        <v>Adultos Mayores</v>
      </c>
    </row>
    <row r="612" spans="1:13" x14ac:dyDescent="0.25">
      <c r="A612" s="3" t="s">
        <v>1835</v>
      </c>
      <c r="B612" s="3" t="s">
        <v>907</v>
      </c>
      <c r="C612" s="3">
        <v>609</v>
      </c>
      <c r="D612" s="5">
        <v>26</v>
      </c>
      <c r="E612" s="3">
        <v>2</v>
      </c>
      <c r="F612" s="3">
        <v>1</v>
      </c>
      <c r="G612" s="3">
        <v>2</v>
      </c>
      <c r="H612" s="3">
        <v>1</v>
      </c>
      <c r="I612" s="3">
        <v>370365</v>
      </c>
      <c r="J612" s="13">
        <v>415.79199999999997</v>
      </c>
      <c r="K612" s="3" t="s">
        <v>2210</v>
      </c>
      <c r="L612" s="3" t="s">
        <v>919</v>
      </c>
      <c r="M612" t="str" cm="1">
        <f t="array" ref="M612">_xlfn.IFS(INFO_Pasajeros[[#This Row],[Edad]]&lt;=13,"Niños",INFO_Pasajeros[[#This Row],[Edad]]&lt;=18,"Jóvenes",INFO_Pasajeros[[#This Row],[Edad]]&lt;=50,"Adultos",INFO_Pasajeros[[#This Row],[Edad]]&gt;=51,"Adultos Mayores")</f>
        <v>Adultos</v>
      </c>
    </row>
    <row r="613" spans="1:13" x14ac:dyDescent="0.25">
      <c r="A613" s="3" t="s">
        <v>1836</v>
      </c>
      <c r="B613" s="3" t="s">
        <v>907</v>
      </c>
      <c r="C613" s="3">
        <v>610</v>
      </c>
      <c r="D613" s="5">
        <v>71</v>
      </c>
      <c r="E613" s="3">
        <v>0</v>
      </c>
      <c r="F613" s="3">
        <v>0</v>
      </c>
      <c r="G613" s="3">
        <v>1</v>
      </c>
      <c r="H613" s="3">
        <v>1</v>
      </c>
      <c r="I613" s="3">
        <v>370369</v>
      </c>
      <c r="J613" s="13">
        <v>153.46250000000001</v>
      </c>
      <c r="K613" s="3" t="s">
        <v>2210</v>
      </c>
      <c r="L613" s="3" t="s">
        <v>919</v>
      </c>
      <c r="M613" t="str" cm="1">
        <f t="array" ref="M613">_xlfn.IFS(INFO_Pasajeros[[#This Row],[Edad]]&lt;=13,"Niños",INFO_Pasajeros[[#This Row],[Edad]]&lt;=18,"Jóvenes",INFO_Pasajeros[[#This Row],[Edad]]&lt;=50,"Adultos",INFO_Pasajeros[[#This Row],[Edad]]&gt;=51,"Adultos Mayores")</f>
        <v>Adultos Mayores</v>
      </c>
    </row>
    <row r="614" spans="1:13" x14ac:dyDescent="0.25">
      <c r="A614" s="3" t="s">
        <v>1837</v>
      </c>
      <c r="B614" s="3" t="s">
        <v>907</v>
      </c>
      <c r="C614" s="3">
        <v>611</v>
      </c>
      <c r="D614" s="5">
        <v>20</v>
      </c>
      <c r="E614" s="3">
        <v>5</v>
      </c>
      <c r="F614" s="3">
        <v>1</v>
      </c>
      <c r="G614" s="3">
        <v>3</v>
      </c>
      <c r="H614" s="3">
        <v>0</v>
      </c>
      <c r="I614" s="3">
        <v>370370</v>
      </c>
      <c r="J614" s="13">
        <v>31.274999999999999</v>
      </c>
      <c r="K614" s="3" t="s">
        <v>2210</v>
      </c>
      <c r="L614" s="3" t="s">
        <v>919</v>
      </c>
      <c r="M614" t="str" cm="1">
        <f t="array" ref="M614">_xlfn.IFS(INFO_Pasajeros[[#This Row],[Edad]]&lt;=13,"Niños",INFO_Pasajeros[[#This Row],[Edad]]&lt;=18,"Jóvenes",INFO_Pasajeros[[#This Row],[Edad]]&lt;=50,"Adultos",INFO_Pasajeros[[#This Row],[Edad]]&gt;=51,"Adultos Mayores")</f>
        <v>Adultos</v>
      </c>
    </row>
    <row r="615" spans="1:13" x14ac:dyDescent="0.25">
      <c r="A615" s="3" t="s">
        <v>1838</v>
      </c>
      <c r="B615" s="3" t="s">
        <v>902</v>
      </c>
      <c r="C615" s="3">
        <v>612</v>
      </c>
      <c r="D615" s="5">
        <v>27</v>
      </c>
      <c r="E615" s="3">
        <v>0</v>
      </c>
      <c r="F615" s="3">
        <v>0</v>
      </c>
      <c r="G615" s="3">
        <v>3</v>
      </c>
      <c r="H615" s="3">
        <v>0</v>
      </c>
      <c r="I615" s="3">
        <v>370371</v>
      </c>
      <c r="J615" s="13">
        <v>7.05</v>
      </c>
      <c r="K615" s="3" t="s">
        <v>2210</v>
      </c>
      <c r="L615" s="3" t="s">
        <v>919</v>
      </c>
      <c r="M615" t="str" cm="1">
        <f t="array" ref="M615">_xlfn.IFS(INFO_Pasajeros[[#This Row],[Edad]]&lt;=13,"Niños",INFO_Pasajeros[[#This Row],[Edad]]&lt;=18,"Jóvenes",INFO_Pasajeros[[#This Row],[Edad]]&lt;=50,"Adultos",INFO_Pasajeros[[#This Row],[Edad]]&gt;=51,"Adultos Mayores")</f>
        <v>Adultos</v>
      </c>
    </row>
    <row r="616" spans="1:13" x14ac:dyDescent="0.25">
      <c r="A616" s="3" t="s">
        <v>1840</v>
      </c>
      <c r="B616" s="3" t="s">
        <v>907</v>
      </c>
      <c r="C616" s="3">
        <v>613</v>
      </c>
      <c r="D616" s="5">
        <v>49</v>
      </c>
      <c r="E616" s="3">
        <v>0</v>
      </c>
      <c r="F616" s="3">
        <v>1</v>
      </c>
      <c r="G616" s="3">
        <v>3</v>
      </c>
      <c r="H616" s="3">
        <v>1</v>
      </c>
      <c r="I616" s="3">
        <v>370372</v>
      </c>
      <c r="J616" s="13">
        <v>15.5</v>
      </c>
      <c r="K616" s="3" t="s">
        <v>2210</v>
      </c>
      <c r="L616" s="3" t="s">
        <v>919</v>
      </c>
      <c r="M616" t="str" cm="1">
        <f t="array" ref="M616">_xlfn.IFS(INFO_Pasajeros[[#This Row],[Edad]]&lt;=13,"Niños",INFO_Pasajeros[[#This Row],[Edad]]&lt;=18,"Jóvenes",INFO_Pasajeros[[#This Row],[Edad]]&lt;=50,"Adultos",INFO_Pasajeros[[#This Row],[Edad]]&gt;=51,"Adultos Mayores")</f>
        <v>Adultos</v>
      </c>
    </row>
    <row r="617" spans="1:13" x14ac:dyDescent="0.25">
      <c r="A617" s="3" t="s">
        <v>1841</v>
      </c>
      <c r="B617" s="3" t="s">
        <v>902</v>
      </c>
      <c r="C617" s="3">
        <v>614</v>
      </c>
      <c r="D617" s="5">
        <v>22</v>
      </c>
      <c r="E617" s="3">
        <v>0</v>
      </c>
      <c r="F617" s="3">
        <v>0</v>
      </c>
      <c r="G617" s="3">
        <v>3</v>
      </c>
      <c r="H617" s="3">
        <v>0</v>
      </c>
      <c r="I617" s="3">
        <v>370373</v>
      </c>
      <c r="J617" s="13">
        <v>7.75</v>
      </c>
      <c r="K617" s="3" t="s">
        <v>2210</v>
      </c>
      <c r="L617" s="3" t="s">
        <v>919</v>
      </c>
      <c r="M617" t="str" cm="1">
        <f t="array" ref="M617">_xlfn.IFS(INFO_Pasajeros[[#This Row],[Edad]]&lt;=13,"Niños",INFO_Pasajeros[[#This Row],[Edad]]&lt;=18,"Jóvenes",INFO_Pasajeros[[#This Row],[Edad]]&lt;=50,"Adultos",INFO_Pasajeros[[#This Row],[Edad]]&gt;=51,"Adultos Mayores")</f>
        <v>Adultos</v>
      </c>
    </row>
    <row r="618" spans="1:13" x14ac:dyDescent="0.25">
      <c r="A618" s="3" t="s">
        <v>1842</v>
      </c>
      <c r="B618" s="3" t="s">
        <v>902</v>
      </c>
      <c r="C618" s="3">
        <v>615</v>
      </c>
      <c r="D618" s="5">
        <v>5</v>
      </c>
      <c r="E618" s="3">
        <v>0</v>
      </c>
      <c r="F618" s="3">
        <v>0</v>
      </c>
      <c r="G618" s="3">
        <v>3</v>
      </c>
      <c r="H618" s="3">
        <v>0</v>
      </c>
      <c r="I618" s="3">
        <v>370375</v>
      </c>
      <c r="J618" s="13">
        <v>8.0500000000000007</v>
      </c>
      <c r="K618" s="3" t="s">
        <v>2210</v>
      </c>
      <c r="L618" s="3" t="s">
        <v>919</v>
      </c>
      <c r="M618" t="str" cm="1">
        <f t="array" ref="M618">_xlfn.IFS(INFO_Pasajeros[[#This Row],[Edad]]&lt;=13,"Niños",INFO_Pasajeros[[#This Row],[Edad]]&lt;=18,"Jóvenes",INFO_Pasajeros[[#This Row],[Edad]]&lt;=50,"Adultos",INFO_Pasajeros[[#This Row],[Edad]]&gt;=51,"Adultos Mayores")</f>
        <v>Niños</v>
      </c>
    </row>
    <row r="619" spans="1:13" x14ac:dyDescent="0.25">
      <c r="A619" s="3" t="s">
        <v>1843</v>
      </c>
      <c r="B619" s="3" t="s">
        <v>907</v>
      </c>
      <c r="C619" s="3">
        <v>616</v>
      </c>
      <c r="D619" s="5">
        <v>32</v>
      </c>
      <c r="E619" s="3">
        <v>2</v>
      </c>
      <c r="F619" s="3">
        <v>1</v>
      </c>
      <c r="G619" s="3">
        <v>2</v>
      </c>
      <c r="H619" s="3">
        <v>1</v>
      </c>
      <c r="I619" s="3">
        <v>370376</v>
      </c>
      <c r="J619" s="13">
        <v>65</v>
      </c>
      <c r="K619" s="3" t="s">
        <v>2210</v>
      </c>
      <c r="L619" s="3" t="s">
        <v>919</v>
      </c>
      <c r="M619" t="str" cm="1">
        <f t="array" ref="M619">_xlfn.IFS(INFO_Pasajeros[[#This Row],[Edad]]&lt;=13,"Niños",INFO_Pasajeros[[#This Row],[Edad]]&lt;=18,"Jóvenes",INFO_Pasajeros[[#This Row],[Edad]]&lt;=50,"Adultos",INFO_Pasajeros[[#This Row],[Edad]]&gt;=51,"Adultos Mayores")</f>
        <v>Adultos</v>
      </c>
    </row>
    <row r="620" spans="1:13" x14ac:dyDescent="0.25">
      <c r="A620" s="3" t="s">
        <v>1844</v>
      </c>
      <c r="B620" s="3" t="s">
        <v>902</v>
      </c>
      <c r="C620" s="3">
        <v>617</v>
      </c>
      <c r="D620" s="5">
        <v>65</v>
      </c>
      <c r="E620" s="3">
        <v>1</v>
      </c>
      <c r="F620" s="3">
        <v>1</v>
      </c>
      <c r="G620" s="3">
        <v>3</v>
      </c>
      <c r="H620" s="3">
        <v>0</v>
      </c>
      <c r="I620" s="3">
        <v>370377</v>
      </c>
      <c r="J620" s="13">
        <v>14.4</v>
      </c>
      <c r="K620" s="3" t="s">
        <v>2210</v>
      </c>
      <c r="L620" s="3" t="s">
        <v>919</v>
      </c>
      <c r="M620" t="str" cm="1">
        <f t="array" ref="M620">_xlfn.IFS(INFO_Pasajeros[[#This Row],[Edad]]&lt;=13,"Niños",INFO_Pasajeros[[#This Row],[Edad]]&lt;=18,"Jóvenes",INFO_Pasajeros[[#This Row],[Edad]]&lt;=50,"Adultos",INFO_Pasajeros[[#This Row],[Edad]]&gt;=51,"Adultos Mayores")</f>
        <v>Adultos Mayores</v>
      </c>
    </row>
    <row r="621" spans="1:13" x14ac:dyDescent="0.25">
      <c r="A621" s="3" t="s">
        <v>1845</v>
      </c>
      <c r="B621" s="3" t="s">
        <v>907</v>
      </c>
      <c r="C621" s="3">
        <v>618</v>
      </c>
      <c r="D621" s="5">
        <v>22</v>
      </c>
      <c r="E621" s="3">
        <v>0</v>
      </c>
      <c r="F621" s="3">
        <v>1</v>
      </c>
      <c r="G621" s="3">
        <v>3</v>
      </c>
      <c r="H621" s="3">
        <v>0</v>
      </c>
      <c r="I621" s="3">
        <v>371060</v>
      </c>
      <c r="J621" s="13">
        <v>16.100000000000001</v>
      </c>
      <c r="K621" s="3" t="s">
        <v>2210</v>
      </c>
      <c r="L621" s="3" t="s">
        <v>919</v>
      </c>
      <c r="M621" t="str" cm="1">
        <f t="array" ref="M621">_xlfn.IFS(INFO_Pasajeros[[#This Row],[Edad]]&lt;=13,"Niños",INFO_Pasajeros[[#This Row],[Edad]]&lt;=18,"Jóvenes",INFO_Pasajeros[[#This Row],[Edad]]&lt;=50,"Adultos",INFO_Pasajeros[[#This Row],[Edad]]&gt;=51,"Adultos Mayores")</f>
        <v>Adultos</v>
      </c>
    </row>
    <row r="622" spans="1:13" x14ac:dyDescent="0.25">
      <c r="A622" s="3" t="s">
        <v>1846</v>
      </c>
      <c r="B622" s="3" t="s">
        <v>907</v>
      </c>
      <c r="C622" s="3">
        <v>619</v>
      </c>
      <c r="D622" s="5">
        <v>43</v>
      </c>
      <c r="E622" s="3">
        <v>1</v>
      </c>
      <c r="F622" s="3">
        <v>2</v>
      </c>
      <c r="G622" s="3">
        <v>2</v>
      </c>
      <c r="H622" s="3">
        <v>1</v>
      </c>
      <c r="I622" s="3">
        <v>371110</v>
      </c>
      <c r="J622" s="13">
        <v>39</v>
      </c>
      <c r="K622" s="3" t="s">
        <v>2210</v>
      </c>
      <c r="L622" s="3" t="s">
        <v>919</v>
      </c>
      <c r="M622" t="str" cm="1">
        <f t="array" ref="M622">_xlfn.IFS(INFO_Pasajeros[[#This Row],[Edad]]&lt;=13,"Niños",INFO_Pasajeros[[#This Row],[Edad]]&lt;=18,"Jóvenes",INFO_Pasajeros[[#This Row],[Edad]]&lt;=50,"Adultos",INFO_Pasajeros[[#This Row],[Edad]]&gt;=51,"Adultos Mayores")</f>
        <v>Adultos</v>
      </c>
    </row>
    <row r="623" spans="1:13" x14ac:dyDescent="0.25">
      <c r="A623" s="3" t="s">
        <v>1847</v>
      </c>
      <c r="B623" s="3" t="s">
        <v>902</v>
      </c>
      <c r="C623" s="3">
        <v>620</v>
      </c>
      <c r="D623" s="5">
        <v>2</v>
      </c>
      <c r="E623" s="3">
        <v>0</v>
      </c>
      <c r="F623" s="3">
        <v>0</v>
      </c>
      <c r="G623" s="3">
        <v>2</v>
      </c>
      <c r="H623" s="3">
        <v>0</v>
      </c>
      <c r="I623" s="3">
        <v>371110</v>
      </c>
      <c r="J623" s="13">
        <v>10.5</v>
      </c>
      <c r="K623" s="3" t="s">
        <v>2210</v>
      </c>
      <c r="L623" s="3" t="s">
        <v>919</v>
      </c>
      <c r="M623" t="str" cm="1">
        <f t="array" ref="M623">_xlfn.IFS(INFO_Pasajeros[[#This Row],[Edad]]&lt;=13,"Niños",INFO_Pasajeros[[#This Row],[Edad]]&lt;=18,"Jóvenes",INFO_Pasajeros[[#This Row],[Edad]]&lt;=50,"Adultos",INFO_Pasajeros[[#This Row],[Edad]]&gt;=51,"Adultos Mayores")</f>
        <v>Niños</v>
      </c>
    </row>
    <row r="624" spans="1:13" x14ac:dyDescent="0.25">
      <c r="A624" s="3" t="s">
        <v>1848</v>
      </c>
      <c r="B624" s="3" t="s">
        <v>902</v>
      </c>
      <c r="C624" s="3">
        <v>621</v>
      </c>
      <c r="D624" s="5">
        <v>8</v>
      </c>
      <c r="E624" s="3">
        <v>0</v>
      </c>
      <c r="F624" s="3">
        <v>1</v>
      </c>
      <c r="G624" s="3">
        <v>3</v>
      </c>
      <c r="H624" s="3">
        <v>0</v>
      </c>
      <c r="I624" s="3">
        <v>371110</v>
      </c>
      <c r="J624" s="13">
        <v>144.542</v>
      </c>
      <c r="K624" s="3" t="s">
        <v>2210</v>
      </c>
      <c r="L624" s="3" t="s">
        <v>919</v>
      </c>
      <c r="M624" t="str" cm="1">
        <f t="array" ref="M624">_xlfn.IFS(INFO_Pasajeros[[#This Row],[Edad]]&lt;=13,"Niños",INFO_Pasajeros[[#This Row],[Edad]]&lt;=18,"Jóvenes",INFO_Pasajeros[[#This Row],[Edad]]&lt;=50,"Adultos",INFO_Pasajeros[[#This Row],[Edad]]&gt;=51,"Adultos Mayores")</f>
        <v>Niños</v>
      </c>
    </row>
    <row r="625" spans="1:13" x14ac:dyDescent="0.25">
      <c r="A625" s="3" t="s">
        <v>1849</v>
      </c>
      <c r="B625" s="3" t="s">
        <v>902</v>
      </c>
      <c r="C625" s="3">
        <v>622</v>
      </c>
      <c r="D625" s="5">
        <v>44</v>
      </c>
      <c r="E625" s="3">
        <v>0</v>
      </c>
      <c r="F625" s="3">
        <v>1</v>
      </c>
      <c r="G625" s="3">
        <v>1</v>
      </c>
      <c r="H625" s="3">
        <v>1</v>
      </c>
      <c r="I625" s="3">
        <v>371362</v>
      </c>
      <c r="J625" s="13">
        <v>525.54200000000003</v>
      </c>
      <c r="K625" s="3" t="s">
        <v>2210</v>
      </c>
      <c r="L625" s="3" t="s">
        <v>905</v>
      </c>
      <c r="M625" t="str" cm="1">
        <f t="array" ref="M625">_xlfn.IFS(INFO_Pasajeros[[#This Row],[Edad]]&lt;=13,"Niños",INFO_Pasajeros[[#This Row],[Edad]]&lt;=18,"Jóvenes",INFO_Pasajeros[[#This Row],[Edad]]&lt;=50,"Adultos",INFO_Pasajeros[[#This Row],[Edad]]&gt;=51,"Adultos Mayores")</f>
        <v>Adultos</v>
      </c>
    </row>
    <row r="626" spans="1:13" x14ac:dyDescent="0.25">
      <c r="A626" s="3" t="s">
        <v>1851</v>
      </c>
      <c r="B626" s="3" t="s">
        <v>902</v>
      </c>
      <c r="C626" s="3">
        <v>623</v>
      </c>
      <c r="D626" s="5">
        <v>67</v>
      </c>
      <c r="E626" s="3">
        <v>1</v>
      </c>
      <c r="F626" s="3">
        <v>1</v>
      </c>
      <c r="G626" s="3">
        <v>3</v>
      </c>
      <c r="H626" s="3">
        <v>1</v>
      </c>
      <c r="I626" s="3">
        <v>372622</v>
      </c>
      <c r="J626" s="13">
        <v>157.417</v>
      </c>
      <c r="K626" s="3" t="s">
        <v>2210</v>
      </c>
      <c r="L626" s="3" t="s">
        <v>919</v>
      </c>
      <c r="M626" t="str" cm="1">
        <f t="array" ref="M626">_xlfn.IFS(INFO_Pasajeros[[#This Row],[Edad]]&lt;=13,"Niños",INFO_Pasajeros[[#This Row],[Edad]]&lt;=18,"Jóvenes",INFO_Pasajeros[[#This Row],[Edad]]&lt;=50,"Adultos",INFO_Pasajeros[[#This Row],[Edad]]&gt;=51,"Adultos Mayores")</f>
        <v>Adultos Mayores</v>
      </c>
    </row>
    <row r="627" spans="1:13" x14ac:dyDescent="0.25">
      <c r="A627" s="3" t="s">
        <v>1852</v>
      </c>
      <c r="B627" s="3" t="s">
        <v>902</v>
      </c>
      <c r="C627" s="3">
        <v>624</v>
      </c>
      <c r="D627" s="5">
        <v>35</v>
      </c>
      <c r="E627" s="3">
        <v>0</v>
      </c>
      <c r="F627" s="3">
        <v>0</v>
      </c>
      <c r="G627" s="3">
        <v>3</v>
      </c>
      <c r="H627" s="3">
        <v>0</v>
      </c>
      <c r="I627" s="3">
        <v>373450</v>
      </c>
      <c r="J627" s="13">
        <v>78.542000000000002</v>
      </c>
      <c r="K627" s="3" t="s">
        <v>2210</v>
      </c>
      <c r="L627" s="3" t="s">
        <v>905</v>
      </c>
      <c r="M627" t="str" cm="1">
        <f t="array" ref="M627">_xlfn.IFS(INFO_Pasajeros[[#This Row],[Edad]]&lt;=13,"Niños",INFO_Pasajeros[[#This Row],[Edad]]&lt;=18,"Jóvenes",INFO_Pasajeros[[#This Row],[Edad]]&lt;=50,"Adultos",INFO_Pasajeros[[#This Row],[Edad]]&gt;=51,"Adultos Mayores")</f>
        <v>Adultos</v>
      </c>
    </row>
    <row r="628" spans="1:13" x14ac:dyDescent="0.25">
      <c r="A628" s="3" t="s">
        <v>1853</v>
      </c>
      <c r="B628" s="3" t="s">
        <v>902</v>
      </c>
      <c r="C628" s="3">
        <v>625</v>
      </c>
      <c r="D628" s="5">
        <v>36</v>
      </c>
      <c r="E628" s="3">
        <v>0</v>
      </c>
      <c r="F628" s="3">
        <v>0</v>
      </c>
      <c r="G628" s="3">
        <v>3</v>
      </c>
      <c r="H628" s="3">
        <v>0</v>
      </c>
      <c r="I628" s="3">
        <v>374746</v>
      </c>
      <c r="J628" s="13">
        <v>16.100000000000001</v>
      </c>
      <c r="K628" s="3" t="s">
        <v>2210</v>
      </c>
      <c r="L628" s="3" t="s">
        <v>905</v>
      </c>
      <c r="M628" t="str" cm="1">
        <f t="array" ref="M628">_xlfn.IFS(INFO_Pasajeros[[#This Row],[Edad]]&lt;=13,"Niños",INFO_Pasajeros[[#This Row],[Edad]]&lt;=18,"Jóvenes",INFO_Pasajeros[[#This Row],[Edad]]&lt;=50,"Adultos",INFO_Pasajeros[[#This Row],[Edad]]&gt;=51,"Adultos Mayores")</f>
        <v>Adultos</v>
      </c>
    </row>
    <row r="629" spans="1:13" x14ac:dyDescent="0.25">
      <c r="A629" s="3" t="s">
        <v>1854</v>
      </c>
      <c r="B629" s="3" t="s">
        <v>902</v>
      </c>
      <c r="C629" s="3">
        <v>626</v>
      </c>
      <c r="D629" s="5">
        <v>25</v>
      </c>
      <c r="E629" s="3">
        <v>0</v>
      </c>
      <c r="F629" s="3">
        <v>0</v>
      </c>
      <c r="G629" s="3">
        <v>1</v>
      </c>
      <c r="H629" s="3">
        <v>0</v>
      </c>
      <c r="I629" s="3">
        <v>374887</v>
      </c>
      <c r="J629" s="13">
        <v>323.20800000000003</v>
      </c>
      <c r="K629" s="3" t="s">
        <v>2210</v>
      </c>
      <c r="L629" s="3" t="s">
        <v>905</v>
      </c>
      <c r="M629" t="str" cm="1">
        <f t="array" ref="M629">_xlfn.IFS(INFO_Pasajeros[[#This Row],[Edad]]&lt;=13,"Niños",INFO_Pasajeros[[#This Row],[Edad]]&lt;=18,"Jóvenes",INFO_Pasajeros[[#This Row],[Edad]]&lt;=50,"Adultos",INFO_Pasajeros[[#This Row],[Edad]]&gt;=51,"Adultos Mayores")</f>
        <v>Adultos</v>
      </c>
    </row>
    <row r="630" spans="1:13" x14ac:dyDescent="0.25">
      <c r="A630" s="3" t="s">
        <v>1856</v>
      </c>
      <c r="B630" s="3" t="s">
        <v>902</v>
      </c>
      <c r="C630" s="3">
        <v>627</v>
      </c>
      <c r="D630" s="5">
        <v>2</v>
      </c>
      <c r="E630" s="3">
        <v>0</v>
      </c>
      <c r="F630" s="3">
        <v>0</v>
      </c>
      <c r="G630" s="3">
        <v>2</v>
      </c>
      <c r="H630" s="3">
        <v>0</v>
      </c>
      <c r="I630" s="3">
        <v>374910</v>
      </c>
      <c r="J630" s="13">
        <v>12.35</v>
      </c>
      <c r="K630" s="3" t="s">
        <v>2210</v>
      </c>
      <c r="L630" s="3" t="s">
        <v>905</v>
      </c>
      <c r="M630" t="str" cm="1">
        <f t="array" ref="M630">_xlfn.IFS(INFO_Pasajeros[[#This Row],[Edad]]&lt;=13,"Niños",INFO_Pasajeros[[#This Row],[Edad]]&lt;=18,"Jóvenes",INFO_Pasajeros[[#This Row],[Edad]]&lt;=50,"Adultos",INFO_Pasajeros[[#This Row],[Edad]]&gt;=51,"Adultos Mayores")</f>
        <v>Niños</v>
      </c>
    </row>
    <row r="631" spans="1:13" x14ac:dyDescent="0.25">
      <c r="A631" s="3" t="s">
        <v>1857</v>
      </c>
      <c r="B631" s="3" t="s">
        <v>907</v>
      </c>
      <c r="C631" s="3">
        <v>628</v>
      </c>
      <c r="D631" s="5">
        <v>65</v>
      </c>
      <c r="E631" s="3">
        <v>0</v>
      </c>
      <c r="F631" s="3">
        <v>0</v>
      </c>
      <c r="G631" s="3">
        <v>1</v>
      </c>
      <c r="H631" s="3">
        <v>1</v>
      </c>
      <c r="I631" s="3">
        <v>376564</v>
      </c>
      <c r="J631" s="13">
        <v>779.58299999999997</v>
      </c>
      <c r="K631" s="3" t="s">
        <v>2210</v>
      </c>
      <c r="L631" s="3" t="s">
        <v>905</v>
      </c>
      <c r="M631" t="str" cm="1">
        <f t="array" ref="M631">_xlfn.IFS(INFO_Pasajeros[[#This Row],[Edad]]&lt;=13,"Niños",INFO_Pasajeros[[#This Row],[Edad]]&lt;=18,"Jóvenes",INFO_Pasajeros[[#This Row],[Edad]]&lt;=50,"Adultos",INFO_Pasajeros[[#This Row],[Edad]]&gt;=51,"Adultos Mayores")</f>
        <v>Adultos Mayores</v>
      </c>
    </row>
    <row r="632" spans="1:13" x14ac:dyDescent="0.25">
      <c r="A632" s="3" t="s">
        <v>1859</v>
      </c>
      <c r="B632" s="3" t="s">
        <v>902</v>
      </c>
      <c r="C632" s="3">
        <v>629</v>
      </c>
      <c r="D632" s="5">
        <v>43</v>
      </c>
      <c r="E632" s="3">
        <v>0</v>
      </c>
      <c r="F632" s="3">
        <v>0</v>
      </c>
      <c r="G632" s="3">
        <v>3</v>
      </c>
      <c r="H632" s="3">
        <v>0</v>
      </c>
      <c r="I632" s="3">
        <v>376564</v>
      </c>
      <c r="J632" s="13">
        <v>78.957999999999998</v>
      </c>
      <c r="K632" s="3" t="s">
        <v>2210</v>
      </c>
      <c r="L632" s="3" t="s">
        <v>905</v>
      </c>
      <c r="M632" t="str" cm="1">
        <f t="array" ref="M632">_xlfn.IFS(INFO_Pasajeros[[#This Row],[Edad]]&lt;=13,"Niños",INFO_Pasajeros[[#This Row],[Edad]]&lt;=18,"Jóvenes",INFO_Pasajeros[[#This Row],[Edad]]&lt;=50,"Adultos",INFO_Pasajeros[[#This Row],[Edad]]&gt;=51,"Adultos Mayores")</f>
        <v>Adultos</v>
      </c>
    </row>
    <row r="633" spans="1:13" x14ac:dyDescent="0.25">
      <c r="A633" s="3" t="s">
        <v>1860</v>
      </c>
      <c r="B633" s="3" t="s">
        <v>902</v>
      </c>
      <c r="C633" s="3">
        <v>630</v>
      </c>
      <c r="D633" s="5">
        <v>24</v>
      </c>
      <c r="E633" s="3">
        <v>0</v>
      </c>
      <c r="F633" s="3">
        <v>0</v>
      </c>
      <c r="G633" s="3">
        <v>3</v>
      </c>
      <c r="H633" s="3">
        <v>0</v>
      </c>
      <c r="I633" s="3">
        <v>376566</v>
      </c>
      <c r="J633" s="13">
        <v>77.332999999999998</v>
      </c>
      <c r="K633" s="3" t="s">
        <v>2210</v>
      </c>
      <c r="L633" s="3" t="s">
        <v>905</v>
      </c>
      <c r="M633" t="str" cm="1">
        <f t="array" ref="M633">_xlfn.IFS(INFO_Pasajeros[[#This Row],[Edad]]&lt;=13,"Niños",INFO_Pasajeros[[#This Row],[Edad]]&lt;=18,"Jóvenes",INFO_Pasajeros[[#This Row],[Edad]]&lt;=50,"Adultos",INFO_Pasajeros[[#This Row],[Edad]]&gt;=51,"Adultos Mayores")</f>
        <v>Adultos</v>
      </c>
    </row>
    <row r="634" spans="1:13" x14ac:dyDescent="0.25">
      <c r="A634" s="3" t="s">
        <v>1861</v>
      </c>
      <c r="B634" s="3" t="s">
        <v>902</v>
      </c>
      <c r="C634" s="3">
        <v>631</v>
      </c>
      <c r="D634" s="5">
        <v>15</v>
      </c>
      <c r="E634" s="3">
        <v>0</v>
      </c>
      <c r="F634" s="3">
        <v>0</v>
      </c>
      <c r="G634" s="3">
        <v>1</v>
      </c>
      <c r="H634" s="3">
        <v>1</v>
      </c>
      <c r="I634" s="3">
        <v>382649</v>
      </c>
      <c r="J634" s="13">
        <v>30</v>
      </c>
      <c r="K634" s="3" t="s">
        <v>2210</v>
      </c>
      <c r="L634" s="3" t="s">
        <v>919</v>
      </c>
      <c r="M634" t="str" cm="1">
        <f t="array" ref="M634">_xlfn.IFS(INFO_Pasajeros[[#This Row],[Edad]]&lt;=13,"Niños",INFO_Pasajeros[[#This Row],[Edad]]&lt;=18,"Jóvenes",INFO_Pasajeros[[#This Row],[Edad]]&lt;=50,"Adultos",INFO_Pasajeros[[#This Row],[Edad]]&gt;=51,"Adultos Mayores")</f>
        <v>Jóvenes</v>
      </c>
    </row>
    <row r="635" spans="1:13" x14ac:dyDescent="0.25">
      <c r="A635" s="3" t="s">
        <v>1863</v>
      </c>
      <c r="B635" s="3" t="s">
        <v>902</v>
      </c>
      <c r="C635" s="3">
        <v>632</v>
      </c>
      <c r="D635" s="5">
        <v>29</v>
      </c>
      <c r="E635" s="3">
        <v>0</v>
      </c>
      <c r="F635" s="3">
        <v>0</v>
      </c>
      <c r="G635" s="3">
        <v>3</v>
      </c>
      <c r="H635" s="3">
        <v>0</v>
      </c>
      <c r="I635" s="3">
        <v>382651</v>
      </c>
      <c r="J635" s="13">
        <v>70.542000000000002</v>
      </c>
      <c r="K635" s="3" t="s">
        <v>2210</v>
      </c>
      <c r="L635" s="3" t="s">
        <v>919</v>
      </c>
      <c r="M635" t="str" cm="1">
        <f t="array" ref="M635">_xlfn.IFS(INFO_Pasajeros[[#This Row],[Edad]]&lt;=13,"Niños",INFO_Pasajeros[[#This Row],[Edad]]&lt;=18,"Jóvenes",INFO_Pasajeros[[#This Row],[Edad]]&lt;=50,"Adultos",INFO_Pasajeros[[#This Row],[Edad]]&gt;=51,"Adultos Mayores")</f>
        <v>Adultos</v>
      </c>
    </row>
    <row r="636" spans="1:13" x14ac:dyDescent="0.25">
      <c r="A636" s="3" t="s">
        <v>1864</v>
      </c>
      <c r="B636" s="3" t="s">
        <v>902</v>
      </c>
      <c r="C636" s="3">
        <v>633</v>
      </c>
      <c r="D636" s="5">
        <v>2</v>
      </c>
      <c r="E636" s="3">
        <v>0</v>
      </c>
      <c r="F636" s="3">
        <v>0</v>
      </c>
      <c r="G636" s="3">
        <v>1</v>
      </c>
      <c r="H636" s="3">
        <v>1</v>
      </c>
      <c r="I636" s="3">
        <v>382652</v>
      </c>
      <c r="J636" s="13">
        <v>30.5</v>
      </c>
      <c r="K636" s="3" t="s">
        <v>2210</v>
      </c>
      <c r="L636" s="3" t="s">
        <v>919</v>
      </c>
      <c r="M636" t="str" cm="1">
        <f t="array" ref="M636">_xlfn.IFS(INFO_Pasajeros[[#This Row],[Edad]]&lt;=13,"Niños",INFO_Pasajeros[[#This Row],[Edad]]&lt;=18,"Jóvenes",INFO_Pasajeros[[#This Row],[Edad]]&lt;=50,"Adultos",INFO_Pasajeros[[#This Row],[Edad]]&gt;=51,"Adultos Mayores")</f>
        <v>Niños</v>
      </c>
    </row>
    <row r="637" spans="1:13" x14ac:dyDescent="0.25">
      <c r="A637" s="3" t="s">
        <v>1866</v>
      </c>
      <c r="B637" s="3" t="s">
        <v>902</v>
      </c>
      <c r="C637" s="3">
        <v>634</v>
      </c>
      <c r="D637" s="5">
        <v>4</v>
      </c>
      <c r="E637" s="3">
        <v>0</v>
      </c>
      <c r="F637" s="3">
        <v>0</v>
      </c>
      <c r="G637" s="3">
        <v>1</v>
      </c>
      <c r="H637" s="3">
        <v>0</v>
      </c>
      <c r="I637" s="3">
        <v>382652</v>
      </c>
      <c r="J637" s="13">
        <v>0</v>
      </c>
      <c r="K637" s="3" t="s">
        <v>2210</v>
      </c>
      <c r="L637" s="3" t="s">
        <v>919</v>
      </c>
      <c r="M637" t="str" cm="1">
        <f t="array" ref="M637">_xlfn.IFS(INFO_Pasajeros[[#This Row],[Edad]]&lt;=13,"Niños",INFO_Pasajeros[[#This Row],[Edad]]&lt;=18,"Jóvenes",INFO_Pasajeros[[#This Row],[Edad]]&lt;=50,"Adultos",INFO_Pasajeros[[#This Row],[Edad]]&gt;=51,"Adultos Mayores")</f>
        <v>Niños</v>
      </c>
    </row>
    <row r="638" spans="1:13" x14ac:dyDescent="0.25">
      <c r="A638" s="3" t="s">
        <v>1867</v>
      </c>
      <c r="B638" s="3" t="s">
        <v>907</v>
      </c>
      <c r="C638" s="3">
        <v>635</v>
      </c>
      <c r="D638" s="5">
        <v>7</v>
      </c>
      <c r="E638" s="3">
        <v>2</v>
      </c>
      <c r="F638" s="3">
        <v>3</v>
      </c>
      <c r="G638" s="3">
        <v>3</v>
      </c>
      <c r="H638" s="3">
        <v>0</v>
      </c>
      <c r="I638" s="3">
        <v>382652</v>
      </c>
      <c r="J638" s="13">
        <v>27.9</v>
      </c>
      <c r="K638" s="3" t="s">
        <v>2210</v>
      </c>
      <c r="L638" s="3" t="s">
        <v>919</v>
      </c>
      <c r="M638" t="str" cm="1">
        <f t="array" ref="M638">_xlfn.IFS(INFO_Pasajeros[[#This Row],[Edad]]&lt;=13,"Niños",INFO_Pasajeros[[#This Row],[Edad]]&lt;=18,"Jóvenes",INFO_Pasajeros[[#This Row],[Edad]]&lt;=50,"Adultos",INFO_Pasajeros[[#This Row],[Edad]]&gt;=51,"Adultos Mayores")</f>
        <v>Niños</v>
      </c>
    </row>
    <row r="639" spans="1:13" x14ac:dyDescent="0.25">
      <c r="A639" s="3" t="s">
        <v>1868</v>
      </c>
      <c r="B639" s="3" t="s">
        <v>907</v>
      </c>
      <c r="C639" s="3">
        <v>636</v>
      </c>
      <c r="D639" s="5">
        <v>8</v>
      </c>
      <c r="E639" s="3">
        <v>0</v>
      </c>
      <c r="F639" s="3">
        <v>0</v>
      </c>
      <c r="G639" s="3">
        <v>2</v>
      </c>
      <c r="H639" s="3">
        <v>1</v>
      </c>
      <c r="I639" s="3">
        <v>382652</v>
      </c>
      <c r="J639" s="13">
        <v>13</v>
      </c>
      <c r="K639" s="3" t="s">
        <v>2210</v>
      </c>
      <c r="L639" s="3" t="s">
        <v>919</v>
      </c>
      <c r="M639" t="str" cm="1">
        <f t="array" ref="M639">_xlfn.IFS(INFO_Pasajeros[[#This Row],[Edad]]&lt;=13,"Niños",INFO_Pasajeros[[#This Row],[Edad]]&lt;=18,"Jóvenes",INFO_Pasajeros[[#This Row],[Edad]]&lt;=50,"Adultos",INFO_Pasajeros[[#This Row],[Edad]]&gt;=51,"Adultos Mayores")</f>
        <v>Niños</v>
      </c>
    </row>
    <row r="640" spans="1:13" x14ac:dyDescent="0.25">
      <c r="A640" s="3" t="s">
        <v>1869</v>
      </c>
      <c r="B640" s="3" t="s">
        <v>902</v>
      </c>
      <c r="C640" s="3">
        <v>637</v>
      </c>
      <c r="D640" s="5">
        <v>39</v>
      </c>
      <c r="E640" s="3">
        <v>0</v>
      </c>
      <c r="F640" s="3">
        <v>0</v>
      </c>
      <c r="G640" s="3">
        <v>3</v>
      </c>
      <c r="H640" s="3">
        <v>0</v>
      </c>
      <c r="I640" s="3">
        <v>382652</v>
      </c>
      <c r="J640" s="13">
        <v>7.9249999999999998</v>
      </c>
      <c r="K640" s="3" t="s">
        <v>2210</v>
      </c>
      <c r="L640" s="3" t="s">
        <v>919</v>
      </c>
      <c r="M640" t="str" cm="1">
        <f t="array" ref="M640">_xlfn.IFS(INFO_Pasajeros[[#This Row],[Edad]]&lt;=13,"Niños",INFO_Pasajeros[[#This Row],[Edad]]&lt;=18,"Jóvenes",INFO_Pasajeros[[#This Row],[Edad]]&lt;=50,"Adultos",INFO_Pasajeros[[#This Row],[Edad]]&gt;=51,"Adultos Mayores")</f>
        <v>Adultos</v>
      </c>
    </row>
    <row r="641" spans="1:13" x14ac:dyDescent="0.25">
      <c r="A641" s="3" t="s">
        <v>1871</v>
      </c>
      <c r="B641" s="3" t="s">
        <v>902</v>
      </c>
      <c r="C641" s="3">
        <v>638</v>
      </c>
      <c r="D641" s="5">
        <v>24</v>
      </c>
      <c r="E641" s="3">
        <v>1</v>
      </c>
      <c r="F641" s="3">
        <v>1</v>
      </c>
      <c r="G641" s="3">
        <v>2</v>
      </c>
      <c r="H641" s="3">
        <v>0</v>
      </c>
      <c r="I641" s="3">
        <v>383121</v>
      </c>
      <c r="J641" s="13">
        <v>26.25</v>
      </c>
      <c r="K641" s="3" t="s">
        <v>2048</v>
      </c>
      <c r="L641" s="3" t="s">
        <v>919</v>
      </c>
      <c r="M641" t="str" cm="1">
        <f t="array" ref="M641">_xlfn.IFS(INFO_Pasajeros[[#This Row],[Edad]]&lt;=13,"Niños",INFO_Pasajeros[[#This Row],[Edad]]&lt;=18,"Jóvenes",INFO_Pasajeros[[#This Row],[Edad]]&lt;=50,"Adultos",INFO_Pasajeros[[#This Row],[Edad]]&gt;=51,"Adultos Mayores")</f>
        <v>Adultos</v>
      </c>
    </row>
    <row r="642" spans="1:13" x14ac:dyDescent="0.25">
      <c r="A642" s="3" t="s">
        <v>1872</v>
      </c>
      <c r="B642" s="3" t="s">
        <v>907</v>
      </c>
      <c r="C642" s="3">
        <v>639</v>
      </c>
      <c r="D642" s="5">
        <v>56</v>
      </c>
      <c r="E642" s="3">
        <v>5</v>
      </c>
      <c r="F642" s="3">
        <v>0</v>
      </c>
      <c r="G642" s="3">
        <v>3</v>
      </c>
      <c r="H642" s="3">
        <v>0</v>
      </c>
      <c r="I642" s="3">
        <v>384461</v>
      </c>
      <c r="J642" s="13">
        <v>396.875</v>
      </c>
      <c r="K642" s="3" t="s">
        <v>2210</v>
      </c>
      <c r="L642" s="3" t="s">
        <v>919</v>
      </c>
      <c r="M642" t="str" cm="1">
        <f t="array" ref="M642">_xlfn.IFS(INFO_Pasajeros[[#This Row],[Edad]]&lt;=13,"Niños",INFO_Pasajeros[[#This Row],[Edad]]&lt;=18,"Jóvenes",INFO_Pasajeros[[#This Row],[Edad]]&lt;=50,"Adultos",INFO_Pasajeros[[#This Row],[Edad]]&gt;=51,"Adultos Mayores")</f>
        <v>Adultos Mayores</v>
      </c>
    </row>
    <row r="643" spans="1:13" x14ac:dyDescent="0.25">
      <c r="A643" s="3" t="s">
        <v>1873</v>
      </c>
      <c r="B643" s="3" t="s">
        <v>902</v>
      </c>
      <c r="C643" s="3">
        <v>640</v>
      </c>
      <c r="D643" s="5">
        <v>21</v>
      </c>
      <c r="E643" s="3">
        <v>0</v>
      </c>
      <c r="F643" s="3">
        <v>1</v>
      </c>
      <c r="G643" s="3">
        <v>3</v>
      </c>
      <c r="H643" s="3">
        <v>0</v>
      </c>
      <c r="I643" s="3">
        <v>386525</v>
      </c>
      <c r="J643" s="13">
        <v>16.100000000000001</v>
      </c>
      <c r="K643" s="3" t="s">
        <v>2210</v>
      </c>
      <c r="L643" s="3" t="s">
        <v>905</v>
      </c>
      <c r="M643" t="str" cm="1">
        <f t="array" ref="M643">_xlfn.IFS(INFO_Pasajeros[[#This Row],[Edad]]&lt;=13,"Niños",INFO_Pasajeros[[#This Row],[Edad]]&lt;=18,"Jóvenes",INFO_Pasajeros[[#This Row],[Edad]]&lt;=50,"Adultos",INFO_Pasajeros[[#This Row],[Edad]]&gt;=51,"Adultos Mayores")</f>
        <v>Adultos</v>
      </c>
    </row>
    <row r="644" spans="1:13" x14ac:dyDescent="0.25">
      <c r="A644" s="3" t="s">
        <v>1874</v>
      </c>
      <c r="B644" s="3" t="s">
        <v>902</v>
      </c>
      <c r="C644" s="3">
        <v>641</v>
      </c>
      <c r="D644" s="5">
        <v>18</v>
      </c>
      <c r="E644" s="3">
        <v>0</v>
      </c>
      <c r="F644" s="3">
        <v>0</v>
      </c>
      <c r="G644" s="3">
        <v>3</v>
      </c>
      <c r="H644" s="3">
        <v>0</v>
      </c>
      <c r="I644" s="3">
        <v>392091</v>
      </c>
      <c r="J644" s="13">
        <v>78.542000000000002</v>
      </c>
      <c r="K644" s="3" t="s">
        <v>2210</v>
      </c>
      <c r="L644" s="3" t="s">
        <v>905</v>
      </c>
      <c r="M644" t="str" cm="1">
        <f t="array" ref="M644">_xlfn.IFS(INFO_Pasajeros[[#This Row],[Edad]]&lt;=13,"Niños",INFO_Pasajeros[[#This Row],[Edad]]&lt;=18,"Jóvenes",INFO_Pasajeros[[#This Row],[Edad]]&lt;=50,"Adultos",INFO_Pasajeros[[#This Row],[Edad]]&gt;=51,"Adultos Mayores")</f>
        <v>Jóvenes</v>
      </c>
    </row>
    <row r="645" spans="1:13" x14ac:dyDescent="0.25">
      <c r="A645" s="3" t="s">
        <v>1875</v>
      </c>
      <c r="B645" s="3" t="s">
        <v>907</v>
      </c>
      <c r="C645" s="3">
        <v>642</v>
      </c>
      <c r="D645" s="5">
        <v>80</v>
      </c>
      <c r="E645" s="3">
        <v>0</v>
      </c>
      <c r="F645" s="3">
        <v>0</v>
      </c>
      <c r="G645" s="3">
        <v>1</v>
      </c>
      <c r="H645" s="3">
        <v>1</v>
      </c>
      <c r="I645" s="3">
        <v>392092</v>
      </c>
      <c r="J645" s="13">
        <v>69.3</v>
      </c>
      <c r="K645" s="3" t="s">
        <v>2210</v>
      </c>
      <c r="L645" s="3" t="s">
        <v>905</v>
      </c>
      <c r="M645" t="str" cm="1">
        <f t="array" ref="M645">_xlfn.IFS(INFO_Pasajeros[[#This Row],[Edad]]&lt;=13,"Niños",INFO_Pasajeros[[#This Row],[Edad]]&lt;=18,"Jóvenes",INFO_Pasajeros[[#This Row],[Edad]]&lt;=50,"Adultos",INFO_Pasajeros[[#This Row],[Edad]]&gt;=51,"Adultos Mayores")</f>
        <v>Adultos Mayores</v>
      </c>
    </row>
    <row r="646" spans="1:13" x14ac:dyDescent="0.25">
      <c r="A646" s="3" t="s">
        <v>1876</v>
      </c>
      <c r="B646" s="3" t="s">
        <v>907</v>
      </c>
      <c r="C646" s="3">
        <v>643</v>
      </c>
      <c r="D646" s="5">
        <v>6</v>
      </c>
      <c r="E646" s="3">
        <v>2</v>
      </c>
      <c r="F646" s="3">
        <v>3</v>
      </c>
      <c r="G646" s="3">
        <v>3</v>
      </c>
      <c r="H646" s="3">
        <v>0</v>
      </c>
      <c r="I646" s="3">
        <v>392096</v>
      </c>
      <c r="J646" s="13">
        <v>27.9</v>
      </c>
      <c r="K646" s="3" t="s">
        <v>2017</v>
      </c>
      <c r="L646" s="3" t="s">
        <v>905</v>
      </c>
      <c r="M646" t="str" cm="1">
        <f t="array" ref="M646">_xlfn.IFS(INFO_Pasajeros[[#This Row],[Edad]]&lt;=13,"Niños",INFO_Pasajeros[[#This Row],[Edad]]&lt;=18,"Jóvenes",INFO_Pasajeros[[#This Row],[Edad]]&lt;=50,"Adultos",INFO_Pasajeros[[#This Row],[Edad]]&gt;=51,"Adultos Mayores")</f>
        <v>Niños</v>
      </c>
    </row>
    <row r="647" spans="1:13" x14ac:dyDescent="0.25">
      <c r="A647" s="3" t="s">
        <v>1877</v>
      </c>
      <c r="B647" s="3" t="s">
        <v>902</v>
      </c>
      <c r="C647" s="3">
        <v>644</v>
      </c>
      <c r="D647" s="5">
        <v>27</v>
      </c>
      <c r="E647" s="3">
        <v>0</v>
      </c>
      <c r="F647" s="3">
        <v>0</v>
      </c>
      <c r="G647" s="3">
        <v>3</v>
      </c>
      <c r="H647" s="3">
        <v>1</v>
      </c>
      <c r="I647" s="3">
        <v>392096</v>
      </c>
      <c r="J647" s="13">
        <v>564.95799999999997</v>
      </c>
      <c r="K647" s="3" t="s">
        <v>2017</v>
      </c>
      <c r="L647" s="3" t="s">
        <v>905</v>
      </c>
      <c r="M647" t="str" cm="1">
        <f t="array" ref="M647">_xlfn.IFS(INFO_Pasajeros[[#This Row],[Edad]]&lt;=13,"Niños",INFO_Pasajeros[[#This Row],[Edad]]&lt;=18,"Jóvenes",INFO_Pasajeros[[#This Row],[Edad]]&lt;=50,"Adultos",INFO_Pasajeros[[#This Row],[Edad]]&gt;=51,"Adultos Mayores")</f>
        <v>Adultos</v>
      </c>
    </row>
    <row r="648" spans="1:13" x14ac:dyDescent="0.25">
      <c r="A648" s="3" t="s">
        <v>1878</v>
      </c>
      <c r="B648" s="3" t="s">
        <v>907</v>
      </c>
      <c r="C648" s="3">
        <v>645</v>
      </c>
      <c r="D648" s="5">
        <v>41</v>
      </c>
      <c r="E648" s="3">
        <v>1</v>
      </c>
      <c r="F648" s="3">
        <v>2</v>
      </c>
      <c r="G648" s="3">
        <v>3</v>
      </c>
      <c r="H648" s="3">
        <v>1</v>
      </c>
      <c r="I648" s="3">
        <v>394140</v>
      </c>
      <c r="J648" s="13">
        <v>192.583</v>
      </c>
      <c r="K648" s="3" t="s">
        <v>2210</v>
      </c>
      <c r="L648" s="3" t="s">
        <v>919</v>
      </c>
      <c r="M648" t="str" cm="1">
        <f t="array" ref="M648">_xlfn.IFS(INFO_Pasajeros[[#This Row],[Edad]]&lt;=13,"Niños",INFO_Pasajeros[[#This Row],[Edad]]&lt;=18,"Jóvenes",INFO_Pasajeros[[#This Row],[Edad]]&lt;=50,"Adultos",INFO_Pasajeros[[#This Row],[Edad]]&gt;=51,"Adultos Mayores")</f>
        <v>Adultos</v>
      </c>
    </row>
    <row r="649" spans="1:13" x14ac:dyDescent="0.25">
      <c r="A649" s="3" t="s">
        <v>1879</v>
      </c>
      <c r="B649" s="3" t="s">
        <v>902</v>
      </c>
      <c r="C649" s="3">
        <v>646</v>
      </c>
      <c r="D649" s="5">
        <v>34</v>
      </c>
      <c r="E649" s="3">
        <v>0</v>
      </c>
      <c r="F649" s="3">
        <v>1</v>
      </c>
      <c r="G649" s="3">
        <v>1</v>
      </c>
      <c r="H649" s="3">
        <v>1</v>
      </c>
      <c r="I649" s="3">
        <v>3101264</v>
      </c>
      <c r="J649" s="13">
        <v>767.29200000000003</v>
      </c>
      <c r="K649" s="3" t="s">
        <v>2210</v>
      </c>
      <c r="L649" s="3" t="s">
        <v>905</v>
      </c>
      <c r="M649" t="str" cm="1">
        <f t="array" ref="M649">_xlfn.IFS(INFO_Pasajeros[[#This Row],[Edad]]&lt;=13,"Niños",INFO_Pasajeros[[#This Row],[Edad]]&lt;=18,"Jóvenes",INFO_Pasajeros[[#This Row],[Edad]]&lt;=50,"Adultos",INFO_Pasajeros[[#This Row],[Edad]]&gt;=51,"Adultos Mayores")</f>
        <v>Adultos</v>
      </c>
    </row>
    <row r="650" spans="1:13" x14ac:dyDescent="0.25">
      <c r="A650" s="3" t="s">
        <v>1880</v>
      </c>
      <c r="B650" s="3" t="s">
        <v>902</v>
      </c>
      <c r="C650" s="3">
        <v>647</v>
      </c>
      <c r="D650" s="5">
        <v>18</v>
      </c>
      <c r="E650" s="3">
        <v>0</v>
      </c>
      <c r="F650" s="3">
        <v>0</v>
      </c>
      <c r="G650" s="3">
        <v>3</v>
      </c>
      <c r="H650" s="3">
        <v>0</v>
      </c>
      <c r="I650" s="3">
        <v>3101265</v>
      </c>
      <c r="J650" s="13">
        <v>78.957999999999998</v>
      </c>
      <c r="K650" s="3" t="s">
        <v>2210</v>
      </c>
      <c r="L650" s="3" t="s">
        <v>905</v>
      </c>
      <c r="M650" t="str" cm="1">
        <f t="array" ref="M650">_xlfn.IFS(INFO_Pasajeros[[#This Row],[Edad]]&lt;=13,"Niños",INFO_Pasajeros[[#This Row],[Edad]]&lt;=18,"Jóvenes",INFO_Pasajeros[[#This Row],[Edad]]&lt;=50,"Adultos",INFO_Pasajeros[[#This Row],[Edad]]&gt;=51,"Adultos Mayores")</f>
        <v>Jóvenes</v>
      </c>
    </row>
    <row r="651" spans="1:13" x14ac:dyDescent="0.25">
      <c r="A651" s="3" t="s">
        <v>1881</v>
      </c>
      <c r="B651" s="3" t="s">
        <v>902</v>
      </c>
      <c r="C651" s="3">
        <v>648</v>
      </c>
      <c r="D651" s="5">
        <v>18</v>
      </c>
      <c r="E651" s="3">
        <v>0</v>
      </c>
      <c r="F651" s="3">
        <v>0</v>
      </c>
      <c r="G651" s="3">
        <v>1</v>
      </c>
      <c r="H651" s="3">
        <v>1</v>
      </c>
      <c r="I651" s="3">
        <v>3101267</v>
      </c>
      <c r="J651" s="13">
        <v>35.5</v>
      </c>
      <c r="K651" s="3" t="s">
        <v>2210</v>
      </c>
      <c r="L651" s="3" t="s">
        <v>905</v>
      </c>
      <c r="M651" t="str" cm="1">
        <f t="array" ref="M651">_xlfn.IFS(INFO_Pasajeros[[#This Row],[Edad]]&lt;=13,"Niños",INFO_Pasajeros[[#This Row],[Edad]]&lt;=18,"Jóvenes",INFO_Pasajeros[[#This Row],[Edad]]&lt;=50,"Adultos",INFO_Pasajeros[[#This Row],[Edad]]&gt;=51,"Adultos Mayores")</f>
        <v>Jóvenes</v>
      </c>
    </row>
    <row r="652" spans="1:13" x14ac:dyDescent="0.25">
      <c r="A652" s="3" t="s">
        <v>1883</v>
      </c>
      <c r="B652" s="3" t="s">
        <v>902</v>
      </c>
      <c r="C652" s="3">
        <v>649</v>
      </c>
      <c r="D652" s="5">
        <v>37</v>
      </c>
      <c r="E652" s="3">
        <v>0</v>
      </c>
      <c r="F652" s="3">
        <v>0</v>
      </c>
      <c r="G652" s="3">
        <v>3</v>
      </c>
      <c r="H652" s="3">
        <v>0</v>
      </c>
      <c r="I652" s="3">
        <v>3101276</v>
      </c>
      <c r="J652" s="13">
        <v>7.55</v>
      </c>
      <c r="K652" s="3" t="s">
        <v>2210</v>
      </c>
      <c r="L652" s="3" t="s">
        <v>905</v>
      </c>
      <c r="M652" t="str" cm="1">
        <f t="array" ref="M652">_xlfn.IFS(INFO_Pasajeros[[#This Row],[Edad]]&lt;=13,"Niños",INFO_Pasajeros[[#This Row],[Edad]]&lt;=18,"Jóvenes",INFO_Pasajeros[[#This Row],[Edad]]&lt;=50,"Adultos",INFO_Pasajeros[[#This Row],[Edad]]&gt;=51,"Adultos Mayores")</f>
        <v>Adultos</v>
      </c>
    </row>
    <row r="653" spans="1:13" x14ac:dyDescent="0.25">
      <c r="A653" s="3" t="s">
        <v>1885</v>
      </c>
      <c r="B653" s="3" t="s">
        <v>907</v>
      </c>
      <c r="C653" s="3">
        <v>650</v>
      </c>
      <c r="D653" s="5">
        <v>28</v>
      </c>
      <c r="E653" s="3">
        <v>0</v>
      </c>
      <c r="F653" s="3">
        <v>0</v>
      </c>
      <c r="G653" s="3">
        <v>3</v>
      </c>
      <c r="H653" s="3">
        <v>1</v>
      </c>
      <c r="I653" s="3">
        <v>3101277</v>
      </c>
      <c r="J653" s="13">
        <v>7.55</v>
      </c>
      <c r="K653" s="3" t="s">
        <v>2210</v>
      </c>
      <c r="L653" s="3" t="s">
        <v>905</v>
      </c>
      <c r="M653" t="str" cm="1">
        <f t="array" ref="M653">_xlfn.IFS(INFO_Pasajeros[[#This Row],[Edad]]&lt;=13,"Niños",INFO_Pasajeros[[#This Row],[Edad]]&lt;=18,"Jóvenes",INFO_Pasajeros[[#This Row],[Edad]]&lt;=50,"Adultos",INFO_Pasajeros[[#This Row],[Edad]]&gt;=51,"Adultos Mayores")</f>
        <v>Adultos</v>
      </c>
    </row>
    <row r="654" spans="1:13" x14ac:dyDescent="0.25">
      <c r="A654" s="3" t="s">
        <v>1887</v>
      </c>
      <c r="B654" s="3" t="s">
        <v>902</v>
      </c>
      <c r="C654" s="3">
        <v>651</v>
      </c>
      <c r="D654" s="5">
        <v>33</v>
      </c>
      <c r="E654" s="3">
        <v>0</v>
      </c>
      <c r="F654" s="3">
        <v>0</v>
      </c>
      <c r="G654" s="3">
        <v>3</v>
      </c>
      <c r="H654" s="3">
        <v>0</v>
      </c>
      <c r="I654" s="3">
        <v>3101278</v>
      </c>
      <c r="J654" s="13">
        <v>78.957999999999998</v>
      </c>
      <c r="K654" s="3" t="s">
        <v>2210</v>
      </c>
      <c r="L654" s="3" t="s">
        <v>905</v>
      </c>
      <c r="M654" t="str" cm="1">
        <f t="array" ref="M654">_xlfn.IFS(INFO_Pasajeros[[#This Row],[Edad]]&lt;=13,"Niños",INFO_Pasajeros[[#This Row],[Edad]]&lt;=18,"Jóvenes",INFO_Pasajeros[[#This Row],[Edad]]&lt;=50,"Adultos",INFO_Pasajeros[[#This Row],[Edad]]&gt;=51,"Adultos Mayores")</f>
        <v>Adultos</v>
      </c>
    </row>
    <row r="655" spans="1:13" x14ac:dyDescent="0.25">
      <c r="A655" s="3" t="s">
        <v>1888</v>
      </c>
      <c r="B655" s="3" t="s">
        <v>907</v>
      </c>
      <c r="C655" s="3">
        <v>652</v>
      </c>
      <c r="D655" s="5">
        <v>32</v>
      </c>
      <c r="E655" s="3">
        <v>1</v>
      </c>
      <c r="F655" s="3">
        <v>0</v>
      </c>
      <c r="G655" s="3">
        <v>2</v>
      </c>
      <c r="H655" s="3">
        <v>1</v>
      </c>
      <c r="I655" s="3">
        <v>3101278</v>
      </c>
      <c r="J655" s="13">
        <v>23</v>
      </c>
      <c r="K655" s="3" t="s">
        <v>2210</v>
      </c>
      <c r="L655" s="3" t="s">
        <v>905</v>
      </c>
      <c r="M655" t="str" cm="1">
        <f t="array" ref="M655">_xlfn.IFS(INFO_Pasajeros[[#This Row],[Edad]]&lt;=13,"Niños",INFO_Pasajeros[[#This Row],[Edad]]&lt;=18,"Jóvenes",INFO_Pasajeros[[#This Row],[Edad]]&lt;=50,"Adultos",INFO_Pasajeros[[#This Row],[Edad]]&gt;=51,"Adultos Mayores")</f>
        <v>Adultos</v>
      </c>
    </row>
    <row r="656" spans="1:13" x14ac:dyDescent="0.25">
      <c r="A656" s="3" t="s">
        <v>1889</v>
      </c>
      <c r="B656" s="3" t="s">
        <v>902</v>
      </c>
      <c r="C656" s="3">
        <v>653</v>
      </c>
      <c r="D656" s="5">
        <v>17</v>
      </c>
      <c r="E656" s="3">
        <v>0</v>
      </c>
      <c r="F656" s="3">
        <v>0</v>
      </c>
      <c r="G656" s="3">
        <v>3</v>
      </c>
      <c r="H656" s="3">
        <v>0</v>
      </c>
      <c r="I656" s="3">
        <v>3101281</v>
      </c>
      <c r="J656" s="13">
        <v>84.332999999999998</v>
      </c>
      <c r="K656" s="3" t="s">
        <v>2210</v>
      </c>
      <c r="L656" s="3" t="s">
        <v>905</v>
      </c>
      <c r="M656" t="str" cm="1">
        <f t="array" ref="M656">_xlfn.IFS(INFO_Pasajeros[[#This Row],[Edad]]&lt;=13,"Niños",INFO_Pasajeros[[#This Row],[Edad]]&lt;=18,"Jóvenes",INFO_Pasajeros[[#This Row],[Edad]]&lt;=50,"Adultos",INFO_Pasajeros[[#This Row],[Edad]]&gt;=51,"Adultos Mayores")</f>
        <v>Jóvenes</v>
      </c>
    </row>
    <row r="657" spans="1:13" x14ac:dyDescent="0.25">
      <c r="A657" s="3" t="s">
        <v>1890</v>
      </c>
      <c r="B657" s="3" t="s">
        <v>907</v>
      </c>
      <c r="C657" s="3">
        <v>654</v>
      </c>
      <c r="D657" s="5">
        <v>7</v>
      </c>
      <c r="E657" s="3">
        <v>0</v>
      </c>
      <c r="F657" s="3">
        <v>0</v>
      </c>
      <c r="G657" s="3">
        <v>3</v>
      </c>
      <c r="H657" s="3">
        <v>1</v>
      </c>
      <c r="I657" s="3">
        <v>3101295</v>
      </c>
      <c r="J657" s="13">
        <v>78.292000000000002</v>
      </c>
      <c r="K657" s="3" t="s">
        <v>2210</v>
      </c>
      <c r="L657" s="3" t="s">
        <v>905</v>
      </c>
      <c r="M657" t="str" cm="1">
        <f t="array" ref="M657">_xlfn.IFS(INFO_Pasajeros[[#This Row],[Edad]]&lt;=13,"Niños",INFO_Pasajeros[[#This Row],[Edad]]&lt;=18,"Jóvenes",INFO_Pasajeros[[#This Row],[Edad]]&lt;=50,"Adultos",INFO_Pasajeros[[#This Row],[Edad]]&gt;=51,"Adultos Mayores")</f>
        <v>Niños</v>
      </c>
    </row>
    <row r="658" spans="1:13" x14ac:dyDescent="0.25">
      <c r="A658" s="3" t="s">
        <v>1891</v>
      </c>
      <c r="B658" s="3" t="s">
        <v>907</v>
      </c>
      <c r="C658" s="3">
        <v>655</v>
      </c>
      <c r="D658" s="5">
        <v>1</v>
      </c>
      <c r="E658" s="3">
        <v>0</v>
      </c>
      <c r="F658" s="3">
        <v>0</v>
      </c>
      <c r="G658" s="3">
        <v>3</v>
      </c>
      <c r="H658" s="3">
        <v>0</v>
      </c>
      <c r="I658" s="3">
        <v>3101295</v>
      </c>
      <c r="J658" s="13">
        <v>6.75</v>
      </c>
      <c r="K658" s="3" t="s">
        <v>2210</v>
      </c>
      <c r="L658" s="3" t="s">
        <v>905</v>
      </c>
      <c r="M658" t="str" cm="1">
        <f t="array" ref="M658">_xlfn.IFS(INFO_Pasajeros[[#This Row],[Edad]]&lt;=13,"Niños",INFO_Pasajeros[[#This Row],[Edad]]&lt;=18,"Jóvenes",INFO_Pasajeros[[#This Row],[Edad]]&lt;=50,"Adultos",INFO_Pasajeros[[#This Row],[Edad]]&gt;=51,"Adultos Mayores")</f>
        <v>Niños</v>
      </c>
    </row>
    <row r="659" spans="1:13" x14ac:dyDescent="0.25">
      <c r="A659" s="3" t="s">
        <v>1892</v>
      </c>
      <c r="B659" s="3" t="s">
        <v>902</v>
      </c>
      <c r="C659" s="3">
        <v>656</v>
      </c>
      <c r="D659" s="5">
        <v>16</v>
      </c>
      <c r="E659" s="3">
        <v>0</v>
      </c>
      <c r="F659" s="3">
        <v>2</v>
      </c>
      <c r="G659" s="3">
        <v>2</v>
      </c>
      <c r="H659" s="3">
        <v>0</v>
      </c>
      <c r="I659" s="3">
        <v>3101295</v>
      </c>
      <c r="J659" s="13">
        <v>73.5</v>
      </c>
      <c r="K659" s="3" t="s">
        <v>2210</v>
      </c>
      <c r="L659" s="3" t="s">
        <v>905</v>
      </c>
      <c r="M659" t="str" cm="1">
        <f t="array" ref="M659">_xlfn.IFS(INFO_Pasajeros[[#This Row],[Edad]]&lt;=13,"Niños",INFO_Pasajeros[[#This Row],[Edad]]&lt;=18,"Jóvenes",INFO_Pasajeros[[#This Row],[Edad]]&lt;=50,"Adultos",INFO_Pasajeros[[#This Row],[Edad]]&gt;=51,"Adultos Mayores")</f>
        <v>Jóvenes</v>
      </c>
    </row>
    <row r="660" spans="1:13" x14ac:dyDescent="0.25">
      <c r="A660" s="3" t="s">
        <v>1893</v>
      </c>
      <c r="B660" s="3" t="s">
        <v>902</v>
      </c>
      <c r="C660" s="3">
        <v>657</v>
      </c>
      <c r="D660" s="5">
        <v>41</v>
      </c>
      <c r="E660" s="3">
        <v>0</v>
      </c>
      <c r="F660" s="3">
        <v>0</v>
      </c>
      <c r="G660" s="3">
        <v>3</v>
      </c>
      <c r="H660" s="3">
        <v>0</v>
      </c>
      <c r="I660" s="3">
        <v>3101295</v>
      </c>
      <c r="J660" s="13">
        <v>78.957999999999998</v>
      </c>
      <c r="K660" s="3" t="s">
        <v>2210</v>
      </c>
      <c r="L660" s="3" t="s">
        <v>905</v>
      </c>
      <c r="M660" t="str" cm="1">
        <f t="array" ref="M660">_xlfn.IFS(INFO_Pasajeros[[#This Row],[Edad]]&lt;=13,"Niños",INFO_Pasajeros[[#This Row],[Edad]]&lt;=18,"Jóvenes",INFO_Pasajeros[[#This Row],[Edad]]&lt;=50,"Adultos",INFO_Pasajeros[[#This Row],[Edad]]&gt;=51,"Adultos Mayores")</f>
        <v>Adultos</v>
      </c>
    </row>
    <row r="661" spans="1:13" x14ac:dyDescent="0.25">
      <c r="A661" s="3" t="s">
        <v>1894</v>
      </c>
      <c r="B661" s="3" t="s">
        <v>907</v>
      </c>
      <c r="C661" s="3">
        <v>658</v>
      </c>
      <c r="D661" s="5">
        <v>14</v>
      </c>
      <c r="E661" s="3">
        <v>1</v>
      </c>
      <c r="F661" s="3">
        <v>1</v>
      </c>
      <c r="G661" s="3">
        <v>3</v>
      </c>
      <c r="H661" s="3">
        <v>0</v>
      </c>
      <c r="I661" s="3">
        <v>3101295</v>
      </c>
      <c r="J661" s="13">
        <v>15.5</v>
      </c>
      <c r="K661" s="3" t="s">
        <v>2210</v>
      </c>
      <c r="L661" s="3" t="s">
        <v>905</v>
      </c>
      <c r="M661" t="str" cm="1">
        <f t="array" ref="M661">_xlfn.IFS(INFO_Pasajeros[[#This Row],[Edad]]&lt;=13,"Niños",INFO_Pasajeros[[#This Row],[Edad]]&lt;=18,"Jóvenes",INFO_Pasajeros[[#This Row],[Edad]]&lt;=50,"Adultos",INFO_Pasajeros[[#This Row],[Edad]]&gt;=51,"Adultos Mayores")</f>
        <v>Jóvenes</v>
      </c>
    </row>
    <row r="662" spans="1:13" x14ac:dyDescent="0.25">
      <c r="A662" s="3" t="s">
        <v>1895</v>
      </c>
      <c r="B662" s="3" t="s">
        <v>902</v>
      </c>
      <c r="C662" s="3">
        <v>659</v>
      </c>
      <c r="D662" s="5">
        <v>2</v>
      </c>
      <c r="E662" s="3">
        <v>0</v>
      </c>
      <c r="F662" s="3">
        <v>0</v>
      </c>
      <c r="G662" s="3">
        <v>2</v>
      </c>
      <c r="H662" s="3">
        <v>0</v>
      </c>
      <c r="I662" s="3">
        <v>3101295</v>
      </c>
      <c r="J662" s="13">
        <v>13</v>
      </c>
      <c r="K662" s="3" t="s">
        <v>2210</v>
      </c>
      <c r="L662" s="3" t="s">
        <v>905</v>
      </c>
      <c r="M662" t="str" cm="1">
        <f t="array" ref="M662">_xlfn.IFS(INFO_Pasajeros[[#This Row],[Edad]]&lt;=13,"Niños",INFO_Pasajeros[[#This Row],[Edad]]&lt;=18,"Jóvenes",INFO_Pasajeros[[#This Row],[Edad]]&lt;=50,"Adultos",INFO_Pasajeros[[#This Row],[Edad]]&gt;=51,"Adultos Mayores")</f>
        <v>Niños</v>
      </c>
    </row>
    <row r="663" spans="1:13" x14ac:dyDescent="0.25">
      <c r="A663" s="3" t="s">
        <v>1896</v>
      </c>
      <c r="B663" s="3" t="s">
        <v>902</v>
      </c>
      <c r="C663" s="3">
        <v>660</v>
      </c>
      <c r="D663" s="5">
        <v>39</v>
      </c>
      <c r="E663" s="3">
        <v>2</v>
      </c>
      <c r="F663" s="3">
        <v>0</v>
      </c>
      <c r="G663" s="3">
        <v>1</v>
      </c>
      <c r="H663" s="3">
        <v>0</v>
      </c>
      <c r="I663" s="3">
        <v>3101296</v>
      </c>
      <c r="J663" s="13">
        <v>113.27500000000001</v>
      </c>
      <c r="K663" s="3" t="s">
        <v>2210</v>
      </c>
      <c r="L663" s="3" t="s">
        <v>905</v>
      </c>
      <c r="M663" t="str" cm="1">
        <f t="array" ref="M663">_xlfn.IFS(INFO_Pasajeros[[#This Row],[Edad]]&lt;=13,"Niños",INFO_Pasajeros[[#This Row],[Edad]]&lt;=18,"Jóvenes",INFO_Pasajeros[[#This Row],[Edad]]&lt;=50,"Adultos",INFO_Pasajeros[[#This Row],[Edad]]&gt;=51,"Adultos Mayores")</f>
        <v>Adultos</v>
      </c>
    </row>
    <row r="664" spans="1:13" x14ac:dyDescent="0.25">
      <c r="A664" s="3" t="s">
        <v>1898</v>
      </c>
      <c r="B664" s="3" t="s">
        <v>902</v>
      </c>
      <c r="C664" s="3">
        <v>661</v>
      </c>
      <c r="D664" s="5">
        <v>2</v>
      </c>
      <c r="E664" s="3">
        <v>0</v>
      </c>
      <c r="F664" s="3">
        <v>2</v>
      </c>
      <c r="G664" s="3">
        <v>1</v>
      </c>
      <c r="H664" s="3">
        <v>1</v>
      </c>
      <c r="I664" s="3">
        <v>3101298</v>
      </c>
      <c r="J664" s="13">
        <v>133.65</v>
      </c>
      <c r="K664" s="3" t="s">
        <v>2210</v>
      </c>
      <c r="L664" s="3" t="s">
        <v>905</v>
      </c>
      <c r="M664" t="str" cm="1">
        <f t="array" ref="M664">_xlfn.IFS(INFO_Pasajeros[[#This Row],[Edad]]&lt;=13,"Niños",INFO_Pasajeros[[#This Row],[Edad]]&lt;=18,"Jóvenes",INFO_Pasajeros[[#This Row],[Edad]]&lt;=50,"Adultos",INFO_Pasajeros[[#This Row],[Edad]]&gt;=51,"Adultos Mayores")</f>
        <v>Niños</v>
      </c>
    </row>
    <row r="665" spans="1:13" x14ac:dyDescent="0.25">
      <c r="A665" s="3" t="s">
        <v>1899</v>
      </c>
      <c r="B665" s="3" t="s">
        <v>902</v>
      </c>
      <c r="C665" s="3">
        <v>662</v>
      </c>
      <c r="D665" s="5">
        <v>21</v>
      </c>
      <c r="E665" s="3">
        <v>0</v>
      </c>
      <c r="F665" s="3">
        <v>0</v>
      </c>
      <c r="G665" s="3">
        <v>3</v>
      </c>
      <c r="H665" s="3">
        <v>0</v>
      </c>
      <c r="I665" s="3" t="s">
        <v>970</v>
      </c>
      <c r="J665" s="13">
        <v>7.2249999999999996</v>
      </c>
      <c r="K665" s="3" t="s">
        <v>2210</v>
      </c>
      <c r="L665" s="3" t="s">
        <v>905</v>
      </c>
      <c r="M665" t="str" cm="1">
        <f t="array" ref="M665">_xlfn.IFS(INFO_Pasajeros[[#This Row],[Edad]]&lt;=13,"Niños",INFO_Pasajeros[[#This Row],[Edad]]&lt;=18,"Jóvenes",INFO_Pasajeros[[#This Row],[Edad]]&lt;=50,"Adultos",INFO_Pasajeros[[#This Row],[Edad]]&gt;=51,"Adultos Mayores")</f>
        <v>Adultos</v>
      </c>
    </row>
    <row r="666" spans="1:13" x14ac:dyDescent="0.25">
      <c r="A666" s="3" t="s">
        <v>1900</v>
      </c>
      <c r="B666" s="3" t="s">
        <v>902</v>
      </c>
      <c r="C666" s="3">
        <v>663</v>
      </c>
      <c r="D666" s="5">
        <v>56</v>
      </c>
      <c r="E666" s="3">
        <v>0</v>
      </c>
      <c r="F666" s="3">
        <v>0</v>
      </c>
      <c r="G666" s="3">
        <v>1</v>
      </c>
      <c r="H666" s="3">
        <v>0</v>
      </c>
      <c r="I666" s="3" t="s">
        <v>1810</v>
      </c>
      <c r="J666" s="13">
        <v>255.875</v>
      </c>
      <c r="K666" s="3" t="s">
        <v>2210</v>
      </c>
      <c r="L666" s="3" t="s">
        <v>905</v>
      </c>
      <c r="M666" t="str" cm="1">
        <f t="array" ref="M666">_xlfn.IFS(INFO_Pasajeros[[#This Row],[Edad]]&lt;=13,"Niños",INFO_Pasajeros[[#This Row],[Edad]]&lt;=18,"Jóvenes",INFO_Pasajeros[[#This Row],[Edad]]&lt;=50,"Adultos",INFO_Pasajeros[[#This Row],[Edad]]&gt;=51,"Adultos Mayores")</f>
        <v>Adultos Mayores</v>
      </c>
    </row>
    <row r="667" spans="1:13" x14ac:dyDescent="0.25">
      <c r="A667" s="3" t="s">
        <v>1902</v>
      </c>
      <c r="B667" s="3" t="s">
        <v>902</v>
      </c>
      <c r="C667" s="3">
        <v>664</v>
      </c>
      <c r="D667" s="5">
        <v>56</v>
      </c>
      <c r="E667" s="3">
        <v>0</v>
      </c>
      <c r="F667" s="3">
        <v>0</v>
      </c>
      <c r="G667" s="3">
        <v>3</v>
      </c>
      <c r="H667" s="3">
        <v>0</v>
      </c>
      <c r="I667" s="3" t="s">
        <v>1161</v>
      </c>
      <c r="J667" s="13">
        <v>74.957999999999998</v>
      </c>
      <c r="K667" s="3" t="s">
        <v>2210</v>
      </c>
      <c r="L667" s="3" t="s">
        <v>905</v>
      </c>
      <c r="M667" t="str" cm="1">
        <f t="array" ref="M667">_xlfn.IFS(INFO_Pasajeros[[#This Row],[Edad]]&lt;=13,"Niños",INFO_Pasajeros[[#This Row],[Edad]]&lt;=18,"Jóvenes",INFO_Pasajeros[[#This Row],[Edad]]&lt;=50,"Adultos",INFO_Pasajeros[[#This Row],[Edad]]&gt;=51,"Adultos Mayores")</f>
        <v>Adultos Mayores</v>
      </c>
    </row>
    <row r="668" spans="1:13" x14ac:dyDescent="0.25">
      <c r="A668" s="3" t="s">
        <v>1903</v>
      </c>
      <c r="B668" s="3" t="s">
        <v>902</v>
      </c>
      <c r="C668" s="3">
        <v>665</v>
      </c>
      <c r="D668" s="5">
        <v>30</v>
      </c>
      <c r="E668" s="3">
        <v>0</v>
      </c>
      <c r="F668" s="3">
        <v>1</v>
      </c>
      <c r="G668" s="3">
        <v>3</v>
      </c>
      <c r="H668" s="3">
        <v>1</v>
      </c>
      <c r="I668" s="3" t="s">
        <v>1663</v>
      </c>
      <c r="J668" s="13">
        <v>7.9249999999999998</v>
      </c>
      <c r="K668" s="3" t="s">
        <v>2210</v>
      </c>
      <c r="L668" s="3" t="s">
        <v>905</v>
      </c>
      <c r="M668" t="str" cm="1">
        <f t="array" ref="M668">_xlfn.IFS(INFO_Pasajeros[[#This Row],[Edad]]&lt;=13,"Niños",INFO_Pasajeros[[#This Row],[Edad]]&lt;=18,"Jóvenes",INFO_Pasajeros[[#This Row],[Edad]]&lt;=50,"Adultos",INFO_Pasajeros[[#This Row],[Edad]]&gt;=51,"Adultos Mayores")</f>
        <v>Adultos</v>
      </c>
    </row>
    <row r="669" spans="1:13" x14ac:dyDescent="0.25">
      <c r="A669" s="3" t="s">
        <v>1905</v>
      </c>
      <c r="B669" s="3" t="s">
        <v>902</v>
      </c>
      <c r="C669" s="3">
        <v>666</v>
      </c>
      <c r="D669" s="5">
        <v>21</v>
      </c>
      <c r="E669" s="3">
        <v>0</v>
      </c>
      <c r="F669" s="3">
        <v>2</v>
      </c>
      <c r="G669" s="3">
        <v>2</v>
      </c>
      <c r="H669" s="3">
        <v>0</v>
      </c>
      <c r="I669" s="3" t="s">
        <v>1673</v>
      </c>
      <c r="J669" s="13">
        <v>73.5</v>
      </c>
      <c r="K669" s="3" t="s">
        <v>2210</v>
      </c>
      <c r="L669" s="3" t="s">
        <v>905</v>
      </c>
      <c r="M669" t="str" cm="1">
        <f t="array" ref="M669">_xlfn.IFS(INFO_Pasajeros[[#This Row],[Edad]]&lt;=13,"Niños",INFO_Pasajeros[[#This Row],[Edad]]&lt;=18,"Jóvenes",INFO_Pasajeros[[#This Row],[Edad]]&lt;=50,"Adultos",INFO_Pasajeros[[#This Row],[Edad]]&gt;=51,"Adultos Mayores")</f>
        <v>Adultos</v>
      </c>
    </row>
    <row r="670" spans="1:13" x14ac:dyDescent="0.25">
      <c r="A670" s="3" t="s">
        <v>1906</v>
      </c>
      <c r="B670" s="3" t="s">
        <v>902</v>
      </c>
      <c r="C670" s="3">
        <v>667</v>
      </c>
      <c r="D670" s="5">
        <v>24</v>
      </c>
      <c r="E670" s="3">
        <v>0</v>
      </c>
      <c r="F670" s="3">
        <v>0</v>
      </c>
      <c r="G670" s="3">
        <v>2</v>
      </c>
      <c r="H670" s="3">
        <v>0</v>
      </c>
      <c r="I670" s="3" t="s">
        <v>1776</v>
      </c>
      <c r="J670" s="13">
        <v>13</v>
      </c>
      <c r="K670" s="3" t="s">
        <v>2210</v>
      </c>
      <c r="L670" s="3" t="s">
        <v>905</v>
      </c>
      <c r="M670" t="str" cm="1">
        <f t="array" ref="M670">_xlfn.IFS(INFO_Pasajeros[[#This Row],[Edad]]&lt;=13,"Niños",INFO_Pasajeros[[#This Row],[Edad]]&lt;=18,"Jóvenes",INFO_Pasajeros[[#This Row],[Edad]]&lt;=50,"Adultos",INFO_Pasajeros[[#This Row],[Edad]]&gt;=51,"Adultos Mayores")</f>
        <v>Adultos</v>
      </c>
    </row>
    <row r="671" spans="1:13" x14ac:dyDescent="0.25">
      <c r="A671" s="3" t="s">
        <v>1907</v>
      </c>
      <c r="B671" s="3" t="s">
        <v>902</v>
      </c>
      <c r="C671" s="3">
        <v>668</v>
      </c>
      <c r="D671" s="5">
        <v>39</v>
      </c>
      <c r="E671" s="3">
        <v>0</v>
      </c>
      <c r="F671" s="3">
        <v>0</v>
      </c>
      <c r="G671" s="3">
        <v>3</v>
      </c>
      <c r="H671" s="3">
        <v>0</v>
      </c>
      <c r="I671" s="3" t="s">
        <v>1776</v>
      </c>
      <c r="J671" s="13">
        <v>7.7750000000000004</v>
      </c>
      <c r="K671" s="3" t="s">
        <v>2210</v>
      </c>
      <c r="L671" s="3" t="s">
        <v>905</v>
      </c>
      <c r="M671" t="str" cm="1">
        <f t="array" ref="M671">_xlfn.IFS(INFO_Pasajeros[[#This Row],[Edad]]&lt;=13,"Niños",INFO_Pasajeros[[#This Row],[Edad]]&lt;=18,"Jóvenes",INFO_Pasajeros[[#This Row],[Edad]]&lt;=50,"Adultos",INFO_Pasajeros[[#This Row],[Edad]]&gt;=51,"Adultos Mayores")</f>
        <v>Adultos</v>
      </c>
    </row>
    <row r="672" spans="1:13" x14ac:dyDescent="0.25">
      <c r="A672" s="3" t="s">
        <v>1908</v>
      </c>
      <c r="B672" s="3" t="s">
        <v>902</v>
      </c>
      <c r="C672" s="3">
        <v>669</v>
      </c>
      <c r="D672" s="5">
        <v>16</v>
      </c>
      <c r="E672" s="3">
        <v>0</v>
      </c>
      <c r="F672" s="3">
        <v>0</v>
      </c>
      <c r="G672" s="3">
        <v>3</v>
      </c>
      <c r="H672" s="3">
        <v>0</v>
      </c>
      <c r="I672" s="3" t="s">
        <v>1789</v>
      </c>
      <c r="J672" s="13">
        <v>8.0500000000000007</v>
      </c>
      <c r="K672" s="3" t="s">
        <v>2210</v>
      </c>
      <c r="L672" s="3" t="s">
        <v>905</v>
      </c>
      <c r="M672" t="str" cm="1">
        <f t="array" ref="M672">_xlfn.IFS(INFO_Pasajeros[[#This Row],[Edad]]&lt;=13,"Niños",INFO_Pasajeros[[#This Row],[Edad]]&lt;=18,"Jóvenes",INFO_Pasajeros[[#This Row],[Edad]]&lt;=50,"Adultos",INFO_Pasajeros[[#This Row],[Edad]]&gt;=51,"Adultos Mayores")</f>
        <v>Jóvenes</v>
      </c>
    </row>
    <row r="673" spans="1:13" x14ac:dyDescent="0.25">
      <c r="A673" s="3" t="s">
        <v>1910</v>
      </c>
      <c r="B673" s="3" t="s">
        <v>907</v>
      </c>
      <c r="C673" s="3">
        <v>670</v>
      </c>
      <c r="D673" s="5">
        <v>20</v>
      </c>
      <c r="E673" s="3">
        <v>0</v>
      </c>
      <c r="F673" s="3">
        <v>1</v>
      </c>
      <c r="G673" s="3">
        <v>1</v>
      </c>
      <c r="H673" s="3">
        <v>1</v>
      </c>
      <c r="I673" s="3" t="s">
        <v>1574</v>
      </c>
      <c r="J673" s="13">
        <v>52</v>
      </c>
      <c r="K673" s="3" t="s">
        <v>2210</v>
      </c>
      <c r="L673" s="3" t="s">
        <v>905</v>
      </c>
      <c r="M673" t="str" cm="1">
        <f t="array" ref="M673">_xlfn.IFS(INFO_Pasajeros[[#This Row],[Edad]]&lt;=13,"Niños",INFO_Pasajeros[[#This Row],[Edad]]&lt;=18,"Jóvenes",INFO_Pasajeros[[#This Row],[Edad]]&lt;=50,"Adultos",INFO_Pasajeros[[#This Row],[Edad]]&gt;=51,"Adultos Mayores")</f>
        <v>Adultos</v>
      </c>
    </row>
    <row r="674" spans="1:13" x14ac:dyDescent="0.25">
      <c r="A674" s="3" t="s">
        <v>1912</v>
      </c>
      <c r="B674" s="3" t="s">
        <v>907</v>
      </c>
      <c r="C674" s="3">
        <v>671</v>
      </c>
      <c r="D674" s="5">
        <v>21</v>
      </c>
      <c r="E674" s="3">
        <v>1</v>
      </c>
      <c r="F674" s="3">
        <v>1</v>
      </c>
      <c r="G674" s="3">
        <v>2</v>
      </c>
      <c r="H674" s="3">
        <v>1</v>
      </c>
      <c r="I674" s="3" t="s">
        <v>989</v>
      </c>
      <c r="J674" s="13">
        <v>39</v>
      </c>
      <c r="K674" s="3" t="s">
        <v>2210</v>
      </c>
      <c r="L674" s="3" t="s">
        <v>905</v>
      </c>
      <c r="M674" t="str" cm="1">
        <f t="array" ref="M674">_xlfn.IFS(INFO_Pasajeros[[#This Row],[Edad]]&lt;=13,"Niños",INFO_Pasajeros[[#This Row],[Edad]]&lt;=18,"Jóvenes",INFO_Pasajeros[[#This Row],[Edad]]&lt;=50,"Adultos",INFO_Pasajeros[[#This Row],[Edad]]&gt;=51,"Adultos Mayores")</f>
        <v>Adultos</v>
      </c>
    </row>
    <row r="675" spans="1:13" x14ac:dyDescent="0.25">
      <c r="A675" s="3" t="s">
        <v>1913</v>
      </c>
      <c r="B675" s="3" t="s">
        <v>902</v>
      </c>
      <c r="C675" s="3">
        <v>672</v>
      </c>
      <c r="D675" s="5">
        <v>22</v>
      </c>
      <c r="E675" s="3">
        <v>0</v>
      </c>
      <c r="F675" s="3">
        <v>1</v>
      </c>
      <c r="G675" s="3">
        <v>1</v>
      </c>
      <c r="H675" s="3">
        <v>0</v>
      </c>
      <c r="I675" s="3" t="s">
        <v>903</v>
      </c>
      <c r="J675" s="13">
        <v>52</v>
      </c>
      <c r="K675" s="3" t="s">
        <v>2210</v>
      </c>
      <c r="L675" s="3" t="s">
        <v>905</v>
      </c>
      <c r="M675" t="str" cm="1">
        <f t="array" ref="M675">_xlfn.IFS(INFO_Pasajeros[[#This Row],[Edad]]&lt;=13,"Niños",INFO_Pasajeros[[#This Row],[Edad]]&lt;=18,"Jóvenes",INFO_Pasajeros[[#This Row],[Edad]]&lt;=50,"Adultos",INFO_Pasajeros[[#This Row],[Edad]]&gt;=51,"Adultos Mayores")</f>
        <v>Adultos</v>
      </c>
    </row>
    <row r="676" spans="1:13" x14ac:dyDescent="0.25">
      <c r="A676" s="3" t="s">
        <v>1916</v>
      </c>
      <c r="B676" s="3" t="s">
        <v>902</v>
      </c>
      <c r="C676" s="3">
        <v>673</v>
      </c>
      <c r="D676" s="5">
        <v>22</v>
      </c>
      <c r="E676" s="3">
        <v>0</v>
      </c>
      <c r="F676" s="3">
        <v>0</v>
      </c>
      <c r="G676" s="3">
        <v>2</v>
      </c>
      <c r="H676" s="3">
        <v>0</v>
      </c>
      <c r="I676" s="3" t="s">
        <v>1435</v>
      </c>
      <c r="J676" s="13">
        <v>10.5</v>
      </c>
      <c r="K676" s="3" t="s">
        <v>2210</v>
      </c>
      <c r="L676" s="3" t="s">
        <v>905</v>
      </c>
      <c r="M676" t="str" cm="1">
        <f t="array" ref="M676">_xlfn.IFS(INFO_Pasajeros[[#This Row],[Edad]]&lt;=13,"Niños",INFO_Pasajeros[[#This Row],[Edad]]&lt;=18,"Jóvenes",INFO_Pasajeros[[#This Row],[Edad]]&lt;=50,"Adultos",INFO_Pasajeros[[#This Row],[Edad]]&gt;=51,"Adultos Mayores")</f>
        <v>Adultos</v>
      </c>
    </row>
    <row r="677" spans="1:13" x14ac:dyDescent="0.25">
      <c r="A677" s="3" t="s">
        <v>1918</v>
      </c>
      <c r="B677" s="3" t="s">
        <v>902</v>
      </c>
      <c r="C677" s="3">
        <v>674</v>
      </c>
      <c r="D677" s="5">
        <v>21</v>
      </c>
      <c r="E677" s="3">
        <v>0</v>
      </c>
      <c r="F677" s="3">
        <v>0</v>
      </c>
      <c r="G677" s="3">
        <v>2</v>
      </c>
      <c r="H677" s="3">
        <v>1</v>
      </c>
      <c r="I677" s="3" t="s">
        <v>1279</v>
      </c>
      <c r="J677" s="13">
        <v>13</v>
      </c>
      <c r="K677" s="3" t="s">
        <v>2210</v>
      </c>
      <c r="L677" s="3" t="s">
        <v>905</v>
      </c>
      <c r="M677" t="str" cm="1">
        <f t="array" ref="M677">_xlfn.IFS(INFO_Pasajeros[[#This Row],[Edad]]&lt;=13,"Niños",INFO_Pasajeros[[#This Row],[Edad]]&lt;=18,"Jóvenes",INFO_Pasajeros[[#This Row],[Edad]]&lt;=50,"Adultos",INFO_Pasajeros[[#This Row],[Edad]]&gt;=51,"Adultos Mayores")</f>
        <v>Adultos</v>
      </c>
    </row>
    <row r="678" spans="1:13" x14ac:dyDescent="0.25">
      <c r="A678" s="3" t="s">
        <v>1919</v>
      </c>
      <c r="B678" s="3" t="s">
        <v>902</v>
      </c>
      <c r="C678" s="3">
        <v>675</v>
      </c>
      <c r="D678" s="5">
        <v>22</v>
      </c>
      <c r="E678" s="3">
        <v>0</v>
      </c>
      <c r="F678" s="3">
        <v>0</v>
      </c>
      <c r="G678" s="3">
        <v>2</v>
      </c>
      <c r="H678" s="3">
        <v>0</v>
      </c>
      <c r="I678" s="3" t="s">
        <v>1253</v>
      </c>
      <c r="J678" s="13">
        <v>0</v>
      </c>
      <c r="K678" s="3" t="s">
        <v>2210</v>
      </c>
      <c r="L678" s="3" t="s">
        <v>905</v>
      </c>
      <c r="M678" t="str" cm="1">
        <f t="array" ref="M678">_xlfn.IFS(INFO_Pasajeros[[#This Row],[Edad]]&lt;=13,"Niños",INFO_Pasajeros[[#This Row],[Edad]]&lt;=18,"Jóvenes",INFO_Pasajeros[[#This Row],[Edad]]&lt;=50,"Adultos",INFO_Pasajeros[[#This Row],[Edad]]&gt;=51,"Adultos Mayores")</f>
        <v>Adultos</v>
      </c>
    </row>
    <row r="679" spans="1:13" x14ac:dyDescent="0.25">
      <c r="A679" s="3" t="s">
        <v>1920</v>
      </c>
      <c r="B679" s="3" t="s">
        <v>902</v>
      </c>
      <c r="C679" s="3">
        <v>676</v>
      </c>
      <c r="D679" s="5">
        <v>40</v>
      </c>
      <c r="E679" s="3">
        <v>0</v>
      </c>
      <c r="F679" s="3">
        <v>0</v>
      </c>
      <c r="G679" s="3">
        <v>3</v>
      </c>
      <c r="H679" s="3">
        <v>0</v>
      </c>
      <c r="I679" s="3" t="s">
        <v>1404</v>
      </c>
      <c r="J679" s="13">
        <v>7.7750000000000004</v>
      </c>
      <c r="K679" s="3" t="s">
        <v>2210</v>
      </c>
      <c r="L679" s="3" t="s">
        <v>905</v>
      </c>
      <c r="M679" t="str" cm="1">
        <f t="array" ref="M679">_xlfn.IFS(INFO_Pasajeros[[#This Row],[Edad]]&lt;=13,"Niños",INFO_Pasajeros[[#This Row],[Edad]]&lt;=18,"Jóvenes",INFO_Pasajeros[[#This Row],[Edad]]&lt;=50,"Adultos",INFO_Pasajeros[[#This Row],[Edad]]&gt;=51,"Adultos Mayores")</f>
        <v>Adultos</v>
      </c>
    </row>
    <row r="680" spans="1:13" x14ac:dyDescent="0.25">
      <c r="A680" s="3" t="s">
        <v>1921</v>
      </c>
      <c r="B680" s="3" t="s">
        <v>902</v>
      </c>
      <c r="C680" s="3">
        <v>677</v>
      </c>
      <c r="D680" s="5">
        <v>44</v>
      </c>
      <c r="E680" s="3">
        <v>0</v>
      </c>
      <c r="F680" s="3">
        <v>0</v>
      </c>
      <c r="G680" s="3">
        <v>3</v>
      </c>
      <c r="H680" s="3">
        <v>0</v>
      </c>
      <c r="I680" s="3" t="s">
        <v>1615</v>
      </c>
      <c r="J680" s="13">
        <v>8.0500000000000007</v>
      </c>
      <c r="K680" s="3" t="s">
        <v>2210</v>
      </c>
      <c r="L680" s="3" t="s">
        <v>905</v>
      </c>
      <c r="M680" t="str" cm="1">
        <f t="array" ref="M680">_xlfn.IFS(INFO_Pasajeros[[#This Row],[Edad]]&lt;=13,"Niños",INFO_Pasajeros[[#This Row],[Edad]]&lt;=18,"Jóvenes",INFO_Pasajeros[[#This Row],[Edad]]&lt;=50,"Adultos",INFO_Pasajeros[[#This Row],[Edad]]&gt;=51,"Adultos Mayores")</f>
        <v>Adultos</v>
      </c>
    </row>
    <row r="681" spans="1:13" x14ac:dyDescent="0.25">
      <c r="A681" s="3" t="s">
        <v>1923</v>
      </c>
      <c r="B681" s="3" t="s">
        <v>907</v>
      </c>
      <c r="C681" s="3">
        <v>678</v>
      </c>
      <c r="D681" s="5">
        <v>43</v>
      </c>
      <c r="E681" s="3">
        <v>0</v>
      </c>
      <c r="F681" s="3">
        <v>0</v>
      </c>
      <c r="G681" s="3">
        <v>3</v>
      </c>
      <c r="H681" s="3">
        <v>1</v>
      </c>
      <c r="I681" s="3" t="s">
        <v>1909</v>
      </c>
      <c r="J681" s="13">
        <v>98.417000000000002</v>
      </c>
      <c r="K681" s="3" t="s">
        <v>2210</v>
      </c>
      <c r="L681" s="3" t="s">
        <v>905</v>
      </c>
      <c r="M681" t="str" cm="1">
        <f t="array" ref="M681">_xlfn.IFS(INFO_Pasajeros[[#This Row],[Edad]]&lt;=13,"Niños",INFO_Pasajeros[[#This Row],[Edad]]&lt;=18,"Jóvenes",INFO_Pasajeros[[#This Row],[Edad]]&lt;=50,"Adultos",INFO_Pasajeros[[#This Row],[Edad]]&gt;=51,"Adultos Mayores")</f>
        <v>Adultos</v>
      </c>
    </row>
    <row r="682" spans="1:13" x14ac:dyDescent="0.25">
      <c r="A682" s="3" t="s">
        <v>1924</v>
      </c>
      <c r="B682" s="3" t="s">
        <v>907</v>
      </c>
      <c r="C682" s="3">
        <v>679</v>
      </c>
      <c r="D682" s="5">
        <v>18</v>
      </c>
      <c r="E682" s="3">
        <v>6</v>
      </c>
      <c r="F682" s="3">
        <v>1</v>
      </c>
      <c r="G682" s="3">
        <v>3</v>
      </c>
      <c r="H682" s="3">
        <v>0</v>
      </c>
      <c r="I682" s="3" t="s">
        <v>1241</v>
      </c>
      <c r="J682" s="13">
        <v>46.9</v>
      </c>
      <c r="K682" s="3" t="s">
        <v>2210</v>
      </c>
      <c r="L682" s="3" t="s">
        <v>905</v>
      </c>
      <c r="M682" t="str" cm="1">
        <f t="array" ref="M682">_xlfn.IFS(INFO_Pasajeros[[#This Row],[Edad]]&lt;=13,"Niños",INFO_Pasajeros[[#This Row],[Edad]]&lt;=18,"Jóvenes",INFO_Pasajeros[[#This Row],[Edad]]&lt;=50,"Adultos",INFO_Pasajeros[[#This Row],[Edad]]&gt;=51,"Adultos Mayores")</f>
        <v>Jóvenes</v>
      </c>
    </row>
    <row r="683" spans="1:13" x14ac:dyDescent="0.25">
      <c r="A683" s="3" t="s">
        <v>1925</v>
      </c>
      <c r="B683" s="3" t="s">
        <v>902</v>
      </c>
      <c r="C683" s="3">
        <v>680</v>
      </c>
      <c r="D683" s="5">
        <v>50</v>
      </c>
      <c r="E683" s="3">
        <v>1</v>
      </c>
      <c r="F683" s="3">
        <v>0</v>
      </c>
      <c r="G683" s="3">
        <v>1</v>
      </c>
      <c r="H683" s="3">
        <v>1</v>
      </c>
      <c r="I683" s="3" t="s">
        <v>1655</v>
      </c>
      <c r="J683" s="13">
        <v>512.32920000000001</v>
      </c>
      <c r="K683" s="3" t="s">
        <v>2210</v>
      </c>
      <c r="L683" s="3" t="s">
        <v>905</v>
      </c>
      <c r="M683" t="str" cm="1">
        <f t="array" ref="M683">_xlfn.IFS(INFO_Pasajeros[[#This Row],[Edad]]&lt;=13,"Niños",INFO_Pasajeros[[#This Row],[Edad]]&lt;=18,"Jóvenes",INFO_Pasajeros[[#This Row],[Edad]]&lt;=50,"Adultos",INFO_Pasajeros[[#This Row],[Edad]]&gt;=51,"Adultos Mayores")</f>
        <v>Adultos</v>
      </c>
    </row>
    <row r="684" spans="1:13" x14ac:dyDescent="0.25">
      <c r="A684" s="3" t="s">
        <v>1927</v>
      </c>
      <c r="B684" s="3" t="s">
        <v>907</v>
      </c>
      <c r="C684" s="3">
        <v>681</v>
      </c>
      <c r="D684" s="5">
        <v>47</v>
      </c>
      <c r="E684" s="3">
        <v>0</v>
      </c>
      <c r="F684" s="3">
        <v>0</v>
      </c>
      <c r="G684" s="3">
        <v>3</v>
      </c>
      <c r="H684" s="3">
        <v>0</v>
      </c>
      <c r="I684" s="3" t="s">
        <v>1815</v>
      </c>
      <c r="J684" s="13">
        <v>81.375</v>
      </c>
      <c r="K684" s="3" t="s">
        <v>2210</v>
      </c>
      <c r="L684" s="3" t="s">
        <v>905</v>
      </c>
      <c r="M684" t="str" cm="1">
        <f t="array" ref="M684">_xlfn.IFS(INFO_Pasajeros[[#This Row],[Edad]]&lt;=13,"Niños",INFO_Pasajeros[[#This Row],[Edad]]&lt;=18,"Jóvenes",INFO_Pasajeros[[#This Row],[Edad]]&lt;=50,"Adultos",INFO_Pasajeros[[#This Row],[Edad]]&gt;=51,"Adultos Mayores")</f>
        <v>Adultos</v>
      </c>
    </row>
    <row r="685" spans="1:13" x14ac:dyDescent="0.25">
      <c r="A685" s="3" t="s">
        <v>1928</v>
      </c>
      <c r="B685" s="3" t="s">
        <v>902</v>
      </c>
      <c r="C685" s="3">
        <v>682</v>
      </c>
      <c r="D685" s="5">
        <v>19</v>
      </c>
      <c r="E685" s="3">
        <v>0</v>
      </c>
      <c r="F685" s="3">
        <v>0</v>
      </c>
      <c r="G685" s="3">
        <v>1</v>
      </c>
      <c r="H685" s="3">
        <v>1</v>
      </c>
      <c r="I685" s="3" t="s">
        <v>1368</v>
      </c>
      <c r="J685" s="13">
        <v>767.29200000000003</v>
      </c>
      <c r="K685" s="3" t="s">
        <v>2210</v>
      </c>
      <c r="L685" s="3" t="s">
        <v>905</v>
      </c>
      <c r="M685" t="str" cm="1">
        <f t="array" ref="M685">_xlfn.IFS(INFO_Pasajeros[[#This Row],[Edad]]&lt;=13,"Niños",INFO_Pasajeros[[#This Row],[Edad]]&lt;=18,"Jóvenes",INFO_Pasajeros[[#This Row],[Edad]]&lt;=50,"Adultos",INFO_Pasajeros[[#This Row],[Edad]]&gt;=51,"Adultos Mayores")</f>
        <v>Adultos</v>
      </c>
    </row>
    <row r="686" spans="1:13" x14ac:dyDescent="0.25">
      <c r="A686" s="3" t="s">
        <v>1930</v>
      </c>
      <c r="B686" s="3" t="s">
        <v>902</v>
      </c>
      <c r="C686" s="3">
        <v>683</v>
      </c>
      <c r="D686" s="5">
        <v>21</v>
      </c>
      <c r="E686" s="3">
        <v>0</v>
      </c>
      <c r="F686" s="3">
        <v>0</v>
      </c>
      <c r="G686" s="3">
        <v>3</v>
      </c>
      <c r="H686" s="3">
        <v>0</v>
      </c>
      <c r="I686" s="3" t="s">
        <v>1568</v>
      </c>
      <c r="J686" s="13">
        <v>9.2249999999999996</v>
      </c>
      <c r="K686" s="3" t="s">
        <v>2210</v>
      </c>
      <c r="L686" s="3" t="s">
        <v>919</v>
      </c>
      <c r="M686" t="str" cm="1">
        <f t="array" ref="M686">_xlfn.IFS(INFO_Pasajeros[[#This Row],[Edad]]&lt;=13,"Niños",INFO_Pasajeros[[#This Row],[Edad]]&lt;=18,"Jóvenes",INFO_Pasajeros[[#This Row],[Edad]]&lt;=50,"Adultos",INFO_Pasajeros[[#This Row],[Edad]]&gt;=51,"Adultos Mayores")</f>
        <v>Adultos</v>
      </c>
    </row>
    <row r="687" spans="1:13" x14ac:dyDescent="0.25">
      <c r="A687" s="3" t="s">
        <v>1931</v>
      </c>
      <c r="B687" s="3" t="s">
        <v>902</v>
      </c>
      <c r="C687" s="3">
        <v>684</v>
      </c>
      <c r="D687" s="5">
        <v>20</v>
      </c>
      <c r="E687" s="3">
        <v>2</v>
      </c>
      <c r="F687" s="3">
        <v>5</v>
      </c>
      <c r="G687" s="3">
        <v>3</v>
      </c>
      <c r="H687" s="3">
        <v>0</v>
      </c>
      <c r="I687" s="3" t="s">
        <v>933</v>
      </c>
      <c r="J687" s="13">
        <v>46.9</v>
      </c>
      <c r="K687" s="3" t="s">
        <v>2210</v>
      </c>
      <c r="L687" s="3" t="s">
        <v>905</v>
      </c>
      <c r="M687" t="str" cm="1">
        <f t="array" ref="M687">_xlfn.IFS(INFO_Pasajeros[[#This Row],[Edad]]&lt;=13,"Niños",INFO_Pasajeros[[#This Row],[Edad]]&lt;=18,"Jóvenes",INFO_Pasajeros[[#This Row],[Edad]]&lt;=50,"Adultos",INFO_Pasajeros[[#This Row],[Edad]]&gt;=51,"Adultos Mayores")</f>
        <v>Adultos</v>
      </c>
    </row>
    <row r="688" spans="1:13" x14ac:dyDescent="0.25">
      <c r="A688" s="3" t="s">
        <v>1932</v>
      </c>
      <c r="B688" s="3" t="s">
        <v>902</v>
      </c>
      <c r="C688" s="3">
        <v>685</v>
      </c>
      <c r="D688" s="5">
        <v>30</v>
      </c>
      <c r="E688" s="3">
        <v>1</v>
      </c>
      <c r="F688" s="3">
        <v>1</v>
      </c>
      <c r="G688" s="3">
        <v>2</v>
      </c>
      <c r="H688" s="3">
        <v>0</v>
      </c>
      <c r="I688" s="3" t="s">
        <v>1318</v>
      </c>
      <c r="J688" s="13">
        <v>39</v>
      </c>
      <c r="K688" s="3" t="s">
        <v>2210</v>
      </c>
      <c r="L688" s="3" t="s">
        <v>905</v>
      </c>
      <c r="M688" t="str" cm="1">
        <f t="array" ref="M688">_xlfn.IFS(INFO_Pasajeros[[#This Row],[Edad]]&lt;=13,"Niños",INFO_Pasajeros[[#This Row],[Edad]]&lt;=18,"Jóvenes",INFO_Pasajeros[[#This Row],[Edad]]&lt;=50,"Adultos",INFO_Pasajeros[[#This Row],[Edad]]&gt;=51,"Adultos Mayores")</f>
        <v>Adultos</v>
      </c>
    </row>
    <row r="689" spans="1:13" x14ac:dyDescent="0.25">
      <c r="A689" s="3" t="s">
        <v>1933</v>
      </c>
      <c r="B689" s="3" t="s">
        <v>902</v>
      </c>
      <c r="C689" s="3">
        <v>686</v>
      </c>
      <c r="D689" s="5">
        <v>26</v>
      </c>
      <c r="E689" s="3">
        <v>2</v>
      </c>
      <c r="F689" s="3">
        <v>1</v>
      </c>
      <c r="G689" s="3">
        <v>2</v>
      </c>
      <c r="H689" s="3">
        <v>0</v>
      </c>
      <c r="I689" s="3" t="s">
        <v>1318</v>
      </c>
      <c r="J689" s="13">
        <v>415.79199999999997</v>
      </c>
      <c r="K689" s="3" t="s">
        <v>2210</v>
      </c>
      <c r="L689" s="3" t="s">
        <v>905</v>
      </c>
      <c r="M689" t="str" cm="1">
        <f t="array" ref="M689">_xlfn.IFS(INFO_Pasajeros[[#This Row],[Edad]]&lt;=13,"Niños",INFO_Pasajeros[[#This Row],[Edad]]&lt;=18,"Jóvenes",INFO_Pasajeros[[#This Row],[Edad]]&lt;=50,"Adultos",INFO_Pasajeros[[#This Row],[Edad]]&gt;=51,"Adultos Mayores")</f>
        <v>Adultos</v>
      </c>
    </row>
    <row r="690" spans="1:13" x14ac:dyDescent="0.25">
      <c r="A690" s="3" t="s">
        <v>1934</v>
      </c>
      <c r="B690" s="3" t="s">
        <v>902</v>
      </c>
      <c r="C690" s="3">
        <v>687</v>
      </c>
      <c r="D690" s="5">
        <v>47</v>
      </c>
      <c r="E690" s="3">
        <v>1</v>
      </c>
      <c r="F690" s="3">
        <v>4</v>
      </c>
      <c r="G690" s="3">
        <v>3</v>
      </c>
      <c r="H690" s="3">
        <v>0</v>
      </c>
      <c r="I690" s="3" t="s">
        <v>1123</v>
      </c>
      <c r="J690" s="13">
        <v>396.875</v>
      </c>
      <c r="K690" s="3" t="s">
        <v>2210</v>
      </c>
      <c r="L690" s="3" t="s">
        <v>905</v>
      </c>
      <c r="M690" t="str" cm="1">
        <f t="array" ref="M690">_xlfn.IFS(INFO_Pasajeros[[#This Row],[Edad]]&lt;=13,"Niños",INFO_Pasajeros[[#This Row],[Edad]]&lt;=18,"Jóvenes",INFO_Pasajeros[[#This Row],[Edad]]&lt;=50,"Adultos",INFO_Pasajeros[[#This Row],[Edad]]&gt;=51,"Adultos Mayores")</f>
        <v>Adultos</v>
      </c>
    </row>
    <row r="691" spans="1:13" x14ac:dyDescent="0.25">
      <c r="A691" s="3" t="s">
        <v>1935</v>
      </c>
      <c r="B691" s="3" t="s">
        <v>902</v>
      </c>
      <c r="C691" s="3">
        <v>688</v>
      </c>
      <c r="D691" s="5">
        <v>41</v>
      </c>
      <c r="E691" s="3">
        <v>0</v>
      </c>
      <c r="F691" s="3">
        <v>0</v>
      </c>
      <c r="G691" s="3">
        <v>3</v>
      </c>
      <c r="H691" s="3">
        <v>0</v>
      </c>
      <c r="I691" s="3" t="s">
        <v>1164</v>
      </c>
      <c r="J691" s="13">
        <v>101.708</v>
      </c>
      <c r="K691" s="3" t="s">
        <v>2210</v>
      </c>
      <c r="L691" s="3" t="s">
        <v>905</v>
      </c>
      <c r="M691" t="str" cm="1">
        <f t="array" ref="M691">_xlfn.IFS(INFO_Pasajeros[[#This Row],[Edad]]&lt;=13,"Niños",INFO_Pasajeros[[#This Row],[Edad]]&lt;=18,"Jóvenes",INFO_Pasajeros[[#This Row],[Edad]]&lt;=50,"Adultos",INFO_Pasajeros[[#This Row],[Edad]]&gt;=51,"Adultos Mayores")</f>
        <v>Adultos</v>
      </c>
    </row>
    <row r="692" spans="1:13" x14ac:dyDescent="0.25">
      <c r="A692" s="3" t="s">
        <v>1936</v>
      </c>
      <c r="B692" s="3" t="s">
        <v>902</v>
      </c>
      <c r="C692" s="3">
        <v>689</v>
      </c>
      <c r="D692" s="5">
        <v>47</v>
      </c>
      <c r="E692" s="3">
        <v>0</v>
      </c>
      <c r="F692" s="3">
        <v>0</v>
      </c>
      <c r="G692" s="3">
        <v>3</v>
      </c>
      <c r="H692" s="3">
        <v>0</v>
      </c>
      <c r="I692" s="3" t="s">
        <v>1632</v>
      </c>
      <c r="J692" s="13">
        <v>77.957999999999998</v>
      </c>
      <c r="K692" s="3" t="s">
        <v>2210</v>
      </c>
      <c r="L692" s="3" t="s">
        <v>905</v>
      </c>
      <c r="M692" t="str" cm="1">
        <f t="array" ref="M692">_xlfn.IFS(INFO_Pasajeros[[#This Row],[Edad]]&lt;=13,"Niños",INFO_Pasajeros[[#This Row],[Edad]]&lt;=18,"Jóvenes",INFO_Pasajeros[[#This Row],[Edad]]&lt;=50,"Adultos",INFO_Pasajeros[[#This Row],[Edad]]&gt;=51,"Adultos Mayores")</f>
        <v>Adultos</v>
      </c>
    </row>
    <row r="693" spans="1:13" x14ac:dyDescent="0.25">
      <c r="A693" s="3" t="s">
        <v>1937</v>
      </c>
      <c r="B693" s="3" t="s">
        <v>907</v>
      </c>
      <c r="C693" s="3">
        <v>690</v>
      </c>
      <c r="D693" s="5">
        <v>7</v>
      </c>
      <c r="E693" s="3">
        <v>1</v>
      </c>
      <c r="F693" s="3">
        <v>0</v>
      </c>
      <c r="G693" s="3">
        <v>1</v>
      </c>
      <c r="H693" s="3">
        <v>1</v>
      </c>
      <c r="I693" s="3" t="s">
        <v>1105</v>
      </c>
      <c r="J693" s="13">
        <v>211.33750000000001</v>
      </c>
      <c r="K693" s="3" t="s">
        <v>2210</v>
      </c>
      <c r="L693" s="3" t="s">
        <v>905</v>
      </c>
      <c r="M693" t="str" cm="1">
        <f t="array" ref="M693">_xlfn.IFS(INFO_Pasajeros[[#This Row],[Edad]]&lt;=13,"Niños",INFO_Pasajeros[[#This Row],[Edad]]&lt;=18,"Jóvenes",INFO_Pasajeros[[#This Row],[Edad]]&lt;=50,"Adultos",INFO_Pasajeros[[#This Row],[Edad]]&gt;=51,"Adultos Mayores")</f>
        <v>Niños</v>
      </c>
    </row>
    <row r="694" spans="1:13" x14ac:dyDescent="0.25">
      <c r="A694" s="3" t="s">
        <v>1939</v>
      </c>
      <c r="B694" s="3" t="s">
        <v>902</v>
      </c>
      <c r="C694" s="3">
        <v>691</v>
      </c>
      <c r="D694" s="5">
        <v>24</v>
      </c>
      <c r="E694" s="3">
        <v>0</v>
      </c>
      <c r="F694" s="3">
        <v>1</v>
      </c>
      <c r="G694" s="3">
        <v>1</v>
      </c>
      <c r="H694" s="3">
        <v>1</v>
      </c>
      <c r="I694" s="3" t="s">
        <v>1114</v>
      </c>
      <c r="J694" s="13">
        <v>57</v>
      </c>
      <c r="K694" s="3" t="s">
        <v>2210</v>
      </c>
      <c r="L694" s="3" t="s">
        <v>905</v>
      </c>
      <c r="M694" t="str" cm="1">
        <f t="array" ref="M694">_xlfn.IFS(INFO_Pasajeros[[#This Row],[Edad]]&lt;=13,"Niños",INFO_Pasajeros[[#This Row],[Edad]]&lt;=18,"Jóvenes",INFO_Pasajeros[[#This Row],[Edad]]&lt;=50,"Adultos",INFO_Pasajeros[[#This Row],[Edad]]&gt;=51,"Adultos Mayores")</f>
        <v>Adultos</v>
      </c>
    </row>
    <row r="695" spans="1:13" x14ac:dyDescent="0.25">
      <c r="A695" s="3" t="s">
        <v>1941</v>
      </c>
      <c r="B695" s="3" t="s">
        <v>907</v>
      </c>
      <c r="C695" s="3">
        <v>692</v>
      </c>
      <c r="D695" s="5">
        <v>28</v>
      </c>
      <c r="E695" s="3">
        <v>1</v>
      </c>
      <c r="F695" s="3">
        <v>0</v>
      </c>
      <c r="G695" s="3">
        <v>3</v>
      </c>
      <c r="H695" s="3">
        <v>1</v>
      </c>
      <c r="I695" s="3" t="s">
        <v>1692</v>
      </c>
      <c r="J695" s="13">
        <v>134.167</v>
      </c>
      <c r="K695" s="3" t="s">
        <v>2210</v>
      </c>
      <c r="L695" s="3" t="s">
        <v>905</v>
      </c>
      <c r="M695" t="str" cm="1">
        <f t="array" ref="M695">_xlfn.IFS(INFO_Pasajeros[[#This Row],[Edad]]&lt;=13,"Niños",INFO_Pasajeros[[#This Row],[Edad]]&lt;=18,"Jóvenes",INFO_Pasajeros[[#This Row],[Edad]]&lt;=50,"Adultos",INFO_Pasajeros[[#This Row],[Edad]]&gt;=51,"Adultos Mayores")</f>
        <v>Adultos</v>
      </c>
    </row>
    <row r="696" spans="1:13" x14ac:dyDescent="0.25">
      <c r="A696" s="3" t="s">
        <v>1942</v>
      </c>
      <c r="B696" s="3" t="s">
        <v>902</v>
      </c>
      <c r="C696" s="3">
        <v>693</v>
      </c>
      <c r="D696" s="5">
        <v>43</v>
      </c>
      <c r="E696" s="3">
        <v>0</v>
      </c>
      <c r="F696" s="3">
        <v>0</v>
      </c>
      <c r="G696" s="3">
        <v>3</v>
      </c>
      <c r="H696" s="3">
        <v>1</v>
      </c>
      <c r="I696" s="3" t="s">
        <v>2104</v>
      </c>
      <c r="J696" s="13">
        <v>564.95799999999997</v>
      </c>
      <c r="K696" s="3" t="s">
        <v>2210</v>
      </c>
      <c r="L696" s="3" t="s">
        <v>905</v>
      </c>
      <c r="M696" t="str" cm="1">
        <f t="array" ref="M696">_xlfn.IFS(INFO_Pasajeros[[#This Row],[Edad]]&lt;=13,"Niños",INFO_Pasajeros[[#This Row],[Edad]]&lt;=18,"Jóvenes",INFO_Pasajeros[[#This Row],[Edad]]&lt;=50,"Adultos",INFO_Pasajeros[[#This Row],[Edad]]&gt;=51,"Adultos Mayores")</f>
        <v>Adultos</v>
      </c>
    </row>
    <row r="697" spans="1:13" x14ac:dyDescent="0.25">
      <c r="A697" s="3" t="s">
        <v>1943</v>
      </c>
      <c r="B697" s="3" t="s">
        <v>902</v>
      </c>
      <c r="C697" s="3">
        <v>694</v>
      </c>
      <c r="D697" s="5">
        <v>30</v>
      </c>
      <c r="E697" s="3">
        <v>0</v>
      </c>
      <c r="F697" s="3">
        <v>0</v>
      </c>
      <c r="G697" s="3">
        <v>3</v>
      </c>
      <c r="H697" s="3">
        <v>0</v>
      </c>
      <c r="I697" s="3" t="s">
        <v>1494</v>
      </c>
      <c r="J697" s="13">
        <v>7.2249999999999996</v>
      </c>
      <c r="K697" s="3" t="s">
        <v>2210</v>
      </c>
      <c r="L697" s="3" t="s">
        <v>905</v>
      </c>
      <c r="M697" t="str" cm="1">
        <f t="array" ref="M697">_xlfn.IFS(INFO_Pasajeros[[#This Row],[Edad]]&lt;=13,"Niños",INFO_Pasajeros[[#This Row],[Edad]]&lt;=18,"Jóvenes",INFO_Pasajeros[[#This Row],[Edad]]&lt;=50,"Adultos",INFO_Pasajeros[[#This Row],[Edad]]&gt;=51,"Adultos Mayores")</f>
        <v>Adultos</v>
      </c>
    </row>
    <row r="698" spans="1:13" x14ac:dyDescent="0.25">
      <c r="A698" s="3" t="s">
        <v>1944</v>
      </c>
      <c r="B698" s="3" t="s">
        <v>902</v>
      </c>
      <c r="C698" s="3">
        <v>695</v>
      </c>
      <c r="D698" s="5">
        <v>22</v>
      </c>
      <c r="E698" s="3">
        <v>0</v>
      </c>
      <c r="F698" s="3">
        <v>0</v>
      </c>
      <c r="G698" s="3">
        <v>1</v>
      </c>
      <c r="H698" s="3">
        <v>0</v>
      </c>
      <c r="I698" s="3" t="s">
        <v>1512</v>
      </c>
      <c r="J698" s="13">
        <v>26.55</v>
      </c>
      <c r="K698" s="3" t="s">
        <v>2210</v>
      </c>
      <c r="L698" s="3" t="s">
        <v>905</v>
      </c>
      <c r="M698" t="str" cm="1">
        <f t="array" ref="M698">_xlfn.IFS(INFO_Pasajeros[[#This Row],[Edad]]&lt;=13,"Niños",INFO_Pasajeros[[#This Row],[Edad]]&lt;=18,"Jóvenes",INFO_Pasajeros[[#This Row],[Edad]]&lt;=50,"Adultos",INFO_Pasajeros[[#This Row],[Edad]]&gt;=51,"Adultos Mayores")</f>
        <v>Adultos</v>
      </c>
    </row>
    <row r="699" spans="1:13" x14ac:dyDescent="0.25">
      <c r="A699" s="3" t="s">
        <v>1945</v>
      </c>
      <c r="B699" s="3" t="s">
        <v>902</v>
      </c>
      <c r="C699" s="3">
        <v>696</v>
      </c>
      <c r="D699" s="5">
        <v>36</v>
      </c>
      <c r="E699" s="3">
        <v>0</v>
      </c>
      <c r="F699" s="3">
        <v>0</v>
      </c>
      <c r="G699" s="3">
        <v>2</v>
      </c>
      <c r="H699" s="3">
        <v>0</v>
      </c>
      <c r="I699" s="3" t="s">
        <v>1338</v>
      </c>
      <c r="J699" s="13">
        <v>13.5</v>
      </c>
      <c r="K699" s="3" t="s">
        <v>2210</v>
      </c>
      <c r="L699" s="3" t="s">
        <v>905</v>
      </c>
      <c r="M699" t="str" cm="1">
        <f t="array" ref="M699">_xlfn.IFS(INFO_Pasajeros[[#This Row],[Edad]]&lt;=13,"Niños",INFO_Pasajeros[[#This Row],[Edad]]&lt;=18,"Jóvenes",INFO_Pasajeros[[#This Row],[Edad]]&lt;=50,"Adultos",INFO_Pasajeros[[#This Row],[Edad]]&gt;=51,"Adultos Mayores")</f>
        <v>Adultos</v>
      </c>
    </row>
    <row r="700" spans="1:13" x14ac:dyDescent="0.25">
      <c r="A700" s="3" t="s">
        <v>1946</v>
      </c>
      <c r="B700" s="3" t="s">
        <v>902</v>
      </c>
      <c r="C700" s="3">
        <v>697</v>
      </c>
      <c r="D700" s="5">
        <v>31</v>
      </c>
      <c r="E700" s="3">
        <v>0</v>
      </c>
      <c r="F700" s="3">
        <v>0</v>
      </c>
      <c r="G700" s="3">
        <v>3</v>
      </c>
      <c r="H700" s="3">
        <v>0</v>
      </c>
      <c r="I700" s="3" t="s">
        <v>1595</v>
      </c>
      <c r="J700" s="13">
        <v>8.0500000000000007</v>
      </c>
      <c r="K700" s="3" t="s">
        <v>2210</v>
      </c>
      <c r="L700" s="3" t="s">
        <v>905</v>
      </c>
      <c r="M700" t="str" cm="1">
        <f t="array" ref="M700">_xlfn.IFS(INFO_Pasajeros[[#This Row],[Edad]]&lt;=13,"Niños",INFO_Pasajeros[[#This Row],[Edad]]&lt;=18,"Jóvenes",INFO_Pasajeros[[#This Row],[Edad]]&lt;=50,"Adultos",INFO_Pasajeros[[#This Row],[Edad]]&gt;=51,"Adultos Mayores")</f>
        <v>Adultos</v>
      </c>
    </row>
    <row r="701" spans="1:13" x14ac:dyDescent="0.25">
      <c r="A701" s="3" t="s">
        <v>1947</v>
      </c>
      <c r="B701" s="3" t="s">
        <v>907</v>
      </c>
      <c r="C701" s="3">
        <v>698</v>
      </c>
      <c r="D701" s="5">
        <v>26</v>
      </c>
      <c r="E701" s="3">
        <v>0</v>
      </c>
      <c r="F701" s="3">
        <v>0</v>
      </c>
      <c r="G701" s="3">
        <v>3</v>
      </c>
      <c r="H701" s="3">
        <v>1</v>
      </c>
      <c r="I701" s="3" t="s">
        <v>1064</v>
      </c>
      <c r="J701" s="13">
        <v>77.332999999999998</v>
      </c>
      <c r="K701" s="3" t="s">
        <v>2210</v>
      </c>
      <c r="L701" s="3" t="s">
        <v>905</v>
      </c>
      <c r="M701" t="str" cm="1">
        <f t="array" ref="M701">_xlfn.IFS(INFO_Pasajeros[[#This Row],[Edad]]&lt;=13,"Niños",INFO_Pasajeros[[#This Row],[Edad]]&lt;=18,"Jóvenes",INFO_Pasajeros[[#This Row],[Edad]]&lt;=50,"Adultos",INFO_Pasajeros[[#This Row],[Edad]]&gt;=51,"Adultos Mayores")</f>
        <v>Adultos</v>
      </c>
    </row>
    <row r="702" spans="1:13" x14ac:dyDescent="0.25">
      <c r="A702" s="3" t="s">
        <v>1948</v>
      </c>
      <c r="B702" s="3" t="s">
        <v>902</v>
      </c>
      <c r="C702" s="3">
        <v>699</v>
      </c>
      <c r="D702" s="5">
        <v>1</v>
      </c>
      <c r="E702" s="3">
        <v>1</v>
      </c>
      <c r="F702" s="3">
        <v>1</v>
      </c>
      <c r="G702" s="3">
        <v>1</v>
      </c>
      <c r="H702" s="3">
        <v>0</v>
      </c>
      <c r="I702" s="3" t="s">
        <v>1064</v>
      </c>
      <c r="J702" s="13">
        <v>110.88330000000001</v>
      </c>
      <c r="K702" s="3" t="s">
        <v>2210</v>
      </c>
      <c r="L702" s="3" t="s">
        <v>905</v>
      </c>
      <c r="M702" t="str" cm="1">
        <f t="array" ref="M702">_xlfn.IFS(INFO_Pasajeros[[#This Row],[Edad]]&lt;=13,"Niños",INFO_Pasajeros[[#This Row],[Edad]]&lt;=18,"Jóvenes",INFO_Pasajeros[[#This Row],[Edad]]&lt;=50,"Adultos",INFO_Pasajeros[[#This Row],[Edad]]&gt;=51,"Adultos Mayores")</f>
        <v>Niños</v>
      </c>
    </row>
    <row r="703" spans="1:13" x14ac:dyDescent="0.25">
      <c r="A703" s="3" t="s">
        <v>1949</v>
      </c>
      <c r="B703" s="3" t="s">
        <v>902</v>
      </c>
      <c r="C703" s="3">
        <v>700</v>
      </c>
      <c r="D703" s="5">
        <v>66</v>
      </c>
      <c r="E703" s="3">
        <v>0</v>
      </c>
      <c r="F703" s="3">
        <v>0</v>
      </c>
      <c r="G703" s="3">
        <v>3</v>
      </c>
      <c r="H703" s="3">
        <v>0</v>
      </c>
      <c r="I703" s="3" t="s">
        <v>963</v>
      </c>
      <c r="J703" s="13">
        <v>7.65</v>
      </c>
      <c r="K703" s="3" t="s">
        <v>2210</v>
      </c>
      <c r="L703" s="3" t="s">
        <v>905</v>
      </c>
      <c r="M703" t="str" cm="1">
        <f t="array" ref="M703">_xlfn.IFS(INFO_Pasajeros[[#This Row],[Edad]]&lt;=13,"Niños",INFO_Pasajeros[[#This Row],[Edad]]&lt;=18,"Jóvenes",INFO_Pasajeros[[#This Row],[Edad]]&lt;=50,"Adultos",INFO_Pasajeros[[#This Row],[Edad]]&gt;=51,"Adultos Mayores")</f>
        <v>Adultos Mayores</v>
      </c>
    </row>
    <row r="704" spans="1:13" x14ac:dyDescent="0.25">
      <c r="A704" s="3" t="s">
        <v>1951</v>
      </c>
      <c r="B704" s="3" t="s">
        <v>907</v>
      </c>
      <c r="C704" s="3">
        <v>701</v>
      </c>
      <c r="D704" s="5">
        <v>70</v>
      </c>
      <c r="E704" s="3">
        <v>0</v>
      </c>
      <c r="F704" s="3">
        <v>1</v>
      </c>
      <c r="G704" s="3">
        <v>1</v>
      </c>
      <c r="H704" s="3">
        <v>1</v>
      </c>
      <c r="I704" s="3" t="s">
        <v>1917</v>
      </c>
      <c r="J704" s="13">
        <v>227.52500000000001</v>
      </c>
      <c r="K704" s="3" t="s">
        <v>2210</v>
      </c>
      <c r="L704" s="3" t="s">
        <v>905</v>
      </c>
      <c r="M704" t="str" cm="1">
        <f t="array" ref="M704">_xlfn.IFS(INFO_Pasajeros[[#This Row],[Edad]]&lt;=13,"Niños",INFO_Pasajeros[[#This Row],[Edad]]&lt;=18,"Jóvenes",INFO_Pasajeros[[#This Row],[Edad]]&lt;=50,"Adultos",INFO_Pasajeros[[#This Row],[Edad]]&gt;=51,"Adultos Mayores")</f>
        <v>Adultos Mayores</v>
      </c>
    </row>
    <row r="705" spans="1:13" x14ac:dyDescent="0.25">
      <c r="A705" s="3" t="s">
        <v>1953</v>
      </c>
      <c r="B705" s="3" t="s">
        <v>902</v>
      </c>
      <c r="C705" s="3">
        <v>702</v>
      </c>
      <c r="D705" s="5">
        <v>35</v>
      </c>
      <c r="E705" s="3">
        <v>0</v>
      </c>
      <c r="F705" s="3">
        <v>0</v>
      </c>
      <c r="G705" s="3">
        <v>1</v>
      </c>
      <c r="H705" s="3">
        <v>1</v>
      </c>
      <c r="I705" s="3" t="s">
        <v>1362</v>
      </c>
      <c r="J705" s="13">
        <v>262.875</v>
      </c>
      <c r="K705" s="3" t="s">
        <v>2210</v>
      </c>
      <c r="L705" s="3" t="s">
        <v>905</v>
      </c>
      <c r="M705" t="str" cm="1">
        <f t="array" ref="M705">_xlfn.IFS(INFO_Pasajeros[[#This Row],[Edad]]&lt;=13,"Niños",INFO_Pasajeros[[#This Row],[Edad]]&lt;=18,"Jóvenes",INFO_Pasajeros[[#This Row],[Edad]]&lt;=50,"Adultos",INFO_Pasajeros[[#This Row],[Edad]]&gt;=51,"Adultos Mayores")</f>
        <v>Adultos</v>
      </c>
    </row>
    <row r="706" spans="1:13" x14ac:dyDescent="0.25">
      <c r="A706" s="3" t="s">
        <v>1956</v>
      </c>
      <c r="B706" s="3" t="s">
        <v>907</v>
      </c>
      <c r="C706" s="3">
        <v>703</v>
      </c>
      <c r="D706" s="5">
        <v>16</v>
      </c>
      <c r="E706" s="3">
        <v>1</v>
      </c>
      <c r="F706" s="3">
        <v>0</v>
      </c>
      <c r="G706" s="3">
        <v>3</v>
      </c>
      <c r="H706" s="3">
        <v>0</v>
      </c>
      <c r="I706" s="3" t="s">
        <v>1362</v>
      </c>
      <c r="J706" s="13">
        <v>144.542</v>
      </c>
      <c r="K706" s="3" t="s">
        <v>2210</v>
      </c>
      <c r="L706" s="3" t="s">
        <v>905</v>
      </c>
      <c r="M706" t="str" cm="1">
        <f t="array" ref="M706">_xlfn.IFS(INFO_Pasajeros[[#This Row],[Edad]]&lt;=13,"Niños",INFO_Pasajeros[[#This Row],[Edad]]&lt;=18,"Jóvenes",INFO_Pasajeros[[#This Row],[Edad]]&lt;=50,"Adultos",INFO_Pasajeros[[#This Row],[Edad]]&gt;=51,"Adultos Mayores")</f>
        <v>Jóvenes</v>
      </c>
    </row>
    <row r="707" spans="1:13" x14ac:dyDescent="0.25">
      <c r="A707" s="3" t="s">
        <v>1957</v>
      </c>
      <c r="B707" s="3" t="s">
        <v>902</v>
      </c>
      <c r="C707" s="3">
        <v>704</v>
      </c>
      <c r="D707" s="5">
        <v>25</v>
      </c>
      <c r="E707" s="3">
        <v>0</v>
      </c>
      <c r="F707" s="3">
        <v>0</v>
      </c>
      <c r="G707" s="3">
        <v>3</v>
      </c>
      <c r="H707" s="3">
        <v>0</v>
      </c>
      <c r="I707" s="3" t="s">
        <v>1126</v>
      </c>
      <c r="J707" s="13">
        <v>77.417000000000002</v>
      </c>
      <c r="K707" s="3" t="s">
        <v>2210</v>
      </c>
      <c r="L707" s="3" t="s">
        <v>905</v>
      </c>
      <c r="M707" t="str" cm="1">
        <f t="array" ref="M707">_xlfn.IFS(INFO_Pasajeros[[#This Row],[Edad]]&lt;=13,"Niños",INFO_Pasajeros[[#This Row],[Edad]]&lt;=18,"Jóvenes",INFO_Pasajeros[[#This Row],[Edad]]&lt;=50,"Adultos",INFO_Pasajeros[[#This Row],[Edad]]&gt;=51,"Adultos Mayores")</f>
        <v>Adultos</v>
      </c>
    </row>
    <row r="708" spans="1:13" x14ac:dyDescent="0.25">
      <c r="A708" s="3" t="s">
        <v>1958</v>
      </c>
      <c r="B708" s="3" t="s">
        <v>902</v>
      </c>
      <c r="C708" s="3">
        <v>705</v>
      </c>
      <c r="D708" s="5">
        <v>29</v>
      </c>
      <c r="E708" s="3">
        <v>0</v>
      </c>
      <c r="F708" s="3">
        <v>1</v>
      </c>
      <c r="G708" s="3">
        <v>3</v>
      </c>
      <c r="H708" s="3">
        <v>0</v>
      </c>
      <c r="I708" s="3" t="s">
        <v>1020</v>
      </c>
      <c r="J708" s="13">
        <v>78.542000000000002</v>
      </c>
      <c r="K708" s="3" t="s">
        <v>1021</v>
      </c>
      <c r="L708" s="3" t="s">
        <v>905</v>
      </c>
      <c r="M708" t="str" cm="1">
        <f t="array" ref="M708">_xlfn.IFS(INFO_Pasajeros[[#This Row],[Edad]]&lt;=13,"Niños",INFO_Pasajeros[[#This Row],[Edad]]&lt;=18,"Jóvenes",INFO_Pasajeros[[#This Row],[Edad]]&lt;=50,"Adultos",INFO_Pasajeros[[#This Row],[Edad]]&gt;=51,"Adultos Mayores")</f>
        <v>Adultos</v>
      </c>
    </row>
    <row r="709" spans="1:13" x14ac:dyDescent="0.25">
      <c r="A709" s="3" t="s">
        <v>1959</v>
      </c>
      <c r="B709" s="3" t="s">
        <v>902</v>
      </c>
      <c r="C709" s="3">
        <v>706</v>
      </c>
      <c r="D709" s="5">
        <v>24</v>
      </c>
      <c r="E709" s="3">
        <v>0</v>
      </c>
      <c r="F709" s="3">
        <v>0</v>
      </c>
      <c r="G709" s="3">
        <v>2</v>
      </c>
      <c r="H709" s="3">
        <v>0</v>
      </c>
      <c r="I709" s="3" t="s">
        <v>1288</v>
      </c>
      <c r="J709" s="13">
        <v>26</v>
      </c>
      <c r="K709" s="3" t="s">
        <v>2210</v>
      </c>
      <c r="L709" s="3" t="s">
        <v>905</v>
      </c>
      <c r="M709" t="str" cm="1">
        <f t="array" ref="M709">_xlfn.IFS(INFO_Pasajeros[[#This Row],[Edad]]&lt;=13,"Niños",INFO_Pasajeros[[#This Row],[Edad]]&lt;=18,"Jóvenes",INFO_Pasajeros[[#This Row],[Edad]]&lt;=50,"Adultos",INFO_Pasajeros[[#This Row],[Edad]]&gt;=51,"Adultos Mayores")</f>
        <v>Adultos</v>
      </c>
    </row>
    <row r="710" spans="1:13" x14ac:dyDescent="0.25">
      <c r="A710" s="3" t="s">
        <v>1960</v>
      </c>
      <c r="B710" s="3" t="s">
        <v>907</v>
      </c>
      <c r="C710" s="3">
        <v>707</v>
      </c>
      <c r="D710" s="5">
        <v>21</v>
      </c>
      <c r="E710" s="3">
        <v>0</v>
      </c>
      <c r="F710" s="3">
        <v>0</v>
      </c>
      <c r="G710" s="3">
        <v>2</v>
      </c>
      <c r="H710" s="3">
        <v>1</v>
      </c>
      <c r="I710" s="3" t="s">
        <v>1000</v>
      </c>
      <c r="J710" s="13">
        <v>13.5</v>
      </c>
      <c r="K710" s="3" t="s">
        <v>2210</v>
      </c>
      <c r="L710" s="3" t="s">
        <v>905</v>
      </c>
      <c r="M710" t="str" cm="1">
        <f t="array" ref="M710">_xlfn.IFS(INFO_Pasajeros[[#This Row],[Edad]]&lt;=13,"Niños",INFO_Pasajeros[[#This Row],[Edad]]&lt;=18,"Jóvenes",INFO_Pasajeros[[#This Row],[Edad]]&lt;=50,"Adultos",INFO_Pasajeros[[#This Row],[Edad]]&gt;=51,"Adultos Mayores")</f>
        <v>Adultos</v>
      </c>
    </row>
    <row r="711" spans="1:13" x14ac:dyDescent="0.25">
      <c r="A711" s="3" t="s">
        <v>1961</v>
      </c>
      <c r="B711" s="3" t="s">
        <v>902</v>
      </c>
      <c r="C711" s="3">
        <v>708</v>
      </c>
      <c r="D711" s="5">
        <v>8</v>
      </c>
      <c r="E711" s="3">
        <v>0</v>
      </c>
      <c r="F711" s="3">
        <v>0</v>
      </c>
      <c r="G711" s="3">
        <v>1</v>
      </c>
      <c r="H711" s="3">
        <v>1</v>
      </c>
      <c r="I711" s="3" t="s">
        <v>1294</v>
      </c>
      <c r="J711" s="13">
        <v>262.875</v>
      </c>
      <c r="K711" s="3" t="s">
        <v>2210</v>
      </c>
      <c r="L711" s="3" t="s">
        <v>905</v>
      </c>
      <c r="M711" t="str" cm="1">
        <f t="array" ref="M711">_xlfn.IFS(INFO_Pasajeros[[#This Row],[Edad]]&lt;=13,"Niños",INFO_Pasajeros[[#This Row],[Edad]]&lt;=18,"Jóvenes",INFO_Pasajeros[[#This Row],[Edad]]&lt;=50,"Adultos",INFO_Pasajeros[[#This Row],[Edad]]&gt;=51,"Adultos Mayores")</f>
        <v>Niños</v>
      </c>
    </row>
    <row r="712" spans="1:13" x14ac:dyDescent="0.25">
      <c r="A712" s="3" t="s">
        <v>1963</v>
      </c>
      <c r="B712" s="3" t="s">
        <v>907</v>
      </c>
      <c r="C712" s="3">
        <v>709</v>
      </c>
      <c r="D712" s="5">
        <v>31</v>
      </c>
      <c r="E712" s="3">
        <v>0</v>
      </c>
      <c r="F712" s="3">
        <v>0</v>
      </c>
      <c r="G712" s="3">
        <v>1</v>
      </c>
      <c r="H712" s="3">
        <v>1</v>
      </c>
      <c r="I712" s="3" t="s">
        <v>1294</v>
      </c>
      <c r="J712" s="13">
        <v>151.55000000000001</v>
      </c>
      <c r="K712" s="3" t="s">
        <v>2210</v>
      </c>
      <c r="L712" s="3" t="s">
        <v>905</v>
      </c>
      <c r="M712" t="str" cm="1">
        <f t="array" ref="M712">_xlfn.IFS(INFO_Pasajeros[[#This Row],[Edad]]&lt;=13,"Niños",INFO_Pasajeros[[#This Row],[Edad]]&lt;=18,"Jóvenes",INFO_Pasajeros[[#This Row],[Edad]]&lt;=50,"Adultos",INFO_Pasajeros[[#This Row],[Edad]]&gt;=51,"Adultos Mayores")</f>
        <v>Adultos</v>
      </c>
    </row>
    <row r="713" spans="1:13" x14ac:dyDescent="0.25">
      <c r="A713" s="3" t="s">
        <v>1964</v>
      </c>
      <c r="B713" s="3" t="s">
        <v>902</v>
      </c>
      <c r="C713" s="3">
        <v>710</v>
      </c>
      <c r="D713" s="5">
        <v>31</v>
      </c>
      <c r="E713" s="3">
        <v>1</v>
      </c>
      <c r="F713" s="3">
        <v>1</v>
      </c>
      <c r="G713" s="3">
        <v>3</v>
      </c>
      <c r="H713" s="3">
        <v>1</v>
      </c>
      <c r="I713" s="3" t="s">
        <v>1294</v>
      </c>
      <c r="J713" s="13">
        <v>152.458</v>
      </c>
      <c r="K713" s="3" t="s">
        <v>2210</v>
      </c>
      <c r="L713" s="3" t="s">
        <v>905</v>
      </c>
      <c r="M713" t="str" cm="1">
        <f t="array" ref="M713">_xlfn.IFS(INFO_Pasajeros[[#This Row],[Edad]]&lt;=13,"Niños",INFO_Pasajeros[[#This Row],[Edad]]&lt;=18,"Jóvenes",INFO_Pasajeros[[#This Row],[Edad]]&lt;=50,"Adultos",INFO_Pasajeros[[#This Row],[Edad]]&gt;=51,"Adultos Mayores")</f>
        <v>Adultos</v>
      </c>
    </row>
    <row r="714" spans="1:13" x14ac:dyDescent="0.25">
      <c r="A714" s="3" t="s">
        <v>1965</v>
      </c>
      <c r="B714" s="3" t="s">
        <v>907</v>
      </c>
      <c r="C714" s="3">
        <v>711</v>
      </c>
      <c r="D714" s="5">
        <v>32</v>
      </c>
      <c r="E714" s="3">
        <v>0</v>
      </c>
      <c r="F714" s="3">
        <v>0</v>
      </c>
      <c r="G714" s="3">
        <v>1</v>
      </c>
      <c r="H714" s="3">
        <v>1</v>
      </c>
      <c r="I714" s="3" t="s">
        <v>1027</v>
      </c>
      <c r="J714" s="13">
        <v>495.04199999999997</v>
      </c>
      <c r="K714" s="3" t="s">
        <v>2210</v>
      </c>
      <c r="L714" s="3" t="s">
        <v>905</v>
      </c>
      <c r="M714" t="str" cm="1">
        <f t="array" ref="M714">_xlfn.IFS(INFO_Pasajeros[[#This Row],[Edad]]&lt;=13,"Niños",INFO_Pasajeros[[#This Row],[Edad]]&lt;=18,"Jóvenes",INFO_Pasajeros[[#This Row],[Edad]]&lt;=50,"Adultos",INFO_Pasajeros[[#This Row],[Edad]]&gt;=51,"Adultos Mayores")</f>
        <v>Adultos</v>
      </c>
    </row>
    <row r="715" spans="1:13" x14ac:dyDescent="0.25">
      <c r="A715" s="3" t="s">
        <v>1968</v>
      </c>
      <c r="B715" s="3" t="s">
        <v>902</v>
      </c>
      <c r="C715" s="3">
        <v>712</v>
      </c>
      <c r="D715" s="5">
        <v>19</v>
      </c>
      <c r="E715" s="3">
        <v>0</v>
      </c>
      <c r="F715" s="3">
        <v>0</v>
      </c>
      <c r="G715" s="3">
        <v>1</v>
      </c>
      <c r="H715" s="3">
        <v>0</v>
      </c>
      <c r="I715" s="3" t="s">
        <v>1146</v>
      </c>
      <c r="J715" s="13">
        <v>26.55</v>
      </c>
      <c r="K715" s="3" t="s">
        <v>2210</v>
      </c>
      <c r="L715" s="3" t="s">
        <v>905</v>
      </c>
      <c r="M715" t="str" cm="1">
        <f t="array" ref="M715">_xlfn.IFS(INFO_Pasajeros[[#This Row],[Edad]]&lt;=13,"Niños",INFO_Pasajeros[[#This Row],[Edad]]&lt;=18,"Jóvenes",INFO_Pasajeros[[#This Row],[Edad]]&lt;=50,"Adultos",INFO_Pasajeros[[#This Row],[Edad]]&gt;=51,"Adultos Mayores")</f>
        <v>Adultos</v>
      </c>
    </row>
    <row r="716" spans="1:13" x14ac:dyDescent="0.25">
      <c r="A716" s="3" t="s">
        <v>1969</v>
      </c>
      <c r="B716" s="3" t="s">
        <v>902</v>
      </c>
      <c r="C716" s="3">
        <v>713</v>
      </c>
      <c r="D716" s="5">
        <v>8</v>
      </c>
      <c r="E716" s="3">
        <v>0</v>
      </c>
      <c r="F716" s="3">
        <v>1</v>
      </c>
      <c r="G716" s="3">
        <v>1</v>
      </c>
      <c r="H716" s="3">
        <v>1</v>
      </c>
      <c r="I716" s="3" t="s">
        <v>1146</v>
      </c>
      <c r="J716" s="13">
        <v>52</v>
      </c>
      <c r="K716" s="3" t="s">
        <v>2210</v>
      </c>
      <c r="L716" s="3" t="s">
        <v>905</v>
      </c>
      <c r="M716" t="str" cm="1">
        <f t="array" ref="M716">_xlfn.IFS(INFO_Pasajeros[[#This Row],[Edad]]&lt;=13,"Niños",INFO_Pasajeros[[#This Row],[Edad]]&lt;=18,"Jóvenes",INFO_Pasajeros[[#This Row],[Edad]]&lt;=50,"Adultos",INFO_Pasajeros[[#This Row],[Edad]]&gt;=51,"Adultos Mayores")</f>
        <v>Niños</v>
      </c>
    </row>
    <row r="717" spans="1:13" x14ac:dyDescent="0.25">
      <c r="A717" s="3" t="s">
        <v>1970</v>
      </c>
      <c r="B717" s="3" t="s">
        <v>902</v>
      </c>
      <c r="C717" s="3">
        <v>714</v>
      </c>
      <c r="D717" s="5">
        <v>40</v>
      </c>
      <c r="E717" s="3">
        <v>0</v>
      </c>
      <c r="F717" s="3">
        <v>0</v>
      </c>
      <c r="G717" s="3">
        <v>3</v>
      </c>
      <c r="H717" s="3">
        <v>0</v>
      </c>
      <c r="I717" s="3" t="s">
        <v>1179</v>
      </c>
      <c r="J717" s="13">
        <v>94.832999999999998</v>
      </c>
      <c r="K717" s="3" t="s">
        <v>2210</v>
      </c>
      <c r="L717" s="3" t="s">
        <v>905</v>
      </c>
      <c r="M717" t="str" cm="1">
        <f t="array" ref="M717">_xlfn.IFS(INFO_Pasajeros[[#This Row],[Edad]]&lt;=13,"Niños",INFO_Pasajeros[[#This Row],[Edad]]&lt;=18,"Jóvenes",INFO_Pasajeros[[#This Row],[Edad]]&lt;=50,"Adultos",INFO_Pasajeros[[#This Row],[Edad]]&gt;=51,"Adultos Mayores")</f>
        <v>Adultos</v>
      </c>
    </row>
    <row r="718" spans="1:13" x14ac:dyDescent="0.25">
      <c r="A718" s="3" t="s">
        <v>1971</v>
      </c>
      <c r="B718" s="3" t="s">
        <v>902</v>
      </c>
      <c r="C718" s="3">
        <v>715</v>
      </c>
      <c r="D718" s="5">
        <v>34</v>
      </c>
      <c r="E718" s="3">
        <v>0</v>
      </c>
      <c r="F718" s="3">
        <v>0</v>
      </c>
      <c r="G718" s="3">
        <v>2</v>
      </c>
      <c r="H718" s="3">
        <v>0</v>
      </c>
      <c r="I718" s="3" t="s">
        <v>1707</v>
      </c>
      <c r="J718" s="13">
        <v>13</v>
      </c>
      <c r="K718" s="3" t="s">
        <v>1021</v>
      </c>
      <c r="L718" s="3" t="s">
        <v>905</v>
      </c>
      <c r="M718" t="str" cm="1">
        <f t="array" ref="M718">_xlfn.IFS(INFO_Pasajeros[[#This Row],[Edad]]&lt;=13,"Niños",INFO_Pasajeros[[#This Row],[Edad]]&lt;=18,"Jóvenes",INFO_Pasajeros[[#This Row],[Edad]]&lt;=50,"Adultos",INFO_Pasajeros[[#This Row],[Edad]]&gt;=51,"Adultos Mayores")</f>
        <v>Adultos</v>
      </c>
    </row>
    <row r="719" spans="1:13" x14ac:dyDescent="0.25">
      <c r="A719" s="3" t="s">
        <v>1972</v>
      </c>
      <c r="B719" s="3" t="s">
        <v>902</v>
      </c>
      <c r="C719" s="3">
        <v>716</v>
      </c>
      <c r="D719" s="5">
        <v>5</v>
      </c>
      <c r="E719" s="3">
        <v>0</v>
      </c>
      <c r="F719" s="3">
        <v>0</v>
      </c>
      <c r="G719" s="3">
        <v>3</v>
      </c>
      <c r="H719" s="3">
        <v>0</v>
      </c>
      <c r="I719" s="3" t="s">
        <v>1004</v>
      </c>
      <c r="J719" s="13">
        <v>7.65</v>
      </c>
      <c r="K719" s="3" t="s">
        <v>2210</v>
      </c>
      <c r="L719" s="3" t="s">
        <v>905</v>
      </c>
      <c r="M719" t="str" cm="1">
        <f t="array" ref="M719">_xlfn.IFS(INFO_Pasajeros[[#This Row],[Edad]]&lt;=13,"Niños",INFO_Pasajeros[[#This Row],[Edad]]&lt;=18,"Jóvenes",INFO_Pasajeros[[#This Row],[Edad]]&lt;=50,"Adultos",INFO_Pasajeros[[#This Row],[Edad]]&gt;=51,"Adultos Mayores")</f>
        <v>Niños</v>
      </c>
    </row>
    <row r="720" spans="1:13" x14ac:dyDescent="0.25">
      <c r="A720" s="3" t="s">
        <v>1973</v>
      </c>
      <c r="B720" s="3" t="s">
        <v>907</v>
      </c>
      <c r="C720" s="3">
        <v>717</v>
      </c>
      <c r="D720" s="5">
        <v>36</v>
      </c>
      <c r="E720" s="3">
        <v>0</v>
      </c>
      <c r="F720" s="3">
        <v>0</v>
      </c>
      <c r="G720" s="3">
        <v>1</v>
      </c>
      <c r="H720" s="3">
        <v>1</v>
      </c>
      <c r="I720" s="3" t="s">
        <v>1004</v>
      </c>
      <c r="J720" s="13">
        <v>227.52500000000001</v>
      </c>
      <c r="K720" s="3" t="s">
        <v>2210</v>
      </c>
      <c r="L720" s="3" t="s">
        <v>905</v>
      </c>
      <c r="M720" t="str" cm="1">
        <f t="array" ref="M720">_xlfn.IFS(INFO_Pasajeros[[#This Row],[Edad]]&lt;=13,"Niños",INFO_Pasajeros[[#This Row],[Edad]]&lt;=18,"Jóvenes",INFO_Pasajeros[[#This Row],[Edad]]&lt;=50,"Adultos",INFO_Pasajeros[[#This Row],[Edad]]&gt;=51,"Adultos Mayores")</f>
        <v>Adultos</v>
      </c>
    </row>
    <row r="721" spans="1:13" x14ac:dyDescent="0.25">
      <c r="A721" s="3" t="s">
        <v>1975</v>
      </c>
      <c r="B721" s="3" t="s">
        <v>907</v>
      </c>
      <c r="C721" s="3">
        <v>718</v>
      </c>
      <c r="D721" s="5">
        <v>33</v>
      </c>
      <c r="E721" s="3">
        <v>0</v>
      </c>
      <c r="F721" s="3">
        <v>0</v>
      </c>
      <c r="G721" s="3">
        <v>2</v>
      </c>
      <c r="H721" s="3">
        <v>1</v>
      </c>
      <c r="I721" s="3" t="s">
        <v>1004</v>
      </c>
      <c r="J721" s="13">
        <v>10.5</v>
      </c>
      <c r="K721" s="3" t="s">
        <v>2210</v>
      </c>
      <c r="L721" s="3" t="s">
        <v>905</v>
      </c>
      <c r="M721" t="str" cm="1">
        <f t="array" ref="M721">_xlfn.IFS(INFO_Pasajeros[[#This Row],[Edad]]&lt;=13,"Niños",INFO_Pasajeros[[#This Row],[Edad]]&lt;=18,"Jóvenes",INFO_Pasajeros[[#This Row],[Edad]]&lt;=50,"Adultos",INFO_Pasajeros[[#This Row],[Edad]]&gt;=51,"Adultos Mayores")</f>
        <v>Adultos</v>
      </c>
    </row>
    <row r="722" spans="1:13" x14ac:dyDescent="0.25">
      <c r="A722" s="3" t="s">
        <v>1976</v>
      </c>
      <c r="B722" s="3" t="s">
        <v>902</v>
      </c>
      <c r="C722" s="3">
        <v>719</v>
      </c>
      <c r="D722" s="5">
        <v>3</v>
      </c>
      <c r="E722" s="3">
        <v>0</v>
      </c>
      <c r="F722" s="3">
        <v>0</v>
      </c>
      <c r="G722" s="3">
        <v>3</v>
      </c>
      <c r="H722" s="3">
        <v>0</v>
      </c>
      <c r="I722" s="3" t="s">
        <v>1472</v>
      </c>
      <c r="J722" s="13">
        <v>15.5</v>
      </c>
      <c r="K722" s="3" t="s">
        <v>2210</v>
      </c>
      <c r="L722" s="3" t="s">
        <v>905</v>
      </c>
      <c r="M722" t="str" cm="1">
        <f t="array" ref="M722">_xlfn.IFS(INFO_Pasajeros[[#This Row],[Edad]]&lt;=13,"Niños",INFO_Pasajeros[[#This Row],[Edad]]&lt;=18,"Jóvenes",INFO_Pasajeros[[#This Row],[Edad]]&lt;=50,"Adultos",INFO_Pasajeros[[#This Row],[Edad]]&gt;=51,"Adultos Mayores")</f>
        <v>Niños</v>
      </c>
    </row>
    <row r="723" spans="1:13" x14ac:dyDescent="0.25">
      <c r="A723" s="3" t="s">
        <v>1977</v>
      </c>
      <c r="B723" s="3" t="s">
        <v>902</v>
      </c>
      <c r="C723" s="3">
        <v>720</v>
      </c>
      <c r="D723" s="5">
        <v>9</v>
      </c>
      <c r="E723" s="3">
        <v>0</v>
      </c>
      <c r="F723" s="3">
        <v>0</v>
      </c>
      <c r="G723" s="3">
        <v>3</v>
      </c>
      <c r="H723" s="3">
        <v>0</v>
      </c>
      <c r="I723" s="3" t="s">
        <v>1472</v>
      </c>
      <c r="J723" s="13">
        <v>7.7750000000000004</v>
      </c>
      <c r="K723" s="3" t="s">
        <v>2210</v>
      </c>
      <c r="L723" s="3" t="s">
        <v>905</v>
      </c>
      <c r="M723" t="str" cm="1">
        <f t="array" ref="M723">_xlfn.IFS(INFO_Pasajeros[[#This Row],[Edad]]&lt;=13,"Niños",INFO_Pasajeros[[#This Row],[Edad]]&lt;=18,"Jóvenes",INFO_Pasajeros[[#This Row],[Edad]]&lt;=50,"Adultos",INFO_Pasajeros[[#This Row],[Edad]]&gt;=51,"Adultos Mayores")</f>
        <v>Niños</v>
      </c>
    </row>
    <row r="724" spans="1:13" x14ac:dyDescent="0.25">
      <c r="A724" s="3" t="s">
        <v>1978</v>
      </c>
      <c r="B724" s="3" t="s">
        <v>907</v>
      </c>
      <c r="C724" s="3">
        <v>721</v>
      </c>
      <c r="D724" s="5">
        <v>42</v>
      </c>
      <c r="E724" s="3">
        <v>1</v>
      </c>
      <c r="F724" s="3">
        <v>0</v>
      </c>
      <c r="G724" s="3">
        <v>2</v>
      </c>
      <c r="H724" s="3">
        <v>1</v>
      </c>
      <c r="I724" s="3" t="s">
        <v>2141</v>
      </c>
      <c r="J724" s="13">
        <v>33</v>
      </c>
      <c r="K724" s="3" t="s">
        <v>2210</v>
      </c>
      <c r="L724" s="3" t="s">
        <v>905</v>
      </c>
      <c r="M724" t="str" cm="1">
        <f t="array" ref="M724">_xlfn.IFS(INFO_Pasajeros[[#This Row],[Edad]]&lt;=13,"Niños",INFO_Pasajeros[[#This Row],[Edad]]&lt;=18,"Jóvenes",INFO_Pasajeros[[#This Row],[Edad]]&lt;=50,"Adultos",INFO_Pasajeros[[#This Row],[Edad]]&gt;=51,"Adultos Mayores")</f>
        <v>Adultos</v>
      </c>
    </row>
    <row r="725" spans="1:13" x14ac:dyDescent="0.25">
      <c r="A725" s="3" t="s">
        <v>1979</v>
      </c>
      <c r="B725" s="3" t="s">
        <v>902</v>
      </c>
      <c r="C725" s="3">
        <v>722</v>
      </c>
      <c r="D725" s="5">
        <v>4</v>
      </c>
      <c r="E725" s="3">
        <v>0</v>
      </c>
      <c r="F725" s="3">
        <v>1</v>
      </c>
      <c r="G725" s="3">
        <v>3</v>
      </c>
      <c r="H725" s="3">
        <v>0</v>
      </c>
      <c r="I725" s="3" t="s">
        <v>1678</v>
      </c>
      <c r="J725" s="13">
        <v>70.542000000000002</v>
      </c>
      <c r="K725" s="3" t="s">
        <v>2210</v>
      </c>
      <c r="L725" s="3" t="s">
        <v>905</v>
      </c>
      <c r="M725" t="str" cm="1">
        <f t="array" ref="M725">_xlfn.IFS(INFO_Pasajeros[[#This Row],[Edad]]&lt;=13,"Niños",INFO_Pasajeros[[#This Row],[Edad]]&lt;=18,"Jóvenes",INFO_Pasajeros[[#This Row],[Edad]]&lt;=50,"Adultos",INFO_Pasajeros[[#This Row],[Edad]]&gt;=51,"Adultos Mayores")</f>
        <v>Niños</v>
      </c>
    </row>
    <row r="726" spans="1:13" x14ac:dyDescent="0.25">
      <c r="A726" s="3" t="s">
        <v>1980</v>
      </c>
      <c r="B726" s="3" t="s">
        <v>902</v>
      </c>
      <c r="C726" s="3">
        <v>723</v>
      </c>
      <c r="D726" s="5">
        <v>28</v>
      </c>
      <c r="E726" s="3">
        <v>0</v>
      </c>
      <c r="F726" s="3">
        <v>0</v>
      </c>
      <c r="G726" s="3">
        <v>2</v>
      </c>
      <c r="H726" s="3">
        <v>0</v>
      </c>
      <c r="I726" s="3" t="s">
        <v>2188</v>
      </c>
      <c r="J726" s="13">
        <v>13</v>
      </c>
      <c r="K726" s="3" t="s">
        <v>2210</v>
      </c>
      <c r="L726" s="3" t="s">
        <v>905</v>
      </c>
      <c r="M726" t="str" cm="1">
        <f t="array" ref="M726">_xlfn.IFS(INFO_Pasajeros[[#This Row],[Edad]]&lt;=13,"Niños",INFO_Pasajeros[[#This Row],[Edad]]&lt;=18,"Jóvenes",INFO_Pasajeros[[#This Row],[Edad]]&lt;=50,"Adultos",INFO_Pasajeros[[#This Row],[Edad]]&gt;=51,"Adultos Mayores")</f>
        <v>Adultos</v>
      </c>
    </row>
    <row r="727" spans="1:13" x14ac:dyDescent="0.25">
      <c r="A727" s="3" t="s">
        <v>1981</v>
      </c>
      <c r="B727" s="3" t="s">
        <v>902</v>
      </c>
      <c r="C727" s="3">
        <v>724</v>
      </c>
      <c r="D727" s="5">
        <v>11</v>
      </c>
      <c r="E727" s="3">
        <v>0</v>
      </c>
      <c r="F727" s="3">
        <v>0</v>
      </c>
      <c r="G727" s="3">
        <v>2</v>
      </c>
      <c r="H727" s="3">
        <v>0</v>
      </c>
      <c r="I727" s="3" t="s">
        <v>1007</v>
      </c>
      <c r="J727" s="13">
        <v>13</v>
      </c>
      <c r="K727" s="3" t="s">
        <v>2210</v>
      </c>
      <c r="L727" s="3" t="s">
        <v>905</v>
      </c>
      <c r="M727" t="str" cm="1">
        <f t="array" ref="M727">_xlfn.IFS(INFO_Pasajeros[[#This Row],[Edad]]&lt;=13,"Niños",INFO_Pasajeros[[#This Row],[Edad]]&lt;=18,"Jóvenes",INFO_Pasajeros[[#This Row],[Edad]]&lt;=50,"Adultos",INFO_Pasajeros[[#This Row],[Edad]]&gt;=51,"Adultos Mayores")</f>
        <v>Niños</v>
      </c>
    </row>
    <row r="728" spans="1:13" x14ac:dyDescent="0.25">
      <c r="A728" s="3" t="s">
        <v>1982</v>
      </c>
      <c r="B728" s="3" t="s">
        <v>902</v>
      </c>
      <c r="C728" s="3">
        <v>725</v>
      </c>
      <c r="D728" s="5">
        <v>16</v>
      </c>
      <c r="E728" s="3">
        <v>0</v>
      </c>
      <c r="F728" s="3">
        <v>1</v>
      </c>
      <c r="G728" s="3">
        <v>1</v>
      </c>
      <c r="H728" s="3">
        <v>1</v>
      </c>
      <c r="I728" s="3" t="s">
        <v>1007</v>
      </c>
      <c r="J728" s="13">
        <v>53.1</v>
      </c>
      <c r="K728" s="3" t="s">
        <v>2210</v>
      </c>
      <c r="L728" s="3" t="s">
        <v>905</v>
      </c>
      <c r="M728" t="str" cm="1">
        <f t="array" ref="M728">_xlfn.IFS(INFO_Pasajeros[[#This Row],[Edad]]&lt;=13,"Niños",INFO_Pasajeros[[#This Row],[Edad]]&lt;=18,"Jóvenes",INFO_Pasajeros[[#This Row],[Edad]]&lt;=50,"Adultos",INFO_Pasajeros[[#This Row],[Edad]]&gt;=51,"Adultos Mayores")</f>
        <v>Jóvenes</v>
      </c>
    </row>
    <row r="729" spans="1:13" x14ac:dyDescent="0.25">
      <c r="A729" s="3" t="s">
        <v>1984</v>
      </c>
      <c r="B729" s="3" t="s">
        <v>902</v>
      </c>
      <c r="C729" s="3">
        <v>726</v>
      </c>
      <c r="D729" s="5">
        <v>1</v>
      </c>
      <c r="E729" s="3">
        <v>0</v>
      </c>
      <c r="F729" s="3">
        <v>0</v>
      </c>
      <c r="G729" s="3">
        <v>3</v>
      </c>
      <c r="H729" s="3">
        <v>0</v>
      </c>
      <c r="I729" s="3" t="s">
        <v>1007</v>
      </c>
      <c r="J729" s="13">
        <v>86.625</v>
      </c>
      <c r="K729" s="3" t="s">
        <v>2210</v>
      </c>
      <c r="L729" s="3" t="s">
        <v>905</v>
      </c>
      <c r="M729" t="str" cm="1">
        <f t="array" ref="M729">_xlfn.IFS(INFO_Pasajeros[[#This Row],[Edad]]&lt;=13,"Niños",INFO_Pasajeros[[#This Row],[Edad]]&lt;=18,"Jóvenes",INFO_Pasajeros[[#This Row],[Edad]]&lt;=50,"Adultos",INFO_Pasajeros[[#This Row],[Edad]]&gt;=51,"Adultos Mayores")</f>
        <v>Niños</v>
      </c>
    </row>
    <row r="730" spans="1:13" x14ac:dyDescent="0.25">
      <c r="A730" s="3" t="s">
        <v>1985</v>
      </c>
      <c r="B730" s="3" t="s">
        <v>907</v>
      </c>
      <c r="C730" s="3">
        <v>727</v>
      </c>
      <c r="D730" s="5">
        <v>9</v>
      </c>
      <c r="E730" s="3">
        <v>0</v>
      </c>
      <c r="F730" s="3">
        <v>3</v>
      </c>
      <c r="G730" s="3">
        <v>2</v>
      </c>
      <c r="H730" s="3">
        <v>1</v>
      </c>
      <c r="I730" s="3" t="s">
        <v>1007</v>
      </c>
      <c r="J730" s="13">
        <v>21</v>
      </c>
      <c r="K730" s="3" t="s">
        <v>2210</v>
      </c>
      <c r="L730" s="3" t="s">
        <v>905</v>
      </c>
      <c r="M730" t="str" cm="1">
        <f t="array" ref="M730">_xlfn.IFS(INFO_Pasajeros[[#This Row],[Edad]]&lt;=13,"Niños",INFO_Pasajeros[[#This Row],[Edad]]&lt;=18,"Jóvenes",INFO_Pasajeros[[#This Row],[Edad]]&lt;=50,"Adultos",INFO_Pasajeros[[#This Row],[Edad]]&gt;=51,"Adultos Mayores")</f>
        <v>Niños</v>
      </c>
    </row>
    <row r="731" spans="1:13" x14ac:dyDescent="0.25">
      <c r="A731" s="3" t="s">
        <v>1986</v>
      </c>
      <c r="B731" s="3" t="s">
        <v>907</v>
      </c>
      <c r="C731" s="3">
        <v>728</v>
      </c>
      <c r="D731" s="5">
        <v>43</v>
      </c>
      <c r="E731" s="3">
        <v>0</v>
      </c>
      <c r="F731" s="3">
        <v>0</v>
      </c>
      <c r="G731" s="3">
        <v>3</v>
      </c>
      <c r="H731" s="3">
        <v>1</v>
      </c>
      <c r="I731" s="3" t="s">
        <v>1007</v>
      </c>
      <c r="J731" s="13">
        <v>77.375</v>
      </c>
      <c r="K731" s="3" t="s">
        <v>2210</v>
      </c>
      <c r="L731" s="3" t="s">
        <v>905</v>
      </c>
      <c r="M731" t="str" cm="1">
        <f t="array" ref="M731">_xlfn.IFS(INFO_Pasajeros[[#This Row],[Edad]]&lt;=13,"Niños",INFO_Pasajeros[[#This Row],[Edad]]&lt;=18,"Jóvenes",INFO_Pasajeros[[#This Row],[Edad]]&lt;=50,"Adultos",INFO_Pasajeros[[#This Row],[Edad]]&gt;=51,"Adultos Mayores")</f>
        <v>Adultos</v>
      </c>
    </row>
    <row r="732" spans="1:13" x14ac:dyDescent="0.25">
      <c r="A732" s="3" t="s">
        <v>1987</v>
      </c>
      <c r="B732" s="3" t="s">
        <v>902</v>
      </c>
      <c r="C732" s="3">
        <v>729</v>
      </c>
      <c r="D732" s="5">
        <v>14</v>
      </c>
      <c r="E732" s="3">
        <v>0</v>
      </c>
      <c r="F732" s="3">
        <v>1</v>
      </c>
      <c r="G732" s="3">
        <v>2</v>
      </c>
      <c r="H732" s="3">
        <v>0</v>
      </c>
      <c r="I732" s="3" t="s">
        <v>1007</v>
      </c>
      <c r="J732" s="13">
        <v>26</v>
      </c>
      <c r="K732" s="3" t="s">
        <v>2210</v>
      </c>
      <c r="L732" s="3" t="s">
        <v>905</v>
      </c>
      <c r="M732" t="str" cm="1">
        <f t="array" ref="M732">_xlfn.IFS(INFO_Pasajeros[[#This Row],[Edad]]&lt;=13,"Niños",INFO_Pasajeros[[#This Row],[Edad]]&lt;=18,"Jóvenes",INFO_Pasajeros[[#This Row],[Edad]]&lt;=50,"Adultos",INFO_Pasajeros[[#This Row],[Edad]]&gt;=51,"Adultos Mayores")</f>
        <v>Jóvenes</v>
      </c>
    </row>
    <row r="733" spans="1:13" x14ac:dyDescent="0.25">
      <c r="A733" s="3" t="s">
        <v>1988</v>
      </c>
      <c r="B733" s="3" t="s">
        <v>907</v>
      </c>
      <c r="C733" s="3">
        <v>730</v>
      </c>
      <c r="D733" s="5">
        <v>23</v>
      </c>
      <c r="E733" s="3">
        <v>0</v>
      </c>
      <c r="F733" s="3">
        <v>1</v>
      </c>
      <c r="G733" s="3">
        <v>3</v>
      </c>
      <c r="H733" s="3">
        <v>0</v>
      </c>
      <c r="I733" s="3" t="s">
        <v>1886</v>
      </c>
      <c r="J733" s="13">
        <v>7.9249999999999998</v>
      </c>
      <c r="K733" s="3" t="s">
        <v>2210</v>
      </c>
      <c r="L733" s="3" t="s">
        <v>905</v>
      </c>
      <c r="M733" t="str" cm="1">
        <f t="array" ref="M733">_xlfn.IFS(INFO_Pasajeros[[#This Row],[Edad]]&lt;=13,"Niños",INFO_Pasajeros[[#This Row],[Edad]]&lt;=18,"Jóvenes",INFO_Pasajeros[[#This Row],[Edad]]&lt;=50,"Adultos",INFO_Pasajeros[[#This Row],[Edad]]&gt;=51,"Adultos Mayores")</f>
        <v>Adultos</v>
      </c>
    </row>
    <row r="734" spans="1:13" x14ac:dyDescent="0.25">
      <c r="A734" s="3" t="s">
        <v>1990</v>
      </c>
      <c r="B734" s="3" t="s">
        <v>907</v>
      </c>
      <c r="C734" s="3">
        <v>731</v>
      </c>
      <c r="D734" s="5">
        <v>35</v>
      </c>
      <c r="E734" s="3">
        <v>0</v>
      </c>
      <c r="F734" s="3">
        <v>0</v>
      </c>
      <c r="G734" s="3">
        <v>1</v>
      </c>
      <c r="H734" s="3">
        <v>1</v>
      </c>
      <c r="I734" s="3" t="s">
        <v>1174</v>
      </c>
      <c r="J734" s="13">
        <v>211.33750000000001</v>
      </c>
      <c r="K734" s="3" t="s">
        <v>2210</v>
      </c>
      <c r="L734" s="3" t="s">
        <v>905</v>
      </c>
      <c r="M734" t="str" cm="1">
        <f t="array" ref="M734">_xlfn.IFS(INFO_Pasajeros[[#This Row],[Edad]]&lt;=13,"Niños",INFO_Pasajeros[[#This Row],[Edad]]&lt;=18,"Jóvenes",INFO_Pasajeros[[#This Row],[Edad]]&lt;=50,"Adultos",INFO_Pasajeros[[#This Row],[Edad]]&gt;=51,"Adultos Mayores")</f>
        <v>Adultos</v>
      </c>
    </row>
    <row r="735" spans="1:13" x14ac:dyDescent="0.25">
      <c r="A735" s="3" t="s">
        <v>1991</v>
      </c>
      <c r="B735" s="3" t="s">
        <v>902</v>
      </c>
      <c r="C735" s="3">
        <v>732</v>
      </c>
      <c r="D735" s="5">
        <v>20</v>
      </c>
      <c r="E735" s="3">
        <v>0</v>
      </c>
      <c r="F735" s="3">
        <v>0</v>
      </c>
      <c r="G735" s="3">
        <v>3</v>
      </c>
      <c r="H735" s="3">
        <v>0</v>
      </c>
      <c r="I735" s="3" t="s">
        <v>1174</v>
      </c>
      <c r="J735" s="13">
        <v>187.875</v>
      </c>
      <c r="K735" s="3" t="s">
        <v>2210</v>
      </c>
      <c r="L735" s="3" t="s">
        <v>905</v>
      </c>
      <c r="M735" t="str" cm="1">
        <f t="array" ref="M735">_xlfn.IFS(INFO_Pasajeros[[#This Row],[Edad]]&lt;=13,"Niños",INFO_Pasajeros[[#This Row],[Edad]]&lt;=18,"Jóvenes",INFO_Pasajeros[[#This Row],[Edad]]&lt;=50,"Adultos",INFO_Pasajeros[[#This Row],[Edad]]&gt;=51,"Adultos Mayores")</f>
        <v>Adultos</v>
      </c>
    </row>
    <row r="736" spans="1:13" x14ac:dyDescent="0.25">
      <c r="A736" s="3" t="s">
        <v>1992</v>
      </c>
      <c r="B736" s="3" t="s">
        <v>902</v>
      </c>
      <c r="C736" s="3">
        <v>733</v>
      </c>
      <c r="D736" s="5">
        <v>50</v>
      </c>
      <c r="E736" s="3">
        <v>0</v>
      </c>
      <c r="F736" s="3">
        <v>0</v>
      </c>
      <c r="G736" s="3">
        <v>2</v>
      </c>
      <c r="H736" s="3">
        <v>0</v>
      </c>
      <c r="I736" s="3" t="s">
        <v>1174</v>
      </c>
      <c r="J736" s="13">
        <v>0</v>
      </c>
      <c r="K736" s="3" t="s">
        <v>2210</v>
      </c>
      <c r="L736" s="3" t="s">
        <v>905</v>
      </c>
      <c r="M736" t="str" cm="1">
        <f t="array" ref="M736">_xlfn.IFS(INFO_Pasajeros[[#This Row],[Edad]]&lt;=13,"Niños",INFO_Pasajeros[[#This Row],[Edad]]&lt;=18,"Jóvenes",INFO_Pasajeros[[#This Row],[Edad]]&lt;=50,"Adultos",INFO_Pasajeros[[#This Row],[Edad]]&gt;=51,"Adultos Mayores")</f>
        <v>Adultos</v>
      </c>
    </row>
    <row r="737" spans="1:13" x14ac:dyDescent="0.25">
      <c r="A737" s="3" t="s">
        <v>1993</v>
      </c>
      <c r="B737" s="3" t="s">
        <v>902</v>
      </c>
      <c r="C737" s="3">
        <v>734</v>
      </c>
      <c r="D737" s="5">
        <v>51</v>
      </c>
      <c r="E737" s="3">
        <v>0</v>
      </c>
      <c r="F737" s="3">
        <v>0</v>
      </c>
      <c r="G737" s="3">
        <v>2</v>
      </c>
      <c r="H737" s="3">
        <v>0</v>
      </c>
      <c r="I737" s="3" t="s">
        <v>1174</v>
      </c>
      <c r="J737" s="13">
        <v>13</v>
      </c>
      <c r="K737" s="3" t="s">
        <v>2210</v>
      </c>
      <c r="L737" s="3" t="s">
        <v>905</v>
      </c>
      <c r="M737" t="str" cm="1">
        <f t="array" ref="M737">_xlfn.IFS(INFO_Pasajeros[[#This Row],[Edad]]&lt;=13,"Niños",INFO_Pasajeros[[#This Row],[Edad]]&lt;=18,"Jóvenes",INFO_Pasajeros[[#This Row],[Edad]]&lt;=50,"Adultos",INFO_Pasajeros[[#This Row],[Edad]]&gt;=51,"Adultos Mayores")</f>
        <v>Adultos Mayores</v>
      </c>
    </row>
    <row r="738" spans="1:13" x14ac:dyDescent="0.25">
      <c r="A738" s="3" t="s">
        <v>1994</v>
      </c>
      <c r="B738" s="3" t="s">
        <v>902</v>
      </c>
      <c r="C738" s="3">
        <v>735</v>
      </c>
      <c r="D738" s="5">
        <v>12</v>
      </c>
      <c r="E738" s="3">
        <v>0</v>
      </c>
      <c r="F738" s="3">
        <v>0</v>
      </c>
      <c r="G738" s="3">
        <v>2</v>
      </c>
      <c r="H738" s="3">
        <v>0</v>
      </c>
      <c r="I738" s="3" t="s">
        <v>1174</v>
      </c>
      <c r="J738" s="13">
        <v>13</v>
      </c>
      <c r="K738" s="3" t="s">
        <v>2210</v>
      </c>
      <c r="L738" s="3" t="s">
        <v>905</v>
      </c>
      <c r="M738" t="str" cm="1">
        <f t="array" ref="M738">_xlfn.IFS(INFO_Pasajeros[[#This Row],[Edad]]&lt;=13,"Niños",INFO_Pasajeros[[#This Row],[Edad]]&lt;=18,"Jóvenes",INFO_Pasajeros[[#This Row],[Edad]]&lt;=50,"Adultos",INFO_Pasajeros[[#This Row],[Edad]]&gt;=51,"Adultos Mayores")</f>
        <v>Niños</v>
      </c>
    </row>
    <row r="739" spans="1:13" x14ac:dyDescent="0.25">
      <c r="A739" s="3" t="s">
        <v>1995</v>
      </c>
      <c r="B739" s="3" t="s">
        <v>902</v>
      </c>
      <c r="C739" s="3">
        <v>736</v>
      </c>
      <c r="D739" s="5">
        <v>64</v>
      </c>
      <c r="E739" s="3">
        <v>0</v>
      </c>
      <c r="F739" s="3">
        <v>0</v>
      </c>
      <c r="G739" s="3">
        <v>3</v>
      </c>
      <c r="H739" s="3">
        <v>0</v>
      </c>
      <c r="I739" s="3" t="s">
        <v>1174</v>
      </c>
      <c r="J739" s="13">
        <v>16.100000000000001</v>
      </c>
      <c r="K739" s="3" t="s">
        <v>2210</v>
      </c>
      <c r="L739" s="3" t="s">
        <v>905</v>
      </c>
      <c r="M739" t="str" cm="1">
        <f t="array" ref="M739">_xlfn.IFS(INFO_Pasajeros[[#This Row],[Edad]]&lt;=13,"Niños",INFO_Pasajeros[[#This Row],[Edad]]&lt;=18,"Jóvenes",INFO_Pasajeros[[#This Row],[Edad]]&lt;=50,"Adultos",INFO_Pasajeros[[#This Row],[Edad]]&gt;=51,"Adultos Mayores")</f>
        <v>Adultos Mayores</v>
      </c>
    </row>
    <row r="740" spans="1:13" x14ac:dyDescent="0.25">
      <c r="A740" s="3" t="s">
        <v>1996</v>
      </c>
      <c r="B740" s="3" t="s">
        <v>907</v>
      </c>
      <c r="C740" s="3">
        <v>737</v>
      </c>
      <c r="D740" s="5">
        <v>57</v>
      </c>
      <c r="E740" s="3">
        <v>3</v>
      </c>
      <c r="F740" s="3">
        <v>1</v>
      </c>
      <c r="G740" s="3">
        <v>3</v>
      </c>
      <c r="H740" s="3">
        <v>0</v>
      </c>
      <c r="I740" s="3" t="s">
        <v>1174</v>
      </c>
      <c r="J740" s="13">
        <v>34.375</v>
      </c>
      <c r="K740" s="3" t="s">
        <v>2210</v>
      </c>
      <c r="L740" s="3" t="s">
        <v>905</v>
      </c>
      <c r="M740" t="str" cm="1">
        <f t="array" ref="M740">_xlfn.IFS(INFO_Pasajeros[[#This Row],[Edad]]&lt;=13,"Niños",INFO_Pasajeros[[#This Row],[Edad]]&lt;=18,"Jóvenes",INFO_Pasajeros[[#This Row],[Edad]]&lt;=50,"Adultos",INFO_Pasajeros[[#This Row],[Edad]]&gt;=51,"Adultos Mayores")</f>
        <v>Adultos Mayores</v>
      </c>
    </row>
    <row r="741" spans="1:13" x14ac:dyDescent="0.25">
      <c r="A741" s="3" t="s">
        <v>1997</v>
      </c>
      <c r="B741" s="3" t="s">
        <v>902</v>
      </c>
      <c r="C741" s="3">
        <v>738</v>
      </c>
      <c r="D741" s="5">
        <v>31</v>
      </c>
      <c r="E741" s="3">
        <v>0</v>
      </c>
      <c r="F741" s="3">
        <v>0</v>
      </c>
      <c r="G741" s="3">
        <v>1</v>
      </c>
      <c r="H741" s="3">
        <v>1</v>
      </c>
      <c r="I741" s="3" t="s">
        <v>1914</v>
      </c>
      <c r="J741" s="13">
        <v>512.32920000000001</v>
      </c>
      <c r="K741" s="3" t="s">
        <v>1915</v>
      </c>
      <c r="L741" s="3" t="s">
        <v>905</v>
      </c>
      <c r="M741" t="str" cm="1">
        <f t="array" ref="M741">_xlfn.IFS(INFO_Pasajeros[[#This Row],[Edad]]&lt;=13,"Niños",INFO_Pasajeros[[#This Row],[Edad]]&lt;=18,"Jóvenes",INFO_Pasajeros[[#This Row],[Edad]]&lt;=50,"Adultos",INFO_Pasajeros[[#This Row],[Edad]]&gt;=51,"Adultos Mayores")</f>
        <v>Adultos</v>
      </c>
    </row>
    <row r="742" spans="1:13" x14ac:dyDescent="0.25">
      <c r="A742" s="3" t="s">
        <v>1999</v>
      </c>
      <c r="B742" s="3" t="s">
        <v>902</v>
      </c>
      <c r="C742" s="3">
        <v>739</v>
      </c>
      <c r="D742" s="5">
        <v>35</v>
      </c>
      <c r="E742" s="3">
        <v>0</v>
      </c>
      <c r="F742" s="3">
        <v>0</v>
      </c>
      <c r="G742" s="3">
        <v>3</v>
      </c>
      <c r="H742" s="3">
        <v>0</v>
      </c>
      <c r="I742" s="3" t="s">
        <v>1251</v>
      </c>
      <c r="J742" s="13">
        <v>78.957999999999998</v>
      </c>
      <c r="K742" s="3" t="s">
        <v>2210</v>
      </c>
      <c r="L742" s="3" t="s">
        <v>905</v>
      </c>
      <c r="M742" t="str" cm="1">
        <f t="array" ref="M742">_xlfn.IFS(INFO_Pasajeros[[#This Row],[Edad]]&lt;=13,"Niños",INFO_Pasajeros[[#This Row],[Edad]]&lt;=18,"Jóvenes",INFO_Pasajeros[[#This Row],[Edad]]&lt;=50,"Adultos",INFO_Pasajeros[[#This Row],[Edad]]&gt;=51,"Adultos Mayores")</f>
        <v>Adultos</v>
      </c>
    </row>
    <row r="743" spans="1:13" x14ac:dyDescent="0.25">
      <c r="A743" s="3" t="s">
        <v>2000</v>
      </c>
      <c r="B743" s="3" t="s">
        <v>902</v>
      </c>
      <c r="C743" s="3">
        <v>740</v>
      </c>
      <c r="D743" s="5">
        <v>43</v>
      </c>
      <c r="E743" s="3">
        <v>0</v>
      </c>
      <c r="F743" s="3">
        <v>0</v>
      </c>
      <c r="G743" s="3">
        <v>3</v>
      </c>
      <c r="H743" s="3">
        <v>0</v>
      </c>
      <c r="I743" s="3" t="s">
        <v>1425</v>
      </c>
      <c r="J743" s="13">
        <v>78.957999999999998</v>
      </c>
      <c r="K743" s="3" t="s">
        <v>2210</v>
      </c>
      <c r="L743" s="3" t="s">
        <v>905</v>
      </c>
      <c r="M743" t="str" cm="1">
        <f t="array" ref="M743">_xlfn.IFS(INFO_Pasajeros[[#This Row],[Edad]]&lt;=13,"Niños",INFO_Pasajeros[[#This Row],[Edad]]&lt;=18,"Jóvenes",INFO_Pasajeros[[#This Row],[Edad]]&lt;=50,"Adultos",INFO_Pasajeros[[#This Row],[Edad]]&gt;=51,"Adultos Mayores")</f>
        <v>Adultos</v>
      </c>
    </row>
    <row r="744" spans="1:13" x14ac:dyDescent="0.25">
      <c r="A744" s="3" t="s">
        <v>2001</v>
      </c>
      <c r="B744" s="3" t="s">
        <v>902</v>
      </c>
      <c r="C744" s="3">
        <v>741</v>
      </c>
      <c r="D744" s="5">
        <v>45</v>
      </c>
      <c r="E744" s="3">
        <v>0</v>
      </c>
      <c r="F744" s="3">
        <v>0</v>
      </c>
      <c r="G744" s="3">
        <v>1</v>
      </c>
      <c r="H744" s="3">
        <v>1</v>
      </c>
      <c r="I744" s="3" t="s">
        <v>1425</v>
      </c>
      <c r="J744" s="13">
        <v>30</v>
      </c>
      <c r="K744" s="3" t="s">
        <v>2210</v>
      </c>
      <c r="L744" s="3" t="s">
        <v>905</v>
      </c>
      <c r="M744" t="str" cm="1">
        <f t="array" ref="M744">_xlfn.IFS(INFO_Pasajeros[[#This Row],[Edad]]&lt;=13,"Niños",INFO_Pasajeros[[#This Row],[Edad]]&lt;=18,"Jóvenes",INFO_Pasajeros[[#This Row],[Edad]]&lt;=50,"Adultos",INFO_Pasajeros[[#This Row],[Edad]]&gt;=51,"Adultos Mayores")</f>
        <v>Adultos</v>
      </c>
    </row>
    <row r="745" spans="1:13" x14ac:dyDescent="0.25">
      <c r="A745" s="3" t="s">
        <v>2003</v>
      </c>
      <c r="B745" s="3" t="s">
        <v>902</v>
      </c>
      <c r="C745" s="3">
        <v>742</v>
      </c>
      <c r="D745" s="5">
        <v>7</v>
      </c>
      <c r="E745" s="3">
        <v>0</v>
      </c>
      <c r="F745" s="3">
        <v>1</v>
      </c>
      <c r="G745" s="3">
        <v>1</v>
      </c>
      <c r="H745" s="3">
        <v>0</v>
      </c>
      <c r="I745" s="3" t="s">
        <v>1425</v>
      </c>
      <c r="J745" s="13">
        <v>78.849999999999994</v>
      </c>
      <c r="K745" s="3" t="s">
        <v>2210</v>
      </c>
      <c r="L745" s="3" t="s">
        <v>905</v>
      </c>
      <c r="M745" t="str" cm="1">
        <f t="array" ref="M745">_xlfn.IFS(INFO_Pasajeros[[#This Row],[Edad]]&lt;=13,"Niños",INFO_Pasajeros[[#This Row],[Edad]]&lt;=18,"Jóvenes",INFO_Pasajeros[[#This Row],[Edad]]&lt;=50,"Adultos",INFO_Pasajeros[[#This Row],[Edad]]&gt;=51,"Adultos Mayores")</f>
        <v>Niños</v>
      </c>
    </row>
    <row r="746" spans="1:13" x14ac:dyDescent="0.25">
      <c r="A746" s="3" t="s">
        <v>2005</v>
      </c>
      <c r="B746" s="3" t="s">
        <v>907</v>
      </c>
      <c r="C746" s="3">
        <v>743</v>
      </c>
      <c r="D746" s="5">
        <v>50</v>
      </c>
      <c r="E746" s="3">
        <v>2</v>
      </c>
      <c r="F746" s="3">
        <v>2</v>
      </c>
      <c r="G746" s="3">
        <v>1</v>
      </c>
      <c r="H746" s="3">
        <v>1</v>
      </c>
      <c r="I746" s="3" t="s">
        <v>1622</v>
      </c>
      <c r="J746" s="13">
        <v>262.375</v>
      </c>
      <c r="K746" s="3" t="s">
        <v>2210</v>
      </c>
      <c r="L746" s="3" t="s">
        <v>905</v>
      </c>
      <c r="M746" t="str" cm="1">
        <f t="array" ref="M746">_xlfn.IFS(INFO_Pasajeros[[#This Row],[Edad]]&lt;=13,"Niños",INFO_Pasajeros[[#This Row],[Edad]]&lt;=18,"Jóvenes",INFO_Pasajeros[[#This Row],[Edad]]&lt;=50,"Adultos",INFO_Pasajeros[[#This Row],[Edad]]&gt;=51,"Adultos Mayores")</f>
        <v>Adultos</v>
      </c>
    </row>
    <row r="747" spans="1:13" x14ac:dyDescent="0.25">
      <c r="A747" s="3" t="s">
        <v>2006</v>
      </c>
      <c r="B747" s="3" t="s">
        <v>902</v>
      </c>
      <c r="C747" s="3">
        <v>744</v>
      </c>
      <c r="D747" s="5">
        <v>74</v>
      </c>
      <c r="E747" s="3">
        <v>0</v>
      </c>
      <c r="F747" s="3">
        <v>1</v>
      </c>
      <c r="G747" s="3">
        <v>3</v>
      </c>
      <c r="H747" s="3">
        <v>0</v>
      </c>
      <c r="I747" s="3" t="s">
        <v>1166</v>
      </c>
      <c r="J747" s="13">
        <v>16.100000000000001</v>
      </c>
      <c r="K747" s="3" t="s">
        <v>2210</v>
      </c>
      <c r="L747" s="3" t="s">
        <v>905</v>
      </c>
      <c r="M747" t="str" cm="1">
        <f t="array" ref="M747">_xlfn.IFS(INFO_Pasajeros[[#This Row],[Edad]]&lt;=13,"Niños",INFO_Pasajeros[[#This Row],[Edad]]&lt;=18,"Jóvenes",INFO_Pasajeros[[#This Row],[Edad]]&lt;=50,"Adultos",INFO_Pasajeros[[#This Row],[Edad]]&gt;=51,"Adultos Mayores")</f>
        <v>Adultos Mayores</v>
      </c>
    </row>
    <row r="748" spans="1:13" x14ac:dyDescent="0.25">
      <c r="A748" s="3" t="s">
        <v>2007</v>
      </c>
      <c r="B748" s="3" t="s">
        <v>902</v>
      </c>
      <c r="C748" s="3">
        <v>745</v>
      </c>
      <c r="D748" s="5">
        <v>36</v>
      </c>
      <c r="E748" s="3">
        <v>0</v>
      </c>
      <c r="F748" s="3">
        <v>0</v>
      </c>
      <c r="G748" s="3">
        <v>3</v>
      </c>
      <c r="H748" s="3">
        <v>1</v>
      </c>
      <c r="I748" s="3" t="s">
        <v>1207</v>
      </c>
      <c r="J748" s="13">
        <v>7.9249999999999998</v>
      </c>
      <c r="K748" s="3" t="s">
        <v>2210</v>
      </c>
      <c r="L748" s="3" t="s">
        <v>905</v>
      </c>
      <c r="M748" t="str" cm="1">
        <f t="array" ref="M748">_xlfn.IFS(INFO_Pasajeros[[#This Row],[Edad]]&lt;=13,"Niños",INFO_Pasajeros[[#This Row],[Edad]]&lt;=18,"Jóvenes",INFO_Pasajeros[[#This Row],[Edad]]&lt;=50,"Adultos",INFO_Pasajeros[[#This Row],[Edad]]&gt;=51,"Adultos Mayores")</f>
        <v>Adultos</v>
      </c>
    </row>
    <row r="749" spans="1:13" x14ac:dyDescent="0.25">
      <c r="A749" s="3" t="s">
        <v>2009</v>
      </c>
      <c r="B749" s="3" t="s">
        <v>902</v>
      </c>
      <c r="C749" s="3">
        <v>746</v>
      </c>
      <c r="D749" s="5">
        <v>25</v>
      </c>
      <c r="E749" s="3">
        <v>1</v>
      </c>
      <c r="F749" s="3">
        <v>1</v>
      </c>
      <c r="G749" s="3">
        <v>1</v>
      </c>
      <c r="H749" s="3">
        <v>0</v>
      </c>
      <c r="I749" s="3" t="s">
        <v>1207</v>
      </c>
      <c r="J749" s="13">
        <v>71</v>
      </c>
      <c r="K749" s="3" t="s">
        <v>2210</v>
      </c>
      <c r="L749" s="3" t="s">
        <v>905</v>
      </c>
      <c r="M749" t="str" cm="1">
        <f t="array" ref="M749">_xlfn.IFS(INFO_Pasajeros[[#This Row],[Edad]]&lt;=13,"Niños",INFO_Pasajeros[[#This Row],[Edad]]&lt;=18,"Jóvenes",INFO_Pasajeros[[#This Row],[Edad]]&lt;=50,"Adultos",INFO_Pasajeros[[#This Row],[Edad]]&gt;=51,"Adultos Mayores")</f>
        <v>Adultos</v>
      </c>
    </row>
    <row r="750" spans="1:13" x14ac:dyDescent="0.25">
      <c r="A750" s="3" t="s">
        <v>2010</v>
      </c>
      <c r="B750" s="3" t="s">
        <v>902</v>
      </c>
      <c r="C750" s="3">
        <v>747</v>
      </c>
      <c r="D750" s="5">
        <v>19</v>
      </c>
      <c r="E750" s="3">
        <v>1</v>
      </c>
      <c r="F750" s="3">
        <v>1</v>
      </c>
      <c r="G750" s="3">
        <v>3</v>
      </c>
      <c r="H750" s="3">
        <v>0</v>
      </c>
      <c r="I750" s="3" t="s">
        <v>1207</v>
      </c>
      <c r="J750" s="13">
        <v>20.25</v>
      </c>
      <c r="K750" s="3" t="s">
        <v>2210</v>
      </c>
      <c r="L750" s="3" t="s">
        <v>905</v>
      </c>
      <c r="M750" t="str" cm="1">
        <f t="array" ref="M750">_xlfn.IFS(INFO_Pasajeros[[#This Row],[Edad]]&lt;=13,"Niños",INFO_Pasajeros[[#This Row],[Edad]]&lt;=18,"Jóvenes",INFO_Pasajeros[[#This Row],[Edad]]&lt;=50,"Adultos",INFO_Pasajeros[[#This Row],[Edad]]&gt;=51,"Adultos Mayores")</f>
        <v>Adultos</v>
      </c>
    </row>
    <row r="751" spans="1:13" x14ac:dyDescent="0.25">
      <c r="A751" s="3" t="s">
        <v>2011</v>
      </c>
      <c r="B751" s="3" t="s">
        <v>907</v>
      </c>
      <c r="C751" s="3">
        <v>748</v>
      </c>
      <c r="D751" s="5">
        <v>49</v>
      </c>
      <c r="E751" s="3">
        <v>0</v>
      </c>
      <c r="F751" s="3">
        <v>0</v>
      </c>
      <c r="G751" s="3">
        <v>2</v>
      </c>
      <c r="H751" s="3">
        <v>1</v>
      </c>
      <c r="I751" s="3" t="s">
        <v>1207</v>
      </c>
      <c r="J751" s="13">
        <v>13</v>
      </c>
      <c r="K751" s="3" t="s">
        <v>2210</v>
      </c>
      <c r="L751" s="3" t="s">
        <v>905</v>
      </c>
      <c r="M751" t="str" cm="1">
        <f t="array" ref="M751">_xlfn.IFS(INFO_Pasajeros[[#This Row],[Edad]]&lt;=13,"Niños",INFO_Pasajeros[[#This Row],[Edad]]&lt;=18,"Jóvenes",INFO_Pasajeros[[#This Row],[Edad]]&lt;=50,"Adultos",INFO_Pasajeros[[#This Row],[Edad]]&gt;=51,"Adultos Mayores")</f>
        <v>Adultos</v>
      </c>
    </row>
    <row r="752" spans="1:13" x14ac:dyDescent="0.25">
      <c r="A752" s="3" t="s">
        <v>2012</v>
      </c>
      <c r="B752" s="3" t="s">
        <v>902</v>
      </c>
      <c r="C752" s="3">
        <v>749</v>
      </c>
      <c r="D752" s="5">
        <v>30</v>
      </c>
      <c r="E752" s="3">
        <v>0</v>
      </c>
      <c r="F752" s="3">
        <v>1</v>
      </c>
      <c r="G752" s="3">
        <v>1</v>
      </c>
      <c r="H752" s="3">
        <v>0</v>
      </c>
      <c r="I752" s="3" t="s">
        <v>1413</v>
      </c>
      <c r="J752" s="13">
        <v>53.1</v>
      </c>
      <c r="K752" s="3" t="s">
        <v>2210</v>
      </c>
      <c r="L752" s="3" t="s">
        <v>910</v>
      </c>
      <c r="M752" t="str" cm="1">
        <f t="array" ref="M752">_xlfn.IFS(INFO_Pasajeros[[#This Row],[Edad]]&lt;=13,"Niños",INFO_Pasajeros[[#This Row],[Edad]]&lt;=18,"Jóvenes",INFO_Pasajeros[[#This Row],[Edad]]&lt;=50,"Adultos",INFO_Pasajeros[[#This Row],[Edad]]&gt;=51,"Adultos Mayores")</f>
        <v>Adultos</v>
      </c>
    </row>
    <row r="753" spans="1:13" x14ac:dyDescent="0.25">
      <c r="A753" s="3" t="s">
        <v>2014</v>
      </c>
      <c r="B753" s="3" t="s">
        <v>902</v>
      </c>
      <c r="C753" s="3">
        <v>750</v>
      </c>
      <c r="D753" s="5">
        <v>28</v>
      </c>
      <c r="E753" s="3">
        <v>0</v>
      </c>
      <c r="F753" s="3">
        <v>0</v>
      </c>
      <c r="G753" s="3">
        <v>3</v>
      </c>
      <c r="H753" s="3">
        <v>0</v>
      </c>
      <c r="I753" s="3" t="s">
        <v>1413</v>
      </c>
      <c r="J753" s="13">
        <v>7.75</v>
      </c>
      <c r="K753" s="3" t="s">
        <v>2210</v>
      </c>
      <c r="L753" s="3" t="s">
        <v>910</v>
      </c>
      <c r="M753" t="str" cm="1">
        <f t="array" ref="M753">_xlfn.IFS(INFO_Pasajeros[[#This Row],[Edad]]&lt;=13,"Niños",INFO_Pasajeros[[#This Row],[Edad]]&lt;=18,"Jóvenes",INFO_Pasajeros[[#This Row],[Edad]]&lt;=50,"Adultos",INFO_Pasajeros[[#This Row],[Edad]]&gt;=51,"Adultos Mayores")</f>
        <v>Adultos</v>
      </c>
    </row>
    <row r="754" spans="1:13" x14ac:dyDescent="0.25">
      <c r="A754" s="3" t="s">
        <v>2015</v>
      </c>
      <c r="B754" s="3" t="s">
        <v>907</v>
      </c>
      <c r="C754" s="3">
        <v>751</v>
      </c>
      <c r="D754" s="5">
        <v>69</v>
      </c>
      <c r="E754" s="3">
        <v>1</v>
      </c>
      <c r="F754" s="3">
        <v>1</v>
      </c>
      <c r="G754" s="3">
        <v>2</v>
      </c>
      <c r="H754" s="3">
        <v>1</v>
      </c>
      <c r="I754" s="3" t="s">
        <v>1189</v>
      </c>
      <c r="J754" s="13">
        <v>23</v>
      </c>
      <c r="K754" s="3" t="s">
        <v>2210</v>
      </c>
      <c r="L754" s="3" t="s">
        <v>905</v>
      </c>
      <c r="M754" t="str" cm="1">
        <f t="array" ref="M754">_xlfn.IFS(INFO_Pasajeros[[#This Row],[Edad]]&lt;=13,"Niños",INFO_Pasajeros[[#This Row],[Edad]]&lt;=18,"Jóvenes",INFO_Pasajeros[[#This Row],[Edad]]&lt;=50,"Adultos",INFO_Pasajeros[[#This Row],[Edad]]&gt;=51,"Adultos Mayores")</f>
        <v>Adultos Mayores</v>
      </c>
    </row>
    <row r="755" spans="1:13" x14ac:dyDescent="0.25">
      <c r="A755" s="3" t="s">
        <v>2016</v>
      </c>
      <c r="B755" s="3" t="s">
        <v>902</v>
      </c>
      <c r="C755" s="3">
        <v>752</v>
      </c>
      <c r="D755" s="5">
        <v>36</v>
      </c>
      <c r="E755" s="3">
        <v>1</v>
      </c>
      <c r="F755" s="3">
        <v>0</v>
      </c>
      <c r="G755" s="3">
        <v>3</v>
      </c>
      <c r="H755" s="3">
        <v>1</v>
      </c>
      <c r="I755" s="3" t="s">
        <v>1698</v>
      </c>
      <c r="J755" s="13">
        <v>12.475</v>
      </c>
      <c r="K755" s="3" t="s">
        <v>1699</v>
      </c>
      <c r="L755" s="3" t="s">
        <v>905</v>
      </c>
      <c r="M755" t="str" cm="1">
        <f t="array" ref="M755">_xlfn.IFS(INFO_Pasajeros[[#This Row],[Edad]]&lt;=13,"Niños",INFO_Pasajeros[[#This Row],[Edad]]&lt;=18,"Jóvenes",INFO_Pasajeros[[#This Row],[Edad]]&lt;=50,"Adultos",INFO_Pasajeros[[#This Row],[Edad]]&gt;=51,"Adultos Mayores")</f>
        <v>Adultos</v>
      </c>
    </row>
    <row r="756" spans="1:13" x14ac:dyDescent="0.25">
      <c r="A756" s="3" t="s">
        <v>2018</v>
      </c>
      <c r="B756" s="3" t="s">
        <v>902</v>
      </c>
      <c r="C756" s="3">
        <v>753</v>
      </c>
      <c r="D756" s="5">
        <v>36</v>
      </c>
      <c r="E756" s="3">
        <v>0</v>
      </c>
      <c r="F756" s="3">
        <v>0</v>
      </c>
      <c r="G756" s="3">
        <v>3</v>
      </c>
      <c r="H756" s="3">
        <v>0</v>
      </c>
      <c r="I756" s="3" t="s">
        <v>1786</v>
      </c>
      <c r="J756" s="13">
        <v>9.5</v>
      </c>
      <c r="K756" s="3" t="s">
        <v>1699</v>
      </c>
      <c r="L756" s="3" t="s">
        <v>905</v>
      </c>
      <c r="M756" t="str" cm="1">
        <f t="array" ref="M756">_xlfn.IFS(INFO_Pasajeros[[#This Row],[Edad]]&lt;=13,"Niños",INFO_Pasajeros[[#This Row],[Edad]]&lt;=18,"Jóvenes",INFO_Pasajeros[[#This Row],[Edad]]&lt;=50,"Adultos",INFO_Pasajeros[[#This Row],[Edad]]&gt;=51,"Adultos Mayores")</f>
        <v>Adultos</v>
      </c>
    </row>
    <row r="757" spans="1:13" x14ac:dyDescent="0.25">
      <c r="A757" s="3" t="s">
        <v>2019</v>
      </c>
      <c r="B757" s="3" t="s">
        <v>902</v>
      </c>
      <c r="C757" s="3">
        <v>754</v>
      </c>
      <c r="D757" s="5">
        <v>35</v>
      </c>
      <c r="E757" s="3">
        <v>0</v>
      </c>
      <c r="F757" s="3">
        <v>0</v>
      </c>
      <c r="G757" s="3">
        <v>3</v>
      </c>
      <c r="H757" s="3">
        <v>0</v>
      </c>
      <c r="I757" s="3" t="s">
        <v>1954</v>
      </c>
      <c r="J757" s="13">
        <v>78.957999999999998</v>
      </c>
      <c r="K757" s="3" t="s">
        <v>1955</v>
      </c>
      <c r="L757" s="3" t="s">
        <v>905</v>
      </c>
      <c r="M757" t="str" cm="1">
        <f t="array" ref="M757">_xlfn.IFS(INFO_Pasajeros[[#This Row],[Edad]]&lt;=13,"Niños",INFO_Pasajeros[[#This Row],[Edad]]&lt;=18,"Jóvenes",INFO_Pasajeros[[#This Row],[Edad]]&lt;=50,"Adultos",INFO_Pasajeros[[#This Row],[Edad]]&gt;=51,"Adultos Mayores")</f>
        <v>Adultos</v>
      </c>
    </row>
    <row r="758" spans="1:13" x14ac:dyDescent="0.25">
      <c r="A758" s="3" t="s">
        <v>2020</v>
      </c>
      <c r="B758" s="3" t="s">
        <v>907</v>
      </c>
      <c r="C758" s="3">
        <v>755</v>
      </c>
      <c r="D758" s="5">
        <v>42</v>
      </c>
      <c r="E758" s="3">
        <v>2</v>
      </c>
      <c r="F758" s="3">
        <v>1</v>
      </c>
      <c r="G758" s="3">
        <v>2</v>
      </c>
      <c r="H758" s="3">
        <v>1</v>
      </c>
      <c r="I758" s="3" t="s">
        <v>1962</v>
      </c>
      <c r="J758" s="13">
        <v>65</v>
      </c>
      <c r="K758" s="3" t="s">
        <v>1955</v>
      </c>
      <c r="L758" s="3" t="s">
        <v>905</v>
      </c>
      <c r="M758" t="str" cm="1">
        <f t="array" ref="M758">_xlfn.IFS(INFO_Pasajeros[[#This Row],[Edad]]&lt;=13,"Niños",INFO_Pasajeros[[#This Row],[Edad]]&lt;=18,"Jóvenes",INFO_Pasajeros[[#This Row],[Edad]]&lt;=50,"Adultos",INFO_Pasajeros[[#This Row],[Edad]]&gt;=51,"Adultos Mayores")</f>
        <v>Adultos</v>
      </c>
    </row>
    <row r="759" spans="1:13" x14ac:dyDescent="0.25">
      <c r="A759" s="3" t="s">
        <v>2021</v>
      </c>
      <c r="B759" s="3" t="s">
        <v>902</v>
      </c>
      <c r="C759" s="3">
        <v>756</v>
      </c>
      <c r="D759" s="5">
        <v>24</v>
      </c>
      <c r="E759" s="3">
        <v>1</v>
      </c>
      <c r="F759" s="3">
        <v>1</v>
      </c>
      <c r="G759" s="3">
        <v>2</v>
      </c>
      <c r="H759" s="3">
        <v>1</v>
      </c>
      <c r="I759" s="3" t="s">
        <v>1501</v>
      </c>
      <c r="J759" s="13">
        <v>14.5</v>
      </c>
      <c r="K759" s="3" t="s">
        <v>1503</v>
      </c>
      <c r="L759" s="3" t="s">
        <v>910</v>
      </c>
      <c r="M759" t="str" cm="1">
        <f t="array" ref="M759">_xlfn.IFS(INFO_Pasajeros[[#This Row],[Edad]]&lt;=13,"Niños",INFO_Pasajeros[[#This Row],[Edad]]&lt;=18,"Jóvenes",INFO_Pasajeros[[#This Row],[Edad]]&lt;=50,"Adultos",INFO_Pasajeros[[#This Row],[Edad]]&gt;=51,"Adultos Mayores")</f>
        <v>Adultos</v>
      </c>
    </row>
    <row r="760" spans="1:13" x14ac:dyDescent="0.25">
      <c r="A760" s="3" t="s">
        <v>2023</v>
      </c>
      <c r="B760" s="3" t="s">
        <v>902</v>
      </c>
      <c r="C760" s="3">
        <v>757</v>
      </c>
      <c r="D760" s="5">
        <v>24</v>
      </c>
      <c r="E760" s="3">
        <v>0</v>
      </c>
      <c r="F760" s="3">
        <v>0</v>
      </c>
      <c r="G760" s="3">
        <v>3</v>
      </c>
      <c r="H760" s="3">
        <v>0</v>
      </c>
      <c r="I760" s="3" t="s">
        <v>1501</v>
      </c>
      <c r="J760" s="13">
        <v>77.957999999999998</v>
      </c>
      <c r="K760" s="3" t="s">
        <v>1503</v>
      </c>
      <c r="L760" s="3" t="s">
        <v>910</v>
      </c>
      <c r="M760" t="str" cm="1">
        <f t="array" ref="M760">_xlfn.IFS(INFO_Pasajeros[[#This Row],[Edad]]&lt;=13,"Niños",INFO_Pasajeros[[#This Row],[Edad]]&lt;=18,"Jóvenes",INFO_Pasajeros[[#This Row],[Edad]]&lt;=50,"Adultos",INFO_Pasajeros[[#This Row],[Edad]]&gt;=51,"Adultos Mayores")</f>
        <v>Adultos</v>
      </c>
    </row>
    <row r="761" spans="1:13" x14ac:dyDescent="0.25">
      <c r="A761" s="3" t="s">
        <v>2024</v>
      </c>
      <c r="B761" s="3" t="s">
        <v>902</v>
      </c>
      <c r="C761" s="3">
        <v>758</v>
      </c>
      <c r="D761" s="5">
        <v>24</v>
      </c>
      <c r="E761" s="3">
        <v>0</v>
      </c>
      <c r="F761" s="3">
        <v>0</v>
      </c>
      <c r="G761" s="3">
        <v>2</v>
      </c>
      <c r="H761" s="3">
        <v>0</v>
      </c>
      <c r="I761" s="3" t="s">
        <v>1966</v>
      </c>
      <c r="J761" s="13">
        <v>11.5</v>
      </c>
      <c r="K761" s="3" t="s">
        <v>1967</v>
      </c>
      <c r="L761" s="3" t="s">
        <v>910</v>
      </c>
      <c r="M761" t="str" cm="1">
        <f t="array" ref="M761">_xlfn.IFS(INFO_Pasajeros[[#This Row],[Edad]]&lt;=13,"Niños",INFO_Pasajeros[[#This Row],[Edad]]&lt;=18,"Jóvenes",INFO_Pasajeros[[#This Row],[Edad]]&lt;=50,"Adultos",INFO_Pasajeros[[#This Row],[Edad]]&gt;=51,"Adultos Mayores")</f>
        <v>Adultos</v>
      </c>
    </row>
    <row r="762" spans="1:13" x14ac:dyDescent="0.25">
      <c r="A762" s="3" t="s">
        <v>2025</v>
      </c>
      <c r="B762" s="3" t="s">
        <v>902</v>
      </c>
      <c r="C762" s="3">
        <v>759</v>
      </c>
      <c r="D762" s="5">
        <v>21</v>
      </c>
      <c r="E762" s="3">
        <v>0</v>
      </c>
      <c r="F762" s="3">
        <v>0</v>
      </c>
      <c r="G762" s="3">
        <v>3</v>
      </c>
      <c r="H762" s="3">
        <v>0</v>
      </c>
      <c r="I762" s="3" t="s">
        <v>1722</v>
      </c>
      <c r="J762" s="13">
        <v>8.0500000000000007</v>
      </c>
      <c r="K762" s="3" t="s">
        <v>1723</v>
      </c>
      <c r="L762" s="3" t="s">
        <v>905</v>
      </c>
      <c r="M762" t="str" cm="1">
        <f t="array" ref="M762">_xlfn.IFS(INFO_Pasajeros[[#This Row],[Edad]]&lt;=13,"Niños",INFO_Pasajeros[[#This Row],[Edad]]&lt;=18,"Jóvenes",INFO_Pasajeros[[#This Row],[Edad]]&lt;=50,"Adultos",INFO_Pasajeros[[#This Row],[Edad]]&gt;=51,"Adultos Mayores")</f>
        <v>Adultos</v>
      </c>
    </row>
    <row r="763" spans="1:13" x14ac:dyDescent="0.25">
      <c r="A763" s="3" t="s">
        <v>2026</v>
      </c>
      <c r="B763" s="3" t="s">
        <v>907</v>
      </c>
      <c r="C763" s="3">
        <v>760</v>
      </c>
      <c r="D763" s="5">
        <v>30</v>
      </c>
      <c r="E763" s="3">
        <v>0</v>
      </c>
      <c r="F763" s="3">
        <v>0</v>
      </c>
      <c r="G763" s="3">
        <v>1</v>
      </c>
      <c r="H763" s="3">
        <v>1</v>
      </c>
      <c r="I763" s="3" t="s">
        <v>1415</v>
      </c>
      <c r="J763" s="13">
        <v>86.5</v>
      </c>
      <c r="K763" s="3" t="s">
        <v>1416</v>
      </c>
      <c r="L763" s="3" t="s">
        <v>910</v>
      </c>
      <c r="M763" t="str" cm="1">
        <f t="array" ref="M763">_xlfn.IFS(INFO_Pasajeros[[#This Row],[Edad]]&lt;=13,"Niños",INFO_Pasajeros[[#This Row],[Edad]]&lt;=18,"Jóvenes",INFO_Pasajeros[[#This Row],[Edad]]&lt;=50,"Adultos",INFO_Pasajeros[[#This Row],[Edad]]&gt;=51,"Adultos Mayores")</f>
        <v>Adultos</v>
      </c>
    </row>
    <row r="764" spans="1:13" x14ac:dyDescent="0.25">
      <c r="A764" s="3" t="s">
        <v>2027</v>
      </c>
      <c r="B764" s="3" t="s">
        <v>902</v>
      </c>
      <c r="C764" s="3">
        <v>761</v>
      </c>
      <c r="D764" s="5">
        <v>49</v>
      </c>
      <c r="E764" s="3">
        <v>0</v>
      </c>
      <c r="F764" s="3">
        <v>0</v>
      </c>
      <c r="G764" s="3">
        <v>3</v>
      </c>
      <c r="H764" s="3">
        <v>0</v>
      </c>
      <c r="I764" s="3" t="s">
        <v>1415</v>
      </c>
      <c r="J764" s="13">
        <v>14.5</v>
      </c>
      <c r="K764" s="3" t="s">
        <v>1824</v>
      </c>
      <c r="L764" s="3" t="s">
        <v>910</v>
      </c>
      <c r="M764" t="str" cm="1">
        <f t="array" ref="M764">_xlfn.IFS(INFO_Pasajeros[[#This Row],[Edad]]&lt;=13,"Niños",INFO_Pasajeros[[#This Row],[Edad]]&lt;=18,"Jóvenes",INFO_Pasajeros[[#This Row],[Edad]]&lt;=50,"Adultos",INFO_Pasajeros[[#This Row],[Edad]]&gt;=51,"Adultos Mayores")</f>
        <v>Adultos</v>
      </c>
    </row>
    <row r="765" spans="1:13" x14ac:dyDescent="0.25">
      <c r="A765" s="3" t="s">
        <v>2028</v>
      </c>
      <c r="B765" s="3" t="s">
        <v>902</v>
      </c>
      <c r="C765" s="3">
        <v>762</v>
      </c>
      <c r="D765" s="5">
        <v>24</v>
      </c>
      <c r="E765" s="3">
        <v>0</v>
      </c>
      <c r="F765" s="3">
        <v>0</v>
      </c>
      <c r="G765" s="3">
        <v>3</v>
      </c>
      <c r="H765" s="3">
        <v>0</v>
      </c>
      <c r="I765" s="3" t="s">
        <v>1100</v>
      </c>
      <c r="J765" s="13">
        <v>7.125</v>
      </c>
      <c r="K765" s="3" t="s">
        <v>1101</v>
      </c>
      <c r="L765" s="3" t="s">
        <v>910</v>
      </c>
      <c r="M765" t="str" cm="1">
        <f t="array" ref="M765">_xlfn.IFS(INFO_Pasajeros[[#This Row],[Edad]]&lt;=13,"Niños",INFO_Pasajeros[[#This Row],[Edad]]&lt;=18,"Jóvenes",INFO_Pasajeros[[#This Row],[Edad]]&lt;=50,"Adultos",INFO_Pasajeros[[#This Row],[Edad]]&gt;=51,"Adultos Mayores")</f>
        <v>Adultos</v>
      </c>
    </row>
    <row r="766" spans="1:13" x14ac:dyDescent="0.25">
      <c r="A766" s="3" t="s">
        <v>2030</v>
      </c>
      <c r="B766" s="3" t="s">
        <v>902</v>
      </c>
      <c r="C766" s="3">
        <v>763</v>
      </c>
      <c r="D766" s="5">
        <v>50</v>
      </c>
      <c r="E766" s="3">
        <v>0</v>
      </c>
      <c r="F766" s="3">
        <v>0</v>
      </c>
      <c r="G766" s="3">
        <v>3</v>
      </c>
      <c r="H766" s="3">
        <v>1</v>
      </c>
      <c r="I766" s="3" t="s">
        <v>1100</v>
      </c>
      <c r="J766" s="13">
        <v>72.292000000000002</v>
      </c>
      <c r="K766" s="3" t="s">
        <v>1101</v>
      </c>
      <c r="L766" s="3" t="s">
        <v>910</v>
      </c>
      <c r="M766" t="str" cm="1">
        <f t="array" ref="M766">_xlfn.IFS(INFO_Pasajeros[[#This Row],[Edad]]&lt;=13,"Niños",INFO_Pasajeros[[#This Row],[Edad]]&lt;=18,"Jóvenes",INFO_Pasajeros[[#This Row],[Edad]]&lt;=50,"Adultos",INFO_Pasajeros[[#This Row],[Edad]]&gt;=51,"Adultos Mayores")</f>
        <v>Adultos</v>
      </c>
    </row>
    <row r="767" spans="1:13" x14ac:dyDescent="0.25">
      <c r="A767" s="3" t="s">
        <v>2031</v>
      </c>
      <c r="B767" s="3" t="s">
        <v>907</v>
      </c>
      <c r="C767" s="3">
        <v>764</v>
      </c>
      <c r="D767" s="5">
        <v>27</v>
      </c>
      <c r="E767" s="3">
        <v>2</v>
      </c>
      <c r="F767" s="3">
        <v>1</v>
      </c>
      <c r="G767" s="3">
        <v>1</v>
      </c>
      <c r="H767" s="3">
        <v>1</v>
      </c>
      <c r="I767" s="3" t="s">
        <v>958</v>
      </c>
      <c r="J767" s="13">
        <v>120</v>
      </c>
      <c r="K767" s="3" t="s">
        <v>959</v>
      </c>
      <c r="L767" s="3" t="s">
        <v>910</v>
      </c>
      <c r="M767" t="str" cm="1">
        <f t="array" ref="M767">_xlfn.IFS(INFO_Pasajeros[[#This Row],[Edad]]&lt;=13,"Niños",INFO_Pasajeros[[#This Row],[Edad]]&lt;=18,"Jóvenes",INFO_Pasajeros[[#This Row],[Edad]]&lt;=50,"Adultos",INFO_Pasajeros[[#This Row],[Edad]]&gt;=51,"Adultos Mayores")</f>
        <v>Adultos</v>
      </c>
    </row>
    <row r="768" spans="1:13" x14ac:dyDescent="0.25">
      <c r="A768" s="3" t="s">
        <v>2032</v>
      </c>
      <c r="B768" s="3" t="s">
        <v>902</v>
      </c>
      <c r="C768" s="3">
        <v>765</v>
      </c>
      <c r="D768" s="5">
        <v>58</v>
      </c>
      <c r="E768" s="3">
        <v>0</v>
      </c>
      <c r="F768" s="3">
        <v>0</v>
      </c>
      <c r="G768" s="3">
        <v>3</v>
      </c>
      <c r="H768" s="3">
        <v>0</v>
      </c>
      <c r="I768" s="3" t="s">
        <v>958</v>
      </c>
      <c r="J768" s="13">
        <v>7.7750000000000004</v>
      </c>
      <c r="K768" s="3" t="s">
        <v>1230</v>
      </c>
      <c r="L768" s="3" t="s">
        <v>910</v>
      </c>
      <c r="M768" t="str" cm="1">
        <f t="array" ref="M768">_xlfn.IFS(INFO_Pasajeros[[#This Row],[Edad]]&lt;=13,"Niños",INFO_Pasajeros[[#This Row],[Edad]]&lt;=18,"Jóvenes",INFO_Pasajeros[[#This Row],[Edad]]&lt;=50,"Adultos",INFO_Pasajeros[[#This Row],[Edad]]&gt;=51,"Adultos Mayores")</f>
        <v>Adultos Mayores</v>
      </c>
    </row>
    <row r="769" spans="1:13" x14ac:dyDescent="0.25">
      <c r="A769" s="3" t="s">
        <v>2033</v>
      </c>
      <c r="B769" s="3" t="s">
        <v>907</v>
      </c>
      <c r="C769" s="3">
        <v>766</v>
      </c>
      <c r="D769" s="5">
        <v>49</v>
      </c>
      <c r="E769" s="3">
        <v>0</v>
      </c>
      <c r="F769" s="3">
        <v>1</v>
      </c>
      <c r="G769" s="3">
        <v>1</v>
      </c>
      <c r="H769" s="3">
        <v>1</v>
      </c>
      <c r="I769" s="3" t="s">
        <v>992</v>
      </c>
      <c r="J769" s="13">
        <v>779.58299999999997</v>
      </c>
      <c r="K769" s="3" t="s">
        <v>993</v>
      </c>
      <c r="L769" s="3" t="s">
        <v>910</v>
      </c>
      <c r="M769" t="str" cm="1">
        <f t="array" ref="M769">_xlfn.IFS(INFO_Pasajeros[[#This Row],[Edad]]&lt;=13,"Niños",INFO_Pasajeros[[#This Row],[Edad]]&lt;=18,"Jóvenes",INFO_Pasajeros[[#This Row],[Edad]]&lt;=50,"Adultos",INFO_Pasajeros[[#This Row],[Edad]]&gt;=51,"Adultos Mayores")</f>
        <v>Adultos</v>
      </c>
    </row>
    <row r="770" spans="1:13" x14ac:dyDescent="0.25">
      <c r="A770" s="3" t="s">
        <v>2035</v>
      </c>
      <c r="B770" s="3" t="s">
        <v>902</v>
      </c>
      <c r="C770" s="3">
        <v>767</v>
      </c>
      <c r="D770" s="5">
        <v>48</v>
      </c>
      <c r="E770" s="3">
        <v>0</v>
      </c>
      <c r="F770" s="3">
        <v>0</v>
      </c>
      <c r="G770" s="3">
        <v>1</v>
      </c>
      <c r="H770" s="3">
        <v>0</v>
      </c>
      <c r="I770" s="3" t="s">
        <v>992</v>
      </c>
      <c r="J770" s="13">
        <v>39.6</v>
      </c>
      <c r="K770" s="3" t="s">
        <v>993</v>
      </c>
      <c r="L770" s="3" t="s">
        <v>910</v>
      </c>
      <c r="M770" t="str" cm="1">
        <f t="array" ref="M770">_xlfn.IFS(INFO_Pasajeros[[#This Row],[Edad]]&lt;=13,"Niños",INFO_Pasajeros[[#This Row],[Edad]]&lt;=18,"Jóvenes",INFO_Pasajeros[[#This Row],[Edad]]&lt;=50,"Adultos",INFO_Pasajeros[[#This Row],[Edad]]&gt;=51,"Adultos Mayores")</f>
        <v>Adultos</v>
      </c>
    </row>
    <row r="771" spans="1:13" x14ac:dyDescent="0.25">
      <c r="A771" s="3" t="s">
        <v>2036</v>
      </c>
      <c r="B771" s="3" t="s">
        <v>907</v>
      </c>
      <c r="C771" s="3">
        <v>768</v>
      </c>
      <c r="D771" s="5">
        <v>27</v>
      </c>
      <c r="E771" s="3">
        <v>0</v>
      </c>
      <c r="F771" s="3">
        <v>0</v>
      </c>
      <c r="G771" s="3">
        <v>3</v>
      </c>
      <c r="H771" s="3">
        <v>0</v>
      </c>
      <c r="I771" s="3" t="s">
        <v>992</v>
      </c>
      <c r="J771" s="13">
        <v>7.75</v>
      </c>
      <c r="K771" s="3" t="s">
        <v>1929</v>
      </c>
      <c r="L771" s="3" t="s">
        <v>910</v>
      </c>
      <c r="M771" t="str" cm="1">
        <f t="array" ref="M771">_xlfn.IFS(INFO_Pasajeros[[#This Row],[Edad]]&lt;=13,"Niños",INFO_Pasajeros[[#This Row],[Edad]]&lt;=18,"Jóvenes",INFO_Pasajeros[[#This Row],[Edad]]&lt;=50,"Adultos",INFO_Pasajeros[[#This Row],[Edad]]&gt;=51,"Adultos Mayores")</f>
        <v>Adultos</v>
      </c>
    </row>
    <row r="772" spans="1:13" x14ac:dyDescent="0.25">
      <c r="A772" s="3" t="s">
        <v>2037</v>
      </c>
      <c r="B772" s="3" t="s">
        <v>902</v>
      </c>
      <c r="C772" s="3">
        <v>769</v>
      </c>
      <c r="D772" s="5">
        <v>58</v>
      </c>
      <c r="E772" s="3">
        <v>0</v>
      </c>
      <c r="F772" s="3">
        <v>1</v>
      </c>
      <c r="G772" s="3">
        <v>3</v>
      </c>
      <c r="H772" s="3">
        <v>0</v>
      </c>
      <c r="I772" s="3" t="s">
        <v>1342</v>
      </c>
      <c r="J772" s="13">
        <v>24.15</v>
      </c>
      <c r="K772" s="3" t="s">
        <v>1343</v>
      </c>
      <c r="L772" s="3" t="s">
        <v>905</v>
      </c>
      <c r="M772" t="str" cm="1">
        <f t="array" ref="M772">_xlfn.IFS(INFO_Pasajeros[[#This Row],[Edad]]&lt;=13,"Niños",INFO_Pasajeros[[#This Row],[Edad]]&lt;=18,"Jóvenes",INFO_Pasajeros[[#This Row],[Edad]]&lt;=50,"Adultos",INFO_Pasajeros[[#This Row],[Edad]]&gt;=51,"Adultos Mayores")</f>
        <v>Adultos Mayores</v>
      </c>
    </row>
    <row r="773" spans="1:13" x14ac:dyDescent="0.25">
      <c r="A773" s="3" t="s">
        <v>2038</v>
      </c>
      <c r="B773" s="3" t="s">
        <v>902</v>
      </c>
      <c r="C773" s="3">
        <v>770</v>
      </c>
      <c r="D773" s="5">
        <v>38</v>
      </c>
      <c r="E773" s="3">
        <v>0</v>
      </c>
      <c r="F773" s="3">
        <v>0</v>
      </c>
      <c r="G773" s="3">
        <v>3</v>
      </c>
      <c r="H773" s="3">
        <v>0</v>
      </c>
      <c r="I773" s="3" t="s">
        <v>1342</v>
      </c>
      <c r="J773" s="13">
        <v>83.625</v>
      </c>
      <c r="K773" s="3" t="s">
        <v>1451</v>
      </c>
      <c r="L773" s="3" t="s">
        <v>905</v>
      </c>
      <c r="M773" t="str" cm="1">
        <f t="array" ref="M773">_xlfn.IFS(INFO_Pasajeros[[#This Row],[Edad]]&lt;=13,"Niños",INFO_Pasajeros[[#This Row],[Edad]]&lt;=18,"Jóvenes",INFO_Pasajeros[[#This Row],[Edad]]&lt;=50,"Adultos",INFO_Pasajeros[[#This Row],[Edad]]&gt;=51,"Adultos Mayores")</f>
        <v>Adultos</v>
      </c>
    </row>
    <row r="774" spans="1:13" x14ac:dyDescent="0.25">
      <c r="A774" s="3" t="s">
        <v>2039</v>
      </c>
      <c r="B774" s="3" t="s">
        <v>902</v>
      </c>
      <c r="C774" s="3">
        <v>771</v>
      </c>
      <c r="D774" s="5">
        <v>40</v>
      </c>
      <c r="E774" s="3">
        <v>0</v>
      </c>
      <c r="F774" s="3">
        <v>0</v>
      </c>
      <c r="G774" s="3">
        <v>3</v>
      </c>
      <c r="H774" s="3">
        <v>0</v>
      </c>
      <c r="I774" s="3" t="s">
        <v>1342</v>
      </c>
      <c r="J774" s="13">
        <v>9.5</v>
      </c>
      <c r="K774" s="3" t="s">
        <v>1343</v>
      </c>
      <c r="L774" s="3" t="s">
        <v>905</v>
      </c>
      <c r="M774" t="str" cm="1">
        <f t="array" ref="M774">_xlfn.IFS(INFO_Pasajeros[[#This Row],[Edad]]&lt;=13,"Niños",INFO_Pasajeros[[#This Row],[Edad]]&lt;=18,"Jóvenes",INFO_Pasajeros[[#This Row],[Edad]]&lt;=50,"Adultos",INFO_Pasajeros[[#This Row],[Edad]]&gt;=51,"Adultos Mayores")</f>
        <v>Adultos</v>
      </c>
    </row>
    <row r="775" spans="1:13" x14ac:dyDescent="0.25">
      <c r="A775" s="3" t="s">
        <v>2040</v>
      </c>
      <c r="B775" s="3" t="s">
        <v>902</v>
      </c>
      <c r="C775" s="3">
        <v>772</v>
      </c>
      <c r="D775" s="5">
        <v>61</v>
      </c>
      <c r="E775" s="3">
        <v>0</v>
      </c>
      <c r="F775" s="3">
        <v>0</v>
      </c>
      <c r="G775" s="3">
        <v>3</v>
      </c>
      <c r="H775" s="3">
        <v>0</v>
      </c>
      <c r="I775" s="3" t="s">
        <v>1322</v>
      </c>
      <c r="J775" s="13">
        <v>78.542000000000002</v>
      </c>
      <c r="K775" s="3" t="s">
        <v>2210</v>
      </c>
      <c r="L775" s="3" t="s">
        <v>910</v>
      </c>
      <c r="M775" t="str" cm="1">
        <f t="array" ref="M775">_xlfn.IFS(INFO_Pasajeros[[#This Row],[Edad]]&lt;=13,"Niños",INFO_Pasajeros[[#This Row],[Edad]]&lt;=18,"Jóvenes",INFO_Pasajeros[[#This Row],[Edad]]&lt;=50,"Adultos",INFO_Pasajeros[[#This Row],[Edad]]&gt;=51,"Adultos Mayores")</f>
        <v>Adultos Mayores</v>
      </c>
    </row>
    <row r="776" spans="1:13" x14ac:dyDescent="0.25">
      <c r="A776" s="3" t="s">
        <v>2041</v>
      </c>
      <c r="B776" s="3" t="s">
        <v>907</v>
      </c>
      <c r="C776" s="3">
        <v>773</v>
      </c>
      <c r="D776" s="5">
        <v>31</v>
      </c>
      <c r="E776" s="3">
        <v>0</v>
      </c>
      <c r="F776" s="3">
        <v>0</v>
      </c>
      <c r="G776" s="3">
        <v>2</v>
      </c>
      <c r="H776" s="3">
        <v>0</v>
      </c>
      <c r="I776" s="3" t="s">
        <v>2169</v>
      </c>
      <c r="J776" s="13">
        <v>10.5</v>
      </c>
      <c r="K776" s="3" t="s">
        <v>2170</v>
      </c>
      <c r="L776" s="3" t="s">
        <v>905</v>
      </c>
      <c r="M776" t="str" cm="1">
        <f t="array" ref="M776">_xlfn.IFS(INFO_Pasajeros[[#This Row],[Edad]]&lt;=13,"Niños",INFO_Pasajeros[[#This Row],[Edad]]&lt;=18,"Jóvenes",INFO_Pasajeros[[#This Row],[Edad]]&lt;=50,"Adultos",INFO_Pasajeros[[#This Row],[Edad]]&gt;=51,"Adultos Mayores")</f>
        <v>Adultos</v>
      </c>
    </row>
    <row r="777" spans="1:13" x14ac:dyDescent="0.25">
      <c r="A777" s="3" t="s">
        <v>2044</v>
      </c>
      <c r="B777" s="3" t="s">
        <v>902</v>
      </c>
      <c r="C777" s="3">
        <v>774</v>
      </c>
      <c r="D777" s="5">
        <v>16</v>
      </c>
      <c r="E777" s="3">
        <v>0</v>
      </c>
      <c r="F777" s="3">
        <v>0</v>
      </c>
      <c r="G777" s="3">
        <v>3</v>
      </c>
      <c r="H777" s="3">
        <v>0</v>
      </c>
      <c r="I777" s="3" t="s">
        <v>2150</v>
      </c>
      <c r="J777" s="13">
        <v>7.2249999999999996</v>
      </c>
      <c r="K777" s="3" t="s">
        <v>2152</v>
      </c>
      <c r="L777" s="3" t="s">
        <v>905</v>
      </c>
      <c r="M777" t="str" cm="1">
        <f t="array" ref="M777">_xlfn.IFS(INFO_Pasajeros[[#This Row],[Edad]]&lt;=13,"Niños",INFO_Pasajeros[[#This Row],[Edad]]&lt;=18,"Jóvenes",INFO_Pasajeros[[#This Row],[Edad]]&lt;=50,"Adultos",INFO_Pasajeros[[#This Row],[Edad]]&gt;=51,"Adultos Mayores")</f>
        <v>Jóvenes</v>
      </c>
    </row>
    <row r="778" spans="1:13" x14ac:dyDescent="0.25">
      <c r="A778" s="3" t="s">
        <v>2045</v>
      </c>
      <c r="B778" s="3" t="s">
        <v>907</v>
      </c>
      <c r="C778" s="3">
        <v>775</v>
      </c>
      <c r="D778" s="5">
        <v>24</v>
      </c>
      <c r="E778" s="3">
        <v>3</v>
      </c>
      <c r="F778" s="3">
        <v>1</v>
      </c>
      <c r="G778" s="3">
        <v>2</v>
      </c>
      <c r="H778" s="3">
        <v>1</v>
      </c>
      <c r="I778" s="3" t="s">
        <v>1134</v>
      </c>
      <c r="J778" s="13">
        <v>23</v>
      </c>
      <c r="K778" s="3" t="s">
        <v>1136</v>
      </c>
      <c r="L778" s="3" t="s">
        <v>910</v>
      </c>
      <c r="M778" t="str" cm="1">
        <f t="array" ref="M778">_xlfn.IFS(INFO_Pasajeros[[#This Row],[Edad]]&lt;=13,"Niños",INFO_Pasajeros[[#This Row],[Edad]]&lt;=18,"Jóvenes",INFO_Pasajeros[[#This Row],[Edad]]&lt;=50,"Adultos",INFO_Pasajeros[[#This Row],[Edad]]&gt;=51,"Adultos Mayores")</f>
        <v>Adultos</v>
      </c>
    </row>
    <row r="779" spans="1:13" x14ac:dyDescent="0.25">
      <c r="A779" s="3" t="s">
        <v>2046</v>
      </c>
      <c r="B779" s="3" t="s">
        <v>902</v>
      </c>
      <c r="C779" s="3">
        <v>776</v>
      </c>
      <c r="D779" s="5">
        <v>46</v>
      </c>
      <c r="E779" s="3">
        <v>0</v>
      </c>
      <c r="F779" s="3">
        <v>0</v>
      </c>
      <c r="G779" s="3">
        <v>3</v>
      </c>
      <c r="H779" s="3">
        <v>0</v>
      </c>
      <c r="I779" s="3" t="s">
        <v>1134</v>
      </c>
      <c r="J779" s="13">
        <v>7.75</v>
      </c>
      <c r="K779" s="3" t="s">
        <v>2067</v>
      </c>
      <c r="L779" s="3" t="s">
        <v>910</v>
      </c>
      <c r="M779" t="str" cm="1">
        <f t="array" ref="M779">_xlfn.IFS(INFO_Pasajeros[[#This Row],[Edad]]&lt;=13,"Niños",INFO_Pasajeros[[#This Row],[Edad]]&lt;=18,"Jóvenes",INFO_Pasajeros[[#This Row],[Edad]]&lt;=50,"Adultos",INFO_Pasajeros[[#This Row],[Edad]]&gt;=51,"Adultos Mayores")</f>
        <v>Adultos</v>
      </c>
    </row>
    <row r="780" spans="1:13" x14ac:dyDescent="0.25">
      <c r="A780" s="3" t="s">
        <v>2047</v>
      </c>
      <c r="B780" s="3" t="s">
        <v>902</v>
      </c>
      <c r="C780" s="3">
        <v>777</v>
      </c>
      <c r="D780" s="5">
        <v>50</v>
      </c>
      <c r="E780" s="3">
        <v>0</v>
      </c>
      <c r="F780" s="3">
        <v>0</v>
      </c>
      <c r="G780" s="3">
        <v>3</v>
      </c>
      <c r="H780" s="3">
        <v>0</v>
      </c>
      <c r="I780" s="3" t="s">
        <v>1203</v>
      </c>
      <c r="J780" s="13">
        <v>7.75</v>
      </c>
      <c r="K780" s="3" t="s">
        <v>1204</v>
      </c>
      <c r="L780" s="3" t="s">
        <v>910</v>
      </c>
      <c r="M780" t="str" cm="1">
        <f t="array" ref="M780">_xlfn.IFS(INFO_Pasajeros[[#This Row],[Edad]]&lt;=13,"Niños",INFO_Pasajeros[[#This Row],[Edad]]&lt;=18,"Jóvenes",INFO_Pasajeros[[#This Row],[Edad]]&lt;=50,"Adultos",INFO_Pasajeros[[#This Row],[Edad]]&gt;=51,"Adultos Mayores")</f>
        <v>Adultos</v>
      </c>
    </row>
    <row r="781" spans="1:13" x14ac:dyDescent="0.25">
      <c r="A781" s="3" t="s">
        <v>2049</v>
      </c>
      <c r="B781" s="3" t="s">
        <v>907</v>
      </c>
      <c r="C781" s="3">
        <v>778</v>
      </c>
      <c r="D781" s="5">
        <v>37</v>
      </c>
      <c r="E781" s="3">
        <v>0</v>
      </c>
      <c r="F781" s="3">
        <v>0</v>
      </c>
      <c r="G781" s="3">
        <v>3</v>
      </c>
      <c r="H781" s="3">
        <v>1</v>
      </c>
      <c r="I781" s="3" t="s">
        <v>1352</v>
      </c>
      <c r="J781" s="13">
        <v>12.475</v>
      </c>
      <c r="K781" s="3" t="s">
        <v>1354</v>
      </c>
      <c r="L781" s="3" t="s">
        <v>910</v>
      </c>
      <c r="M781" t="str" cm="1">
        <f t="array" ref="M781">_xlfn.IFS(INFO_Pasajeros[[#This Row],[Edad]]&lt;=13,"Niños",INFO_Pasajeros[[#This Row],[Edad]]&lt;=18,"Jóvenes",INFO_Pasajeros[[#This Row],[Edad]]&lt;=50,"Adultos",INFO_Pasajeros[[#This Row],[Edad]]&gt;=51,"Adultos Mayores")</f>
        <v>Adultos</v>
      </c>
    </row>
    <row r="782" spans="1:13" x14ac:dyDescent="0.25">
      <c r="A782" s="3" t="s">
        <v>2050</v>
      </c>
      <c r="B782" s="3" t="s">
        <v>902</v>
      </c>
      <c r="C782" s="3">
        <v>779</v>
      </c>
      <c r="D782" s="5">
        <v>51</v>
      </c>
      <c r="E782" s="3">
        <v>0</v>
      </c>
      <c r="F782" s="3">
        <v>0</v>
      </c>
      <c r="G782" s="3">
        <v>3</v>
      </c>
      <c r="H782" s="3">
        <v>0</v>
      </c>
      <c r="I782" s="3" t="s">
        <v>1168</v>
      </c>
      <c r="J782" s="13">
        <v>77.375</v>
      </c>
      <c r="K782" s="3" t="s">
        <v>2210</v>
      </c>
      <c r="L782" s="3" t="s">
        <v>910</v>
      </c>
      <c r="M782" t="str" cm="1">
        <f t="array" ref="M782">_xlfn.IFS(INFO_Pasajeros[[#This Row],[Edad]]&lt;=13,"Niños",INFO_Pasajeros[[#This Row],[Edad]]&lt;=18,"Jóvenes",INFO_Pasajeros[[#This Row],[Edad]]&lt;=50,"Adultos",INFO_Pasajeros[[#This Row],[Edad]]&gt;=51,"Adultos Mayores")</f>
        <v>Adultos Mayores</v>
      </c>
    </row>
    <row r="783" spans="1:13" x14ac:dyDescent="0.25">
      <c r="A783" s="3" t="s">
        <v>2051</v>
      </c>
      <c r="B783" s="3" t="s">
        <v>907</v>
      </c>
      <c r="C783" s="3">
        <v>780</v>
      </c>
      <c r="D783" s="5">
        <v>38</v>
      </c>
      <c r="E783" s="3">
        <v>1</v>
      </c>
      <c r="F783" s="3">
        <v>0</v>
      </c>
      <c r="G783" s="3">
        <v>1</v>
      </c>
      <c r="H783" s="3">
        <v>1</v>
      </c>
      <c r="I783" s="3" t="s">
        <v>908</v>
      </c>
      <c r="J783" s="13">
        <v>211.33750000000001</v>
      </c>
      <c r="K783" s="3" t="s">
        <v>909</v>
      </c>
      <c r="L783" s="3" t="s">
        <v>910</v>
      </c>
      <c r="M783" t="str" cm="1">
        <f t="array" ref="M783">_xlfn.IFS(INFO_Pasajeros[[#This Row],[Edad]]&lt;=13,"Niños",INFO_Pasajeros[[#This Row],[Edad]]&lt;=18,"Jóvenes",INFO_Pasajeros[[#This Row],[Edad]]&lt;=50,"Adultos",INFO_Pasajeros[[#This Row],[Edad]]&gt;=51,"Adultos Mayores")</f>
        <v>Adultos</v>
      </c>
    </row>
    <row r="784" spans="1:13" x14ac:dyDescent="0.25">
      <c r="A784" s="3" t="s">
        <v>2053</v>
      </c>
      <c r="B784" s="3" t="s">
        <v>907</v>
      </c>
      <c r="C784" s="3">
        <v>781</v>
      </c>
      <c r="D784" s="5">
        <v>42</v>
      </c>
      <c r="E784" s="3">
        <v>0</v>
      </c>
      <c r="F784" s="3">
        <v>0</v>
      </c>
      <c r="G784" s="3">
        <v>3</v>
      </c>
      <c r="H784" s="3">
        <v>1</v>
      </c>
      <c r="I784" s="3" t="s">
        <v>2072</v>
      </c>
      <c r="J784" s="13">
        <v>72.292000000000002</v>
      </c>
      <c r="K784" s="3" t="s">
        <v>2210</v>
      </c>
      <c r="L784" s="3" t="s">
        <v>910</v>
      </c>
      <c r="M784" t="str" cm="1">
        <f t="array" ref="M784">_xlfn.IFS(INFO_Pasajeros[[#This Row],[Edad]]&lt;=13,"Niños",INFO_Pasajeros[[#This Row],[Edad]]&lt;=18,"Jóvenes",INFO_Pasajeros[[#This Row],[Edad]]&lt;=50,"Adultos",INFO_Pasajeros[[#This Row],[Edad]]&gt;=51,"Adultos Mayores")</f>
        <v>Adultos</v>
      </c>
    </row>
    <row r="785" spans="1:13" x14ac:dyDescent="0.25">
      <c r="A785" s="3" t="s">
        <v>2054</v>
      </c>
      <c r="B785" s="3" t="s">
        <v>907</v>
      </c>
      <c r="C785" s="3">
        <v>782</v>
      </c>
      <c r="D785" s="5">
        <v>40</v>
      </c>
      <c r="E785" s="3">
        <v>0</v>
      </c>
      <c r="F785" s="3">
        <v>1</v>
      </c>
      <c r="G785" s="3">
        <v>1</v>
      </c>
      <c r="H785" s="3">
        <v>1</v>
      </c>
      <c r="I785" s="3" t="s">
        <v>956</v>
      </c>
      <c r="J785" s="13">
        <v>57</v>
      </c>
      <c r="K785" s="3" t="s">
        <v>2210</v>
      </c>
      <c r="L785" s="3" t="s">
        <v>910</v>
      </c>
      <c r="M785" t="str" cm="1">
        <f t="array" ref="M785">_xlfn.IFS(INFO_Pasajeros[[#This Row],[Edad]]&lt;=13,"Niños",INFO_Pasajeros[[#This Row],[Edad]]&lt;=18,"Jóvenes",INFO_Pasajeros[[#This Row],[Edad]]&lt;=50,"Adultos",INFO_Pasajeros[[#This Row],[Edad]]&gt;=51,"Adultos Mayores")</f>
        <v>Adultos</v>
      </c>
    </row>
    <row r="786" spans="1:13" x14ac:dyDescent="0.25">
      <c r="A786" s="3" t="s">
        <v>2055</v>
      </c>
      <c r="B786" s="3" t="s">
        <v>902</v>
      </c>
      <c r="C786" s="3">
        <v>783</v>
      </c>
      <c r="D786" s="5">
        <v>54</v>
      </c>
      <c r="E786" s="3">
        <v>0</v>
      </c>
      <c r="F786" s="3">
        <v>0</v>
      </c>
      <c r="G786" s="3">
        <v>1</v>
      </c>
      <c r="H786" s="3">
        <v>0</v>
      </c>
      <c r="I786" s="3" t="s">
        <v>1701</v>
      </c>
      <c r="J786" s="13">
        <v>30</v>
      </c>
      <c r="K786" s="3" t="s">
        <v>2210</v>
      </c>
      <c r="L786" s="3" t="s">
        <v>910</v>
      </c>
      <c r="M786" t="str" cm="1">
        <f t="array" ref="M786">_xlfn.IFS(INFO_Pasajeros[[#This Row],[Edad]]&lt;=13,"Niños",INFO_Pasajeros[[#This Row],[Edad]]&lt;=18,"Jóvenes",INFO_Pasajeros[[#This Row],[Edad]]&lt;=50,"Adultos",INFO_Pasajeros[[#This Row],[Edad]]&gt;=51,"Adultos Mayores")</f>
        <v>Adultos Mayores</v>
      </c>
    </row>
    <row r="787" spans="1:13" x14ac:dyDescent="0.25">
      <c r="A787" s="3" t="s">
        <v>2057</v>
      </c>
      <c r="B787" s="3" t="s">
        <v>902</v>
      </c>
      <c r="C787" s="3">
        <v>784</v>
      </c>
      <c r="D787" s="5">
        <v>28</v>
      </c>
      <c r="E787" s="3">
        <v>2</v>
      </c>
      <c r="F787" s="3">
        <v>1</v>
      </c>
      <c r="G787" s="3">
        <v>3</v>
      </c>
      <c r="H787" s="3">
        <v>0</v>
      </c>
      <c r="I787" s="3" t="s">
        <v>966</v>
      </c>
      <c r="J787" s="13">
        <v>23.45</v>
      </c>
      <c r="K787" s="3" t="s">
        <v>2210</v>
      </c>
      <c r="L787" s="3" t="s">
        <v>910</v>
      </c>
      <c r="M787" t="str" cm="1">
        <f t="array" ref="M787">_xlfn.IFS(INFO_Pasajeros[[#This Row],[Edad]]&lt;=13,"Niños",INFO_Pasajeros[[#This Row],[Edad]]&lt;=18,"Jóvenes",INFO_Pasajeros[[#This Row],[Edad]]&lt;=50,"Adultos",INFO_Pasajeros[[#This Row],[Edad]]&gt;=51,"Adultos Mayores")</f>
        <v>Adultos</v>
      </c>
    </row>
    <row r="788" spans="1:13" x14ac:dyDescent="0.25">
      <c r="A788" s="3" t="s">
        <v>2060</v>
      </c>
      <c r="B788" s="3" t="s">
        <v>902</v>
      </c>
      <c r="C788" s="3">
        <v>785</v>
      </c>
      <c r="D788" s="5">
        <v>26</v>
      </c>
      <c r="E788" s="3">
        <v>0</v>
      </c>
      <c r="F788" s="3">
        <v>0</v>
      </c>
      <c r="G788" s="3">
        <v>3</v>
      </c>
      <c r="H788" s="3">
        <v>0</v>
      </c>
      <c r="I788" s="3" t="s">
        <v>966</v>
      </c>
      <c r="J788" s="13">
        <v>7.05</v>
      </c>
      <c r="K788" s="3" t="s">
        <v>2210</v>
      </c>
      <c r="L788" s="3" t="s">
        <v>910</v>
      </c>
      <c r="M788" t="str" cm="1">
        <f t="array" ref="M788">_xlfn.IFS(INFO_Pasajeros[[#This Row],[Edad]]&lt;=13,"Niños",INFO_Pasajeros[[#This Row],[Edad]]&lt;=18,"Jóvenes",INFO_Pasajeros[[#This Row],[Edad]]&lt;=50,"Adultos",INFO_Pasajeros[[#This Row],[Edad]]&gt;=51,"Adultos Mayores")</f>
        <v>Adultos</v>
      </c>
    </row>
    <row r="789" spans="1:13" x14ac:dyDescent="0.25">
      <c r="A789" s="3" t="s">
        <v>2062</v>
      </c>
      <c r="B789" s="3" t="s">
        <v>902</v>
      </c>
      <c r="C789" s="3">
        <v>786</v>
      </c>
      <c r="D789" s="5">
        <v>37</v>
      </c>
      <c r="E789" s="3">
        <v>0</v>
      </c>
      <c r="F789" s="3">
        <v>0</v>
      </c>
      <c r="G789" s="3">
        <v>3</v>
      </c>
      <c r="H789" s="3">
        <v>0</v>
      </c>
      <c r="I789" s="3" t="s">
        <v>1017</v>
      </c>
      <c r="J789" s="13">
        <v>7.25</v>
      </c>
      <c r="K789" s="3" t="s">
        <v>2210</v>
      </c>
      <c r="L789" s="3" t="s">
        <v>910</v>
      </c>
      <c r="M789" t="str" cm="1">
        <f t="array" ref="M789">_xlfn.IFS(INFO_Pasajeros[[#This Row],[Edad]]&lt;=13,"Niños",INFO_Pasajeros[[#This Row],[Edad]]&lt;=18,"Jóvenes",INFO_Pasajeros[[#This Row],[Edad]]&lt;=50,"Adultos",INFO_Pasajeros[[#This Row],[Edad]]&gt;=51,"Adultos Mayores")</f>
        <v>Adultos</v>
      </c>
    </row>
    <row r="790" spans="1:13" x14ac:dyDescent="0.25">
      <c r="A790" s="3" t="s">
        <v>2063</v>
      </c>
      <c r="B790" s="3" t="s">
        <v>907</v>
      </c>
      <c r="C790" s="3">
        <v>787</v>
      </c>
      <c r="D790" s="5">
        <v>18</v>
      </c>
      <c r="E790" s="3">
        <v>0</v>
      </c>
      <c r="F790" s="3">
        <v>0</v>
      </c>
      <c r="G790" s="3">
        <v>3</v>
      </c>
      <c r="H790" s="3">
        <v>1</v>
      </c>
      <c r="I790" s="3" t="s">
        <v>1420</v>
      </c>
      <c r="J790" s="13">
        <v>74.957999999999998</v>
      </c>
      <c r="K790" s="3" t="s">
        <v>1421</v>
      </c>
      <c r="L790" s="3" t="s">
        <v>910</v>
      </c>
      <c r="M790" t="str" cm="1">
        <f t="array" ref="M790">_xlfn.IFS(INFO_Pasajeros[[#This Row],[Edad]]&lt;=13,"Niños",INFO_Pasajeros[[#This Row],[Edad]]&lt;=18,"Jóvenes",INFO_Pasajeros[[#This Row],[Edad]]&lt;=50,"Adultos",INFO_Pasajeros[[#This Row],[Edad]]&gt;=51,"Adultos Mayores")</f>
        <v>Jóvenes</v>
      </c>
    </row>
    <row r="791" spans="1:13" x14ac:dyDescent="0.25">
      <c r="A791" s="3" t="s">
        <v>2064</v>
      </c>
      <c r="B791" s="3" t="s">
        <v>902</v>
      </c>
      <c r="C791" s="3">
        <v>788</v>
      </c>
      <c r="D791" s="5">
        <v>21</v>
      </c>
      <c r="E791" s="3">
        <v>1</v>
      </c>
      <c r="F791" s="3">
        <v>4</v>
      </c>
      <c r="G791" s="3">
        <v>3</v>
      </c>
      <c r="H791" s="3">
        <v>0</v>
      </c>
      <c r="I791" s="3" t="s">
        <v>1420</v>
      </c>
      <c r="J791" s="13">
        <v>29.125</v>
      </c>
      <c r="K791" s="3" t="s">
        <v>1421</v>
      </c>
      <c r="L791" s="3" t="s">
        <v>910</v>
      </c>
      <c r="M791" t="str" cm="1">
        <f t="array" ref="M791">_xlfn.IFS(INFO_Pasajeros[[#This Row],[Edad]]&lt;=13,"Niños",INFO_Pasajeros[[#This Row],[Edad]]&lt;=18,"Jóvenes",INFO_Pasajeros[[#This Row],[Edad]]&lt;=50,"Adultos",INFO_Pasajeros[[#This Row],[Edad]]&gt;=51,"Adultos Mayores")</f>
        <v>Adultos</v>
      </c>
    </row>
    <row r="792" spans="1:13" x14ac:dyDescent="0.25">
      <c r="A792" s="3" t="s">
        <v>2065</v>
      </c>
      <c r="B792" s="3" t="s">
        <v>902</v>
      </c>
      <c r="C792" s="3">
        <v>789</v>
      </c>
      <c r="D792" s="5">
        <v>71</v>
      </c>
      <c r="E792" s="3">
        <v>2</v>
      </c>
      <c r="F792" s="3">
        <v>1</v>
      </c>
      <c r="G792" s="3">
        <v>3</v>
      </c>
      <c r="H792" s="3">
        <v>1</v>
      </c>
      <c r="I792" s="3" t="s">
        <v>1671</v>
      </c>
      <c r="J792" s="13">
        <v>20.574999999999999</v>
      </c>
      <c r="K792" s="3" t="s">
        <v>2210</v>
      </c>
      <c r="L792" s="3" t="s">
        <v>910</v>
      </c>
      <c r="M792" t="str" cm="1">
        <f t="array" ref="M792">_xlfn.IFS(INFO_Pasajeros[[#This Row],[Edad]]&lt;=13,"Niños",INFO_Pasajeros[[#This Row],[Edad]]&lt;=18,"Jóvenes",INFO_Pasajeros[[#This Row],[Edad]]&lt;=50,"Adultos",INFO_Pasajeros[[#This Row],[Edad]]&gt;=51,"Adultos Mayores")</f>
        <v>Adultos Mayores</v>
      </c>
    </row>
    <row r="793" spans="1:13" x14ac:dyDescent="0.25">
      <c r="A793" s="3" t="s">
        <v>2066</v>
      </c>
      <c r="B793" s="3" t="s">
        <v>902</v>
      </c>
      <c r="C793" s="3">
        <v>790</v>
      </c>
      <c r="D793" s="5">
        <v>44</v>
      </c>
      <c r="E793" s="3">
        <v>0</v>
      </c>
      <c r="F793" s="3">
        <v>0</v>
      </c>
      <c r="G793" s="3">
        <v>1</v>
      </c>
      <c r="H793" s="3">
        <v>0</v>
      </c>
      <c r="I793" s="3" t="s">
        <v>1227</v>
      </c>
      <c r="J793" s="13">
        <v>79.2</v>
      </c>
      <c r="K793" s="3" t="s">
        <v>1228</v>
      </c>
      <c r="L793" s="3" t="s">
        <v>910</v>
      </c>
      <c r="M793" t="str" cm="1">
        <f t="array" ref="M793">_xlfn.IFS(INFO_Pasajeros[[#This Row],[Edad]]&lt;=13,"Niños",INFO_Pasajeros[[#This Row],[Edad]]&lt;=18,"Jóvenes",INFO_Pasajeros[[#This Row],[Edad]]&lt;=50,"Adultos",INFO_Pasajeros[[#This Row],[Edad]]&gt;=51,"Adultos Mayores")</f>
        <v>Adultos</v>
      </c>
    </row>
    <row r="794" spans="1:13" x14ac:dyDescent="0.25">
      <c r="A794" s="3" t="s">
        <v>2068</v>
      </c>
      <c r="B794" s="3" t="s">
        <v>902</v>
      </c>
      <c r="C794" s="3">
        <v>791</v>
      </c>
      <c r="D794" s="5">
        <v>54</v>
      </c>
      <c r="E794" s="3">
        <v>0</v>
      </c>
      <c r="F794" s="3">
        <v>0</v>
      </c>
      <c r="G794" s="3">
        <v>3</v>
      </c>
      <c r="H794" s="3">
        <v>0</v>
      </c>
      <c r="I794" s="3" t="s">
        <v>1454</v>
      </c>
      <c r="J794" s="13">
        <v>7.75</v>
      </c>
      <c r="K794" s="3" t="s">
        <v>2210</v>
      </c>
      <c r="L794" s="3" t="s">
        <v>905</v>
      </c>
      <c r="M794" t="str" cm="1">
        <f t="array" ref="M794">_xlfn.IFS(INFO_Pasajeros[[#This Row],[Edad]]&lt;=13,"Niños",INFO_Pasajeros[[#This Row],[Edad]]&lt;=18,"Jóvenes",INFO_Pasajeros[[#This Row],[Edad]]&lt;=50,"Adultos",INFO_Pasajeros[[#This Row],[Edad]]&gt;=51,"Adultos Mayores")</f>
        <v>Adultos Mayores</v>
      </c>
    </row>
    <row r="795" spans="1:13" x14ac:dyDescent="0.25">
      <c r="A795" s="3" t="s">
        <v>2069</v>
      </c>
      <c r="B795" s="3" t="s">
        <v>902</v>
      </c>
      <c r="C795" s="3">
        <v>792</v>
      </c>
      <c r="D795" s="5">
        <v>50</v>
      </c>
      <c r="E795" s="3">
        <v>0</v>
      </c>
      <c r="F795" s="3">
        <v>0</v>
      </c>
      <c r="G795" s="3">
        <v>2</v>
      </c>
      <c r="H795" s="3">
        <v>0</v>
      </c>
      <c r="I795" s="3" t="s">
        <v>1454</v>
      </c>
      <c r="J795" s="13">
        <v>26</v>
      </c>
      <c r="K795" s="3" t="s">
        <v>2210</v>
      </c>
      <c r="L795" s="3" t="s">
        <v>905</v>
      </c>
      <c r="M795" t="str" cm="1">
        <f t="array" ref="M795">_xlfn.IFS(INFO_Pasajeros[[#This Row],[Edad]]&lt;=13,"Niños",INFO_Pasajeros[[#This Row],[Edad]]&lt;=18,"Jóvenes",INFO_Pasajeros[[#This Row],[Edad]]&lt;=50,"Adultos",INFO_Pasajeros[[#This Row],[Edad]]&gt;=51,"Adultos Mayores")</f>
        <v>Adultos</v>
      </c>
    </row>
    <row r="796" spans="1:13" x14ac:dyDescent="0.25">
      <c r="A796" s="3" t="s">
        <v>2070</v>
      </c>
      <c r="B796" s="3" t="s">
        <v>907</v>
      </c>
      <c r="C796" s="3">
        <v>793</v>
      </c>
      <c r="D796" s="5">
        <v>49</v>
      </c>
      <c r="E796" s="3">
        <v>2</v>
      </c>
      <c r="F796" s="3">
        <v>8</v>
      </c>
      <c r="G796" s="3">
        <v>3</v>
      </c>
      <c r="H796" s="3">
        <v>0</v>
      </c>
      <c r="I796" s="3" t="s">
        <v>1387</v>
      </c>
      <c r="J796" s="13">
        <v>69.55</v>
      </c>
      <c r="K796" s="3" t="s">
        <v>2210</v>
      </c>
      <c r="L796" s="3" t="s">
        <v>910</v>
      </c>
      <c r="M796" t="str" cm="1">
        <f t="array" ref="M796">_xlfn.IFS(INFO_Pasajeros[[#This Row],[Edad]]&lt;=13,"Niños",INFO_Pasajeros[[#This Row],[Edad]]&lt;=18,"Jóvenes",INFO_Pasajeros[[#This Row],[Edad]]&lt;=50,"Adultos",INFO_Pasajeros[[#This Row],[Edad]]&gt;=51,"Adultos Mayores")</f>
        <v>Adultos</v>
      </c>
    </row>
    <row r="797" spans="1:13" x14ac:dyDescent="0.25">
      <c r="A797" s="3" t="s">
        <v>2071</v>
      </c>
      <c r="B797" s="3" t="s">
        <v>902</v>
      </c>
      <c r="C797" s="3">
        <v>794</v>
      </c>
      <c r="D797" s="5">
        <v>71</v>
      </c>
      <c r="E797" s="3">
        <v>0</v>
      </c>
      <c r="F797" s="3">
        <v>0</v>
      </c>
      <c r="G797" s="3">
        <v>1</v>
      </c>
      <c r="H797" s="3">
        <v>0</v>
      </c>
      <c r="I797" s="3" t="s">
        <v>1068</v>
      </c>
      <c r="J797" s="13">
        <v>306.95800000000003</v>
      </c>
      <c r="K797" s="3" t="s">
        <v>1069</v>
      </c>
      <c r="L797" s="3" t="s">
        <v>910</v>
      </c>
      <c r="M797" t="str" cm="1">
        <f t="array" ref="M797">_xlfn.IFS(INFO_Pasajeros[[#This Row],[Edad]]&lt;=13,"Niños",INFO_Pasajeros[[#This Row],[Edad]]&lt;=18,"Jóvenes",INFO_Pasajeros[[#This Row],[Edad]]&lt;=50,"Adultos",INFO_Pasajeros[[#This Row],[Edad]]&gt;=51,"Adultos Mayores")</f>
        <v>Adultos Mayores</v>
      </c>
    </row>
    <row r="798" spans="1:13" x14ac:dyDescent="0.25">
      <c r="A798" s="3" t="s">
        <v>2073</v>
      </c>
      <c r="B798" s="3" t="s">
        <v>902</v>
      </c>
      <c r="C798" s="3">
        <v>795</v>
      </c>
      <c r="D798" s="5">
        <v>35</v>
      </c>
      <c r="E798" s="3">
        <v>0</v>
      </c>
      <c r="F798" s="3">
        <v>0</v>
      </c>
      <c r="G798" s="3">
        <v>3</v>
      </c>
      <c r="H798" s="3">
        <v>0</v>
      </c>
      <c r="I798" s="3" t="s">
        <v>1327</v>
      </c>
      <c r="J798" s="13">
        <v>78.957999999999998</v>
      </c>
      <c r="K798" s="3" t="s">
        <v>2210</v>
      </c>
      <c r="L798" s="3" t="s">
        <v>910</v>
      </c>
      <c r="M798" t="str" cm="1">
        <f t="array" ref="M798">_xlfn.IFS(INFO_Pasajeros[[#This Row],[Edad]]&lt;=13,"Niños",INFO_Pasajeros[[#This Row],[Edad]]&lt;=18,"Jóvenes",INFO_Pasajeros[[#This Row],[Edad]]&lt;=50,"Adultos",INFO_Pasajeros[[#This Row],[Edad]]&gt;=51,"Adultos Mayores")</f>
        <v>Adultos</v>
      </c>
    </row>
    <row r="799" spans="1:13" x14ac:dyDescent="0.25">
      <c r="A799" s="3" t="s">
        <v>2074</v>
      </c>
      <c r="B799" s="3" t="s">
        <v>902</v>
      </c>
      <c r="C799" s="3">
        <v>796</v>
      </c>
      <c r="D799" s="5">
        <v>36</v>
      </c>
      <c r="E799" s="3">
        <v>0</v>
      </c>
      <c r="F799" s="3">
        <v>0</v>
      </c>
      <c r="G799" s="3">
        <v>2</v>
      </c>
      <c r="H799" s="3">
        <v>0</v>
      </c>
      <c r="I799" s="3" t="s">
        <v>1327</v>
      </c>
      <c r="J799" s="13">
        <v>13</v>
      </c>
      <c r="K799" s="3" t="s">
        <v>1926</v>
      </c>
      <c r="L799" s="3" t="s">
        <v>910</v>
      </c>
      <c r="M799" t="str" cm="1">
        <f t="array" ref="M799">_xlfn.IFS(INFO_Pasajeros[[#This Row],[Edad]]&lt;=13,"Niños",INFO_Pasajeros[[#This Row],[Edad]]&lt;=18,"Jóvenes",INFO_Pasajeros[[#This Row],[Edad]]&lt;=50,"Adultos",INFO_Pasajeros[[#This Row],[Edad]]&gt;=51,"Adultos Mayores")</f>
        <v>Adultos</v>
      </c>
    </row>
    <row r="800" spans="1:13" x14ac:dyDescent="0.25">
      <c r="A800" s="3" t="s">
        <v>2075</v>
      </c>
      <c r="B800" s="3" t="s">
        <v>907</v>
      </c>
      <c r="C800" s="3">
        <v>797</v>
      </c>
      <c r="D800" s="5">
        <v>35</v>
      </c>
      <c r="E800" s="3">
        <v>0</v>
      </c>
      <c r="F800" s="3">
        <v>0</v>
      </c>
      <c r="G800" s="3">
        <v>1</v>
      </c>
      <c r="H800" s="3">
        <v>1</v>
      </c>
      <c r="I800" s="3" t="s">
        <v>1327</v>
      </c>
      <c r="J800" s="13">
        <v>259.29199999999997</v>
      </c>
      <c r="K800" s="3" t="s">
        <v>1998</v>
      </c>
      <c r="L800" s="3" t="s">
        <v>910</v>
      </c>
      <c r="M800" t="str" cm="1">
        <f t="array" ref="M800">_xlfn.IFS(INFO_Pasajeros[[#This Row],[Edad]]&lt;=13,"Niños",INFO_Pasajeros[[#This Row],[Edad]]&lt;=18,"Jóvenes",INFO_Pasajeros[[#This Row],[Edad]]&lt;=50,"Adultos",INFO_Pasajeros[[#This Row],[Edad]]&gt;=51,"Adultos Mayores")</f>
        <v>Adultos</v>
      </c>
    </row>
    <row r="801" spans="1:13" x14ac:dyDescent="0.25">
      <c r="A801" s="3" t="s">
        <v>2077</v>
      </c>
      <c r="B801" s="3" t="s">
        <v>907</v>
      </c>
      <c r="C801" s="3">
        <v>798</v>
      </c>
      <c r="D801" s="5">
        <v>39</v>
      </c>
      <c r="E801" s="3">
        <v>0</v>
      </c>
      <c r="F801" s="3">
        <v>0</v>
      </c>
      <c r="G801" s="3">
        <v>3</v>
      </c>
      <c r="H801" s="3">
        <v>1</v>
      </c>
      <c r="I801" s="3" t="s">
        <v>2126</v>
      </c>
      <c r="J801" s="13">
        <v>86.832999999999998</v>
      </c>
      <c r="K801" s="3" t="s">
        <v>2127</v>
      </c>
      <c r="L801" s="3" t="s">
        <v>910</v>
      </c>
      <c r="M801" t="str" cm="1">
        <f t="array" ref="M801">_xlfn.IFS(INFO_Pasajeros[[#This Row],[Edad]]&lt;=13,"Niños",INFO_Pasajeros[[#This Row],[Edad]]&lt;=18,"Jóvenes",INFO_Pasajeros[[#This Row],[Edad]]&lt;=50,"Adultos",INFO_Pasajeros[[#This Row],[Edad]]&gt;=51,"Adultos Mayores")</f>
        <v>Adultos</v>
      </c>
    </row>
    <row r="802" spans="1:13" x14ac:dyDescent="0.25">
      <c r="A802" s="3" t="s">
        <v>2078</v>
      </c>
      <c r="B802" s="3" t="s">
        <v>902</v>
      </c>
      <c r="C802" s="3">
        <v>799</v>
      </c>
      <c r="D802" s="5">
        <v>42</v>
      </c>
      <c r="E802" s="3">
        <v>0</v>
      </c>
      <c r="F802" s="3">
        <v>0</v>
      </c>
      <c r="G802" s="3">
        <v>3</v>
      </c>
      <c r="H802" s="3">
        <v>0</v>
      </c>
      <c r="I802" s="3" t="s">
        <v>1519</v>
      </c>
      <c r="J802" s="13">
        <v>72.292000000000002</v>
      </c>
      <c r="K802" s="3" t="s">
        <v>2210</v>
      </c>
      <c r="L802" s="3" t="s">
        <v>910</v>
      </c>
      <c r="M802" t="str" cm="1">
        <f t="array" ref="M802">_xlfn.IFS(INFO_Pasajeros[[#This Row],[Edad]]&lt;=13,"Niños",INFO_Pasajeros[[#This Row],[Edad]]&lt;=18,"Jóvenes",INFO_Pasajeros[[#This Row],[Edad]]&lt;=50,"Adultos",INFO_Pasajeros[[#This Row],[Edad]]&gt;=51,"Adultos Mayores")</f>
        <v>Adultos</v>
      </c>
    </row>
    <row r="803" spans="1:13" x14ac:dyDescent="0.25">
      <c r="A803" s="3" t="s">
        <v>2079</v>
      </c>
      <c r="B803" s="3" t="s">
        <v>907</v>
      </c>
      <c r="C803" s="3">
        <v>800</v>
      </c>
      <c r="D803" s="5">
        <v>65</v>
      </c>
      <c r="E803" s="3">
        <v>1</v>
      </c>
      <c r="F803" s="3">
        <v>1</v>
      </c>
      <c r="G803" s="3">
        <v>3</v>
      </c>
      <c r="H803" s="3">
        <v>0</v>
      </c>
      <c r="I803" s="3" t="s">
        <v>1519</v>
      </c>
      <c r="J803" s="13">
        <v>24.15</v>
      </c>
      <c r="K803" s="3" t="s">
        <v>2210</v>
      </c>
      <c r="L803" s="3" t="s">
        <v>910</v>
      </c>
      <c r="M803" t="str" cm="1">
        <f t="array" ref="M803">_xlfn.IFS(INFO_Pasajeros[[#This Row],[Edad]]&lt;=13,"Niños",INFO_Pasajeros[[#This Row],[Edad]]&lt;=18,"Jóvenes",INFO_Pasajeros[[#This Row],[Edad]]&lt;=50,"Adultos",INFO_Pasajeros[[#This Row],[Edad]]&gt;=51,"Adultos Mayores")</f>
        <v>Adultos Mayores</v>
      </c>
    </row>
    <row r="804" spans="1:13" x14ac:dyDescent="0.25">
      <c r="A804" s="3" t="s">
        <v>2080</v>
      </c>
      <c r="B804" s="3" t="s">
        <v>902</v>
      </c>
      <c r="C804" s="3">
        <v>801</v>
      </c>
      <c r="D804" s="5">
        <v>18</v>
      </c>
      <c r="E804" s="3">
        <v>0</v>
      </c>
      <c r="F804" s="3">
        <v>0</v>
      </c>
      <c r="G804" s="3">
        <v>2</v>
      </c>
      <c r="H804" s="3">
        <v>0</v>
      </c>
      <c r="I804" s="3" t="s">
        <v>1519</v>
      </c>
      <c r="J804" s="13">
        <v>13</v>
      </c>
      <c r="K804" s="3" t="s">
        <v>1952</v>
      </c>
      <c r="L804" s="3" t="s">
        <v>910</v>
      </c>
      <c r="M804" t="str" cm="1">
        <f t="array" ref="M804">_xlfn.IFS(INFO_Pasajeros[[#This Row],[Edad]]&lt;=13,"Niños",INFO_Pasajeros[[#This Row],[Edad]]&lt;=18,"Jóvenes",INFO_Pasajeros[[#This Row],[Edad]]&lt;=50,"Adultos",INFO_Pasajeros[[#This Row],[Edad]]&gt;=51,"Adultos Mayores")</f>
        <v>Jóvenes</v>
      </c>
    </row>
    <row r="805" spans="1:13" x14ac:dyDescent="0.25">
      <c r="A805" s="3" t="s">
        <v>2081</v>
      </c>
      <c r="B805" s="3" t="s">
        <v>907</v>
      </c>
      <c r="C805" s="3">
        <v>802</v>
      </c>
      <c r="D805" s="5">
        <v>38</v>
      </c>
      <c r="E805" s="3">
        <v>1</v>
      </c>
      <c r="F805" s="3">
        <v>1</v>
      </c>
      <c r="G805" s="3">
        <v>2</v>
      </c>
      <c r="H805" s="3">
        <v>1</v>
      </c>
      <c r="I805" s="3" t="s">
        <v>1519</v>
      </c>
      <c r="J805" s="13">
        <v>26.25</v>
      </c>
      <c r="K805" s="3" t="s">
        <v>1974</v>
      </c>
      <c r="L805" s="3" t="s">
        <v>910</v>
      </c>
      <c r="M805" t="str" cm="1">
        <f t="array" ref="M805">_xlfn.IFS(INFO_Pasajeros[[#This Row],[Edad]]&lt;=13,"Niños",INFO_Pasajeros[[#This Row],[Edad]]&lt;=18,"Jóvenes",INFO_Pasajeros[[#This Row],[Edad]]&lt;=50,"Adultos",INFO_Pasajeros[[#This Row],[Edad]]&gt;=51,"Adultos Mayores")</f>
        <v>Adultos</v>
      </c>
    </row>
    <row r="806" spans="1:13" x14ac:dyDescent="0.25">
      <c r="A806" s="3" t="s">
        <v>2082</v>
      </c>
      <c r="B806" s="3" t="s">
        <v>902</v>
      </c>
      <c r="C806" s="3">
        <v>803</v>
      </c>
      <c r="D806" s="5">
        <v>17</v>
      </c>
      <c r="E806" s="3">
        <v>2</v>
      </c>
      <c r="F806" s="3">
        <v>1</v>
      </c>
      <c r="G806" s="3">
        <v>1</v>
      </c>
      <c r="H806" s="3">
        <v>1</v>
      </c>
      <c r="I806" s="3" t="s">
        <v>1409</v>
      </c>
      <c r="J806" s="13">
        <v>120</v>
      </c>
      <c r="K806" s="3" t="s">
        <v>1411</v>
      </c>
      <c r="L806" s="3" t="s">
        <v>910</v>
      </c>
      <c r="M806" t="str" cm="1">
        <f t="array" ref="M806">_xlfn.IFS(INFO_Pasajeros[[#This Row],[Edad]]&lt;=13,"Niños",INFO_Pasajeros[[#This Row],[Edad]]&lt;=18,"Jóvenes",INFO_Pasajeros[[#This Row],[Edad]]&lt;=50,"Adultos",INFO_Pasajeros[[#This Row],[Edad]]&gt;=51,"Adultos Mayores")</f>
        <v>Jóvenes</v>
      </c>
    </row>
    <row r="807" spans="1:13" x14ac:dyDescent="0.25">
      <c r="A807" s="3" t="s">
        <v>2083</v>
      </c>
      <c r="B807" s="3" t="s">
        <v>902</v>
      </c>
      <c r="C807" s="3">
        <v>804</v>
      </c>
      <c r="D807" s="5">
        <v>18</v>
      </c>
      <c r="E807" s="3">
        <v>1</v>
      </c>
      <c r="F807" s="3">
        <v>0</v>
      </c>
      <c r="G807" s="3">
        <v>3</v>
      </c>
      <c r="H807" s="3">
        <v>1</v>
      </c>
      <c r="I807" s="3" t="s">
        <v>1409</v>
      </c>
      <c r="J807" s="13">
        <v>85.167000000000002</v>
      </c>
      <c r="K807" s="3" t="s">
        <v>1411</v>
      </c>
      <c r="L807" s="3" t="s">
        <v>910</v>
      </c>
      <c r="M807" t="str" cm="1">
        <f t="array" ref="M807">_xlfn.IFS(INFO_Pasajeros[[#This Row],[Edad]]&lt;=13,"Niños",INFO_Pasajeros[[#This Row],[Edad]]&lt;=18,"Jóvenes",INFO_Pasajeros[[#This Row],[Edad]]&lt;=50,"Adultos",INFO_Pasajeros[[#This Row],[Edad]]&gt;=51,"Adultos Mayores")</f>
        <v>Jóvenes</v>
      </c>
    </row>
    <row r="808" spans="1:13" x14ac:dyDescent="0.25">
      <c r="A808" s="3" t="s">
        <v>2085</v>
      </c>
      <c r="B808" s="3" t="s">
        <v>902</v>
      </c>
      <c r="C808" s="3">
        <v>805</v>
      </c>
      <c r="D808" s="5">
        <v>23</v>
      </c>
      <c r="E808" s="3">
        <v>0</v>
      </c>
      <c r="F808" s="3">
        <v>0</v>
      </c>
      <c r="G808" s="3">
        <v>3</v>
      </c>
      <c r="H808" s="3">
        <v>1</v>
      </c>
      <c r="I808" s="3" t="s">
        <v>1071</v>
      </c>
      <c r="J808" s="13">
        <v>6.9749999999999996</v>
      </c>
      <c r="K808" s="3" t="s">
        <v>1072</v>
      </c>
      <c r="L808" s="3" t="s">
        <v>910</v>
      </c>
      <c r="M808" t="str" cm="1">
        <f t="array" ref="M808">_xlfn.IFS(INFO_Pasajeros[[#This Row],[Edad]]&lt;=13,"Niños",INFO_Pasajeros[[#This Row],[Edad]]&lt;=18,"Jóvenes",INFO_Pasajeros[[#This Row],[Edad]]&lt;=50,"Adultos",INFO_Pasajeros[[#This Row],[Edad]]&gt;=51,"Adultos Mayores")</f>
        <v>Adultos</v>
      </c>
    </row>
    <row r="809" spans="1:13" x14ac:dyDescent="0.25">
      <c r="A809" s="3" t="s">
        <v>2086</v>
      </c>
      <c r="B809" s="3" t="s">
        <v>902</v>
      </c>
      <c r="C809" s="3">
        <v>806</v>
      </c>
      <c r="D809" s="5">
        <v>35</v>
      </c>
      <c r="E809" s="3">
        <v>0</v>
      </c>
      <c r="F809" s="3">
        <v>0</v>
      </c>
      <c r="G809" s="3">
        <v>3</v>
      </c>
      <c r="H809" s="3">
        <v>0</v>
      </c>
      <c r="I809" s="3" t="s">
        <v>1345</v>
      </c>
      <c r="J809" s="13">
        <v>7.7750000000000004</v>
      </c>
      <c r="K809" s="3" t="s">
        <v>1346</v>
      </c>
      <c r="L809" s="3" t="s">
        <v>905</v>
      </c>
      <c r="M809" t="str" cm="1">
        <f t="array" ref="M809">_xlfn.IFS(INFO_Pasajeros[[#This Row],[Edad]]&lt;=13,"Niños",INFO_Pasajeros[[#This Row],[Edad]]&lt;=18,"Jóvenes",INFO_Pasajeros[[#This Row],[Edad]]&lt;=50,"Adultos",INFO_Pasajeros[[#This Row],[Edad]]&gt;=51,"Adultos Mayores")</f>
        <v>Adultos</v>
      </c>
    </row>
    <row r="810" spans="1:13" x14ac:dyDescent="0.25">
      <c r="A810" s="3" t="s">
        <v>2087</v>
      </c>
      <c r="B810" s="3" t="s">
        <v>902</v>
      </c>
      <c r="C810" s="3">
        <v>807</v>
      </c>
      <c r="D810" s="5">
        <v>36</v>
      </c>
      <c r="E810" s="3">
        <v>0</v>
      </c>
      <c r="F810" s="3">
        <v>0</v>
      </c>
      <c r="G810" s="3">
        <v>1</v>
      </c>
      <c r="H810" s="3">
        <v>0</v>
      </c>
      <c r="I810" s="3" t="s">
        <v>1345</v>
      </c>
      <c r="J810" s="13">
        <v>0</v>
      </c>
      <c r="K810" s="3" t="s">
        <v>1441</v>
      </c>
      <c r="L810" s="3" t="s">
        <v>910</v>
      </c>
      <c r="M810" t="str" cm="1">
        <f t="array" ref="M810">_xlfn.IFS(INFO_Pasajeros[[#This Row],[Edad]]&lt;=13,"Niños",INFO_Pasajeros[[#This Row],[Edad]]&lt;=18,"Jóvenes",INFO_Pasajeros[[#This Row],[Edad]]&lt;=50,"Adultos",INFO_Pasajeros[[#This Row],[Edad]]&gt;=51,"Adultos Mayores")</f>
        <v>Adultos</v>
      </c>
    </row>
    <row r="811" spans="1:13" x14ac:dyDescent="0.25">
      <c r="A811" s="3" t="s">
        <v>2089</v>
      </c>
      <c r="B811" s="3" t="s">
        <v>907</v>
      </c>
      <c r="C811" s="3">
        <v>808</v>
      </c>
      <c r="D811" s="5">
        <v>22</v>
      </c>
      <c r="E811" s="3">
        <v>0</v>
      </c>
      <c r="F811" s="3">
        <v>0</v>
      </c>
      <c r="G811" s="3">
        <v>3</v>
      </c>
      <c r="H811" s="3">
        <v>0</v>
      </c>
      <c r="I811" s="3" t="s">
        <v>1345</v>
      </c>
      <c r="J811" s="13">
        <v>7.7750000000000004</v>
      </c>
      <c r="K811" s="3" t="s">
        <v>2210</v>
      </c>
      <c r="L811" s="3" t="s">
        <v>910</v>
      </c>
      <c r="M811" t="str" cm="1">
        <f t="array" ref="M811">_xlfn.IFS(INFO_Pasajeros[[#This Row],[Edad]]&lt;=13,"Niños",INFO_Pasajeros[[#This Row],[Edad]]&lt;=18,"Jóvenes",INFO_Pasajeros[[#This Row],[Edad]]&lt;=50,"Adultos",INFO_Pasajeros[[#This Row],[Edad]]&gt;=51,"Adultos Mayores")</f>
        <v>Adultos</v>
      </c>
    </row>
    <row r="812" spans="1:13" x14ac:dyDescent="0.25">
      <c r="A812" s="3" t="s">
        <v>2090</v>
      </c>
      <c r="B812" s="3" t="s">
        <v>902</v>
      </c>
      <c r="C812" s="3">
        <v>809</v>
      </c>
      <c r="D812" s="5">
        <v>30</v>
      </c>
      <c r="E812" s="3">
        <v>0</v>
      </c>
      <c r="F812" s="3">
        <v>0</v>
      </c>
      <c r="G812" s="3">
        <v>2</v>
      </c>
      <c r="H812" s="3">
        <v>0</v>
      </c>
      <c r="I812" s="3" t="s">
        <v>1735</v>
      </c>
      <c r="J812" s="13">
        <v>13</v>
      </c>
      <c r="K812" s="3" t="s">
        <v>2210</v>
      </c>
      <c r="L812" s="3" t="s">
        <v>910</v>
      </c>
      <c r="M812" t="str" cm="1">
        <f t="array" ref="M812">_xlfn.IFS(INFO_Pasajeros[[#This Row],[Edad]]&lt;=13,"Niños",INFO_Pasajeros[[#This Row],[Edad]]&lt;=18,"Jóvenes",INFO_Pasajeros[[#This Row],[Edad]]&lt;=50,"Adultos",INFO_Pasajeros[[#This Row],[Edad]]&gt;=51,"Adultos Mayores")</f>
        <v>Adultos</v>
      </c>
    </row>
    <row r="813" spans="1:13" x14ac:dyDescent="0.25">
      <c r="A813" s="3" t="s">
        <v>2091</v>
      </c>
      <c r="B813" s="3" t="s">
        <v>907</v>
      </c>
      <c r="C813" s="3">
        <v>810</v>
      </c>
      <c r="D813" s="5">
        <v>50</v>
      </c>
      <c r="E813" s="3">
        <v>0</v>
      </c>
      <c r="F813" s="3">
        <v>1</v>
      </c>
      <c r="G813" s="3">
        <v>1</v>
      </c>
      <c r="H813" s="3">
        <v>1</v>
      </c>
      <c r="I813" s="3" t="s">
        <v>1735</v>
      </c>
      <c r="J813" s="13">
        <v>53.1</v>
      </c>
      <c r="K813" s="3" t="s">
        <v>1747</v>
      </c>
      <c r="L813" s="3" t="s">
        <v>910</v>
      </c>
      <c r="M813" t="str" cm="1">
        <f t="array" ref="M813">_xlfn.IFS(INFO_Pasajeros[[#This Row],[Edad]]&lt;=13,"Niños",INFO_Pasajeros[[#This Row],[Edad]]&lt;=18,"Jóvenes",INFO_Pasajeros[[#This Row],[Edad]]&lt;=50,"Adultos",INFO_Pasajeros[[#This Row],[Edad]]&gt;=51,"Adultos Mayores")</f>
        <v>Adultos</v>
      </c>
    </row>
    <row r="814" spans="1:13" x14ac:dyDescent="0.25">
      <c r="A814" s="3" t="s">
        <v>2092</v>
      </c>
      <c r="B814" s="3" t="s">
        <v>902</v>
      </c>
      <c r="C814" s="3">
        <v>811</v>
      </c>
      <c r="D814" s="5">
        <v>22</v>
      </c>
      <c r="E814" s="3">
        <v>0</v>
      </c>
      <c r="F814" s="3">
        <v>0</v>
      </c>
      <c r="G814" s="3">
        <v>3</v>
      </c>
      <c r="H814" s="3">
        <v>0</v>
      </c>
      <c r="I814" s="3" t="s">
        <v>1273</v>
      </c>
      <c r="J814" s="13">
        <v>78.875</v>
      </c>
      <c r="K814" s="3" t="s">
        <v>2210</v>
      </c>
      <c r="L814" s="3" t="s">
        <v>905</v>
      </c>
      <c r="M814" t="str" cm="1">
        <f t="array" ref="M814">_xlfn.IFS(INFO_Pasajeros[[#This Row],[Edad]]&lt;=13,"Niños",INFO_Pasajeros[[#This Row],[Edad]]&lt;=18,"Jóvenes",INFO_Pasajeros[[#This Row],[Edad]]&lt;=50,"Adultos",INFO_Pasajeros[[#This Row],[Edad]]&gt;=51,"Adultos Mayores")</f>
        <v>Adultos</v>
      </c>
    </row>
    <row r="815" spans="1:13" x14ac:dyDescent="0.25">
      <c r="A815" s="3" t="s">
        <v>2093</v>
      </c>
      <c r="B815" s="3" t="s">
        <v>902</v>
      </c>
      <c r="C815" s="3">
        <v>812</v>
      </c>
      <c r="D815" s="5">
        <v>4</v>
      </c>
      <c r="E815" s="3">
        <v>0</v>
      </c>
      <c r="F815" s="3">
        <v>0</v>
      </c>
      <c r="G815" s="3">
        <v>3</v>
      </c>
      <c r="H815" s="3">
        <v>0</v>
      </c>
      <c r="I815" s="3" t="s">
        <v>926</v>
      </c>
      <c r="J815" s="13">
        <v>24.15</v>
      </c>
      <c r="K815" s="3" t="s">
        <v>928</v>
      </c>
      <c r="L815" s="3" t="s">
        <v>905</v>
      </c>
      <c r="M815" t="str" cm="1">
        <f t="array" ref="M815">_xlfn.IFS(INFO_Pasajeros[[#This Row],[Edad]]&lt;=13,"Niños",INFO_Pasajeros[[#This Row],[Edad]]&lt;=18,"Jóvenes",INFO_Pasajeros[[#This Row],[Edad]]&lt;=50,"Adultos",INFO_Pasajeros[[#This Row],[Edad]]&gt;=51,"Adultos Mayores")</f>
        <v>Niños</v>
      </c>
    </row>
    <row r="816" spans="1:13" x14ac:dyDescent="0.25">
      <c r="A816" s="3" t="s">
        <v>2094</v>
      </c>
      <c r="B816" s="3" t="s">
        <v>902</v>
      </c>
      <c r="C816" s="3">
        <v>813</v>
      </c>
      <c r="D816" s="5">
        <v>24</v>
      </c>
      <c r="E816" s="3">
        <v>0</v>
      </c>
      <c r="F816" s="3">
        <v>0</v>
      </c>
      <c r="G816" s="3">
        <v>2</v>
      </c>
      <c r="H816" s="3">
        <v>0</v>
      </c>
      <c r="I816" s="3" t="s">
        <v>926</v>
      </c>
      <c r="J816" s="13">
        <v>10.5</v>
      </c>
      <c r="K816" s="3" t="s">
        <v>928</v>
      </c>
      <c r="L816" s="3" t="s">
        <v>905</v>
      </c>
      <c r="M816" t="str" cm="1">
        <f t="array" ref="M816">_xlfn.IFS(INFO_Pasajeros[[#This Row],[Edad]]&lt;=13,"Niños",INFO_Pasajeros[[#This Row],[Edad]]&lt;=18,"Jóvenes",INFO_Pasajeros[[#This Row],[Edad]]&lt;=50,"Adultos",INFO_Pasajeros[[#This Row],[Edad]]&gt;=51,"Adultos Mayores")</f>
        <v>Adultos</v>
      </c>
    </row>
    <row r="817" spans="1:13" x14ac:dyDescent="0.25">
      <c r="A817" s="3" t="s">
        <v>2095</v>
      </c>
      <c r="B817" s="3" t="s">
        <v>907</v>
      </c>
      <c r="C817" s="3">
        <v>814</v>
      </c>
      <c r="D817" s="5">
        <v>73</v>
      </c>
      <c r="E817" s="3">
        <v>2</v>
      </c>
      <c r="F817" s="3">
        <v>4</v>
      </c>
      <c r="G817" s="3">
        <v>3</v>
      </c>
      <c r="H817" s="3">
        <v>0</v>
      </c>
      <c r="I817" s="3" t="s">
        <v>980</v>
      </c>
      <c r="J817" s="13">
        <v>31.274999999999999</v>
      </c>
      <c r="K817" s="3" t="s">
        <v>2210</v>
      </c>
      <c r="L817" s="3" t="s">
        <v>905</v>
      </c>
      <c r="M817" t="str" cm="1">
        <f t="array" ref="M817">_xlfn.IFS(INFO_Pasajeros[[#This Row],[Edad]]&lt;=13,"Niños",INFO_Pasajeros[[#This Row],[Edad]]&lt;=18,"Jóvenes",INFO_Pasajeros[[#This Row],[Edad]]&lt;=50,"Adultos",INFO_Pasajeros[[#This Row],[Edad]]&gt;=51,"Adultos Mayores")</f>
        <v>Adultos Mayores</v>
      </c>
    </row>
    <row r="818" spans="1:13" x14ac:dyDescent="0.25">
      <c r="A818" s="3" t="s">
        <v>2096</v>
      </c>
      <c r="B818" s="3" t="s">
        <v>902</v>
      </c>
      <c r="C818" s="3">
        <v>815</v>
      </c>
      <c r="D818" s="5">
        <v>31</v>
      </c>
      <c r="E818" s="3">
        <v>0</v>
      </c>
      <c r="F818" s="3">
        <v>0</v>
      </c>
      <c r="G818" s="3">
        <v>3</v>
      </c>
      <c r="H818" s="3">
        <v>0</v>
      </c>
      <c r="I818" s="3" t="s">
        <v>2102</v>
      </c>
      <c r="J818" s="13">
        <v>8.0500000000000007</v>
      </c>
      <c r="K818" s="3" t="s">
        <v>2210</v>
      </c>
      <c r="L818" s="3" t="s">
        <v>910</v>
      </c>
      <c r="M818" t="str" cm="1">
        <f t="array" ref="M818">_xlfn.IFS(INFO_Pasajeros[[#This Row],[Edad]]&lt;=13,"Niños",INFO_Pasajeros[[#This Row],[Edad]]&lt;=18,"Jóvenes",INFO_Pasajeros[[#This Row],[Edad]]&lt;=50,"Adultos",INFO_Pasajeros[[#This Row],[Edad]]&gt;=51,"Adultos Mayores")</f>
        <v>Adultos</v>
      </c>
    </row>
    <row r="819" spans="1:13" x14ac:dyDescent="0.25">
      <c r="A819" s="3" t="s">
        <v>2097</v>
      </c>
      <c r="B819" s="3" t="s">
        <v>902</v>
      </c>
      <c r="C819" s="3">
        <v>816</v>
      </c>
      <c r="D819" s="5">
        <v>1</v>
      </c>
      <c r="E819" s="3">
        <v>0</v>
      </c>
      <c r="F819" s="3">
        <v>0</v>
      </c>
      <c r="G819" s="3">
        <v>1</v>
      </c>
      <c r="H819" s="3">
        <v>0</v>
      </c>
      <c r="I819" s="3" t="s">
        <v>2102</v>
      </c>
      <c r="J819" s="13">
        <v>0</v>
      </c>
      <c r="K819" s="3" t="s">
        <v>2210</v>
      </c>
      <c r="L819" s="3" t="s">
        <v>910</v>
      </c>
      <c r="M819" t="str" cm="1">
        <f t="array" ref="M819">_xlfn.IFS(INFO_Pasajeros[[#This Row],[Edad]]&lt;=13,"Niños",INFO_Pasajeros[[#This Row],[Edad]]&lt;=18,"Jóvenes",INFO_Pasajeros[[#This Row],[Edad]]&lt;=50,"Adultos",INFO_Pasajeros[[#This Row],[Edad]]&gt;=51,"Adultos Mayores")</f>
        <v>Niños</v>
      </c>
    </row>
    <row r="820" spans="1:13" x14ac:dyDescent="0.25">
      <c r="A820" s="3" t="s">
        <v>2099</v>
      </c>
      <c r="B820" s="3" t="s">
        <v>907</v>
      </c>
      <c r="C820" s="3">
        <v>817</v>
      </c>
      <c r="D820" s="5">
        <v>57</v>
      </c>
      <c r="E820" s="3">
        <v>0</v>
      </c>
      <c r="F820" s="3">
        <v>0</v>
      </c>
      <c r="G820" s="3">
        <v>3</v>
      </c>
      <c r="H820" s="3">
        <v>0</v>
      </c>
      <c r="I820" s="3" t="s">
        <v>2042</v>
      </c>
      <c r="J820" s="13">
        <v>7.9249999999999998</v>
      </c>
      <c r="K820" s="3" t="s">
        <v>2043</v>
      </c>
      <c r="L820" s="3" t="s">
        <v>905</v>
      </c>
      <c r="M820" t="str" cm="1">
        <f t="array" ref="M820">_xlfn.IFS(INFO_Pasajeros[[#This Row],[Edad]]&lt;=13,"Niños",INFO_Pasajeros[[#This Row],[Edad]]&lt;=18,"Jóvenes",INFO_Pasajeros[[#This Row],[Edad]]&lt;=50,"Adultos",INFO_Pasajeros[[#This Row],[Edad]]&gt;=51,"Adultos Mayores")</f>
        <v>Adultos Mayores</v>
      </c>
    </row>
    <row r="821" spans="1:13" x14ac:dyDescent="0.25">
      <c r="A821" s="3" t="s">
        <v>2101</v>
      </c>
      <c r="B821" s="3" t="s">
        <v>902</v>
      </c>
      <c r="C821" s="3">
        <v>818</v>
      </c>
      <c r="D821" s="5">
        <v>16</v>
      </c>
      <c r="E821" s="3">
        <v>1</v>
      </c>
      <c r="F821" s="3">
        <v>1</v>
      </c>
      <c r="G821" s="3">
        <v>2</v>
      </c>
      <c r="H821" s="3">
        <v>0</v>
      </c>
      <c r="I821" s="3" t="s">
        <v>2042</v>
      </c>
      <c r="J821" s="13">
        <v>370.04199999999997</v>
      </c>
      <c r="K821" s="3" t="s">
        <v>2210</v>
      </c>
      <c r="L821" s="3" t="s">
        <v>905</v>
      </c>
      <c r="M821" t="str" cm="1">
        <f t="array" ref="M821">_xlfn.IFS(INFO_Pasajeros[[#This Row],[Edad]]&lt;=13,"Niños",INFO_Pasajeros[[#This Row],[Edad]]&lt;=18,"Jóvenes",INFO_Pasajeros[[#This Row],[Edad]]&lt;=50,"Adultos",INFO_Pasajeros[[#This Row],[Edad]]&gt;=51,"Adultos Mayores")</f>
        <v>Jóvenes</v>
      </c>
    </row>
    <row r="822" spans="1:13" x14ac:dyDescent="0.25">
      <c r="A822" s="3" t="s">
        <v>2103</v>
      </c>
      <c r="B822" s="3" t="s">
        <v>902</v>
      </c>
      <c r="C822" s="3">
        <v>819</v>
      </c>
      <c r="D822" s="5">
        <v>72</v>
      </c>
      <c r="E822" s="3">
        <v>0</v>
      </c>
      <c r="F822" s="3">
        <v>0</v>
      </c>
      <c r="G822" s="3">
        <v>3</v>
      </c>
      <c r="H822" s="3">
        <v>0</v>
      </c>
      <c r="I822" s="3" t="s">
        <v>1884</v>
      </c>
      <c r="J822" s="13">
        <v>6.45</v>
      </c>
      <c r="K822" s="3" t="s">
        <v>2210</v>
      </c>
      <c r="L822" s="3" t="s">
        <v>905</v>
      </c>
      <c r="M822" t="str" cm="1">
        <f t="array" ref="M822">_xlfn.IFS(INFO_Pasajeros[[#This Row],[Edad]]&lt;=13,"Niños",INFO_Pasajeros[[#This Row],[Edad]]&lt;=18,"Jóvenes",INFO_Pasajeros[[#This Row],[Edad]]&lt;=50,"Adultos",INFO_Pasajeros[[#This Row],[Edad]]&gt;=51,"Adultos Mayores")</f>
        <v>Adultos Mayores</v>
      </c>
    </row>
    <row r="823" spans="1:13" x14ac:dyDescent="0.25">
      <c r="A823" s="3" t="s">
        <v>2106</v>
      </c>
      <c r="B823" s="3" t="s">
        <v>902</v>
      </c>
      <c r="C823" s="3">
        <v>820</v>
      </c>
      <c r="D823" s="5">
        <v>21</v>
      </c>
      <c r="E823" s="3">
        <v>2</v>
      </c>
      <c r="F823" s="3">
        <v>3</v>
      </c>
      <c r="G823" s="3">
        <v>3</v>
      </c>
      <c r="H823" s="3">
        <v>0</v>
      </c>
      <c r="I823" s="3" t="s">
        <v>1030</v>
      </c>
      <c r="J823" s="13">
        <v>27.9</v>
      </c>
      <c r="K823" s="3" t="s">
        <v>2210</v>
      </c>
      <c r="L823" s="3" t="s">
        <v>905</v>
      </c>
      <c r="M823" t="str" cm="1">
        <f t="array" ref="M823">_xlfn.IFS(INFO_Pasajeros[[#This Row],[Edad]]&lt;=13,"Niños",INFO_Pasajeros[[#This Row],[Edad]]&lt;=18,"Jóvenes",INFO_Pasajeros[[#This Row],[Edad]]&lt;=50,"Adultos",INFO_Pasajeros[[#This Row],[Edad]]&gt;=51,"Adultos Mayores")</f>
        <v>Adultos</v>
      </c>
    </row>
    <row r="824" spans="1:13" x14ac:dyDescent="0.25">
      <c r="A824" s="3" t="s">
        <v>2107</v>
      </c>
      <c r="B824" s="3" t="s">
        <v>907</v>
      </c>
      <c r="C824" s="3">
        <v>821</v>
      </c>
      <c r="D824" s="5">
        <v>21</v>
      </c>
      <c r="E824" s="3">
        <v>1</v>
      </c>
      <c r="F824" s="3">
        <v>1</v>
      </c>
      <c r="G824" s="3">
        <v>1</v>
      </c>
      <c r="H824" s="3">
        <v>1</v>
      </c>
      <c r="I824" s="3" t="s">
        <v>1030</v>
      </c>
      <c r="J824" s="13">
        <v>93.5</v>
      </c>
      <c r="K824" s="3" t="s">
        <v>2210</v>
      </c>
      <c r="L824" s="3" t="s">
        <v>905</v>
      </c>
      <c r="M824" t="str" cm="1">
        <f t="array" ref="M824">_xlfn.IFS(INFO_Pasajeros[[#This Row],[Edad]]&lt;=13,"Niños",INFO_Pasajeros[[#This Row],[Edad]]&lt;=18,"Jóvenes",INFO_Pasajeros[[#This Row],[Edad]]&lt;=50,"Adultos",INFO_Pasajeros[[#This Row],[Edad]]&gt;=51,"Adultos Mayores")</f>
        <v>Adultos</v>
      </c>
    </row>
    <row r="825" spans="1:13" x14ac:dyDescent="0.25">
      <c r="A825" s="3" t="s">
        <v>2109</v>
      </c>
      <c r="B825" s="3" t="s">
        <v>902</v>
      </c>
      <c r="C825" s="3">
        <v>822</v>
      </c>
      <c r="D825" s="5">
        <v>18</v>
      </c>
      <c r="E825" s="3">
        <v>0</v>
      </c>
      <c r="F825" s="3">
        <v>0</v>
      </c>
      <c r="G825" s="3">
        <v>3</v>
      </c>
      <c r="H825" s="3">
        <v>1</v>
      </c>
      <c r="I825" s="3" t="s">
        <v>1030</v>
      </c>
      <c r="J825" s="13">
        <v>86.625</v>
      </c>
      <c r="K825" s="3" t="s">
        <v>2210</v>
      </c>
      <c r="L825" s="3" t="s">
        <v>905</v>
      </c>
      <c r="M825" t="str" cm="1">
        <f t="array" ref="M825">_xlfn.IFS(INFO_Pasajeros[[#This Row],[Edad]]&lt;=13,"Niños",INFO_Pasajeros[[#This Row],[Edad]]&lt;=18,"Jóvenes",INFO_Pasajeros[[#This Row],[Edad]]&lt;=50,"Adultos",INFO_Pasajeros[[#This Row],[Edad]]&gt;=51,"Adultos Mayores")</f>
        <v>Jóvenes</v>
      </c>
    </row>
    <row r="826" spans="1:13" x14ac:dyDescent="0.25">
      <c r="A826" s="3" t="s">
        <v>2110</v>
      </c>
      <c r="B826" s="3" t="s">
        <v>902</v>
      </c>
      <c r="C826" s="3">
        <v>823</v>
      </c>
      <c r="D826" s="5">
        <v>24</v>
      </c>
      <c r="E826" s="3">
        <v>0</v>
      </c>
      <c r="F826" s="3">
        <v>0</v>
      </c>
      <c r="G826" s="3">
        <v>1</v>
      </c>
      <c r="H826" s="3">
        <v>0</v>
      </c>
      <c r="I826" s="3" t="s">
        <v>1030</v>
      </c>
      <c r="J826" s="13">
        <v>0</v>
      </c>
      <c r="K826" s="3" t="s">
        <v>2210</v>
      </c>
      <c r="L826" s="3" t="s">
        <v>905</v>
      </c>
      <c r="M826" t="str" cm="1">
        <f t="array" ref="M826">_xlfn.IFS(INFO_Pasajeros[[#This Row],[Edad]]&lt;=13,"Niños",INFO_Pasajeros[[#This Row],[Edad]]&lt;=18,"Jóvenes",INFO_Pasajeros[[#This Row],[Edad]]&lt;=50,"Adultos",INFO_Pasajeros[[#This Row],[Edad]]&gt;=51,"Adultos Mayores")</f>
        <v>Adultos</v>
      </c>
    </row>
    <row r="827" spans="1:13" x14ac:dyDescent="0.25">
      <c r="A827" s="3" t="s">
        <v>2111</v>
      </c>
      <c r="B827" s="3" t="s">
        <v>907</v>
      </c>
      <c r="C827" s="3">
        <v>824</v>
      </c>
      <c r="D827" s="5">
        <v>32</v>
      </c>
      <c r="E827" s="3">
        <v>1</v>
      </c>
      <c r="F827" s="3">
        <v>0</v>
      </c>
      <c r="G827" s="3">
        <v>3</v>
      </c>
      <c r="H827" s="3">
        <v>1</v>
      </c>
      <c r="I827" s="3" t="s">
        <v>1030</v>
      </c>
      <c r="J827" s="13">
        <v>12.475</v>
      </c>
      <c r="K827" s="3" t="s">
        <v>2210</v>
      </c>
      <c r="L827" s="3" t="s">
        <v>905</v>
      </c>
      <c r="M827" t="str" cm="1">
        <f t="array" ref="M827">_xlfn.IFS(INFO_Pasajeros[[#This Row],[Edad]]&lt;=13,"Niños",INFO_Pasajeros[[#This Row],[Edad]]&lt;=18,"Jóvenes",INFO_Pasajeros[[#This Row],[Edad]]&lt;=50,"Adultos",INFO_Pasajeros[[#This Row],[Edad]]&gt;=51,"Adultos Mayores")</f>
        <v>Adultos</v>
      </c>
    </row>
    <row r="828" spans="1:13" x14ac:dyDescent="0.25">
      <c r="A828" s="3" t="s">
        <v>2112</v>
      </c>
      <c r="B828" s="3" t="s">
        <v>902</v>
      </c>
      <c r="C828" s="3">
        <v>825</v>
      </c>
      <c r="D828" s="5">
        <v>51</v>
      </c>
      <c r="E828" s="3">
        <v>1</v>
      </c>
      <c r="F828" s="3">
        <v>4</v>
      </c>
      <c r="G828" s="3">
        <v>3</v>
      </c>
      <c r="H828" s="3">
        <v>0</v>
      </c>
      <c r="I828" s="3" t="s">
        <v>1155</v>
      </c>
      <c r="J828" s="13">
        <v>396.875</v>
      </c>
      <c r="K828" s="3" t="s">
        <v>2210</v>
      </c>
      <c r="L828" s="3" t="s">
        <v>905</v>
      </c>
      <c r="M828" t="str" cm="1">
        <f t="array" ref="M828">_xlfn.IFS(INFO_Pasajeros[[#This Row],[Edad]]&lt;=13,"Niños",INFO_Pasajeros[[#This Row],[Edad]]&lt;=18,"Jóvenes",INFO_Pasajeros[[#This Row],[Edad]]&lt;=50,"Adultos",INFO_Pasajeros[[#This Row],[Edad]]&gt;=51,"Adultos Mayores")</f>
        <v>Adultos Mayores</v>
      </c>
    </row>
    <row r="829" spans="1:13" x14ac:dyDescent="0.25">
      <c r="A829" s="3" t="s">
        <v>2113</v>
      </c>
      <c r="B829" s="3" t="s">
        <v>902</v>
      </c>
      <c r="C829" s="3">
        <v>826</v>
      </c>
      <c r="D829" s="5">
        <v>19</v>
      </c>
      <c r="E829" s="3">
        <v>0</v>
      </c>
      <c r="F829" s="3">
        <v>0</v>
      </c>
      <c r="G829" s="3">
        <v>3</v>
      </c>
      <c r="H829" s="3">
        <v>0</v>
      </c>
      <c r="I829" s="3" t="s">
        <v>1023</v>
      </c>
      <c r="J829" s="13">
        <v>6.95</v>
      </c>
      <c r="K829" s="3" t="s">
        <v>2210</v>
      </c>
      <c r="L829" s="3" t="s">
        <v>905</v>
      </c>
      <c r="M829" t="str" cm="1">
        <f t="array" ref="M829">_xlfn.IFS(INFO_Pasajeros[[#This Row],[Edad]]&lt;=13,"Niños",INFO_Pasajeros[[#This Row],[Edad]]&lt;=18,"Jóvenes",INFO_Pasajeros[[#This Row],[Edad]]&lt;=50,"Adultos",INFO_Pasajeros[[#This Row],[Edad]]&gt;=51,"Adultos Mayores")</f>
        <v>Adultos</v>
      </c>
    </row>
    <row r="830" spans="1:13" x14ac:dyDescent="0.25">
      <c r="A830" s="3" t="s">
        <v>2115</v>
      </c>
      <c r="B830" s="3" t="s">
        <v>902</v>
      </c>
      <c r="C830" s="3">
        <v>827</v>
      </c>
      <c r="D830" s="5">
        <v>62</v>
      </c>
      <c r="E830" s="3">
        <v>0</v>
      </c>
      <c r="F830" s="3">
        <v>0</v>
      </c>
      <c r="G830" s="3">
        <v>3</v>
      </c>
      <c r="H830" s="3">
        <v>0</v>
      </c>
      <c r="I830" s="3" t="s">
        <v>1782</v>
      </c>
      <c r="J830" s="13">
        <v>564.95799999999997</v>
      </c>
      <c r="K830" s="3" t="s">
        <v>2210</v>
      </c>
      <c r="L830" s="3" t="s">
        <v>905</v>
      </c>
      <c r="M830" t="str" cm="1">
        <f t="array" ref="M830">_xlfn.IFS(INFO_Pasajeros[[#This Row],[Edad]]&lt;=13,"Niños",INFO_Pasajeros[[#This Row],[Edad]]&lt;=18,"Jóvenes",INFO_Pasajeros[[#This Row],[Edad]]&lt;=50,"Adultos",INFO_Pasajeros[[#This Row],[Edad]]&gt;=51,"Adultos Mayores")</f>
        <v>Adultos Mayores</v>
      </c>
    </row>
    <row r="831" spans="1:13" x14ac:dyDescent="0.25">
      <c r="A831" s="3" t="s">
        <v>2116</v>
      </c>
      <c r="B831" s="3" t="s">
        <v>902</v>
      </c>
      <c r="C831" s="3">
        <v>828</v>
      </c>
      <c r="D831" s="5">
        <v>17</v>
      </c>
      <c r="E831" s="3">
        <v>2</v>
      </c>
      <c r="F831" s="3">
        <v>0</v>
      </c>
      <c r="G831" s="3">
        <v>2</v>
      </c>
      <c r="H831" s="3">
        <v>1</v>
      </c>
      <c r="I831" s="3" t="s">
        <v>1530</v>
      </c>
      <c r="J831" s="13">
        <v>370.04199999999997</v>
      </c>
      <c r="K831" s="3" t="s">
        <v>2210</v>
      </c>
      <c r="L831" s="3" t="s">
        <v>910</v>
      </c>
      <c r="M831" t="str" cm="1">
        <f t="array" ref="M831">_xlfn.IFS(INFO_Pasajeros[[#This Row],[Edad]]&lt;=13,"Niños",INFO_Pasajeros[[#This Row],[Edad]]&lt;=18,"Jóvenes",INFO_Pasajeros[[#This Row],[Edad]]&lt;=50,"Adultos",INFO_Pasajeros[[#This Row],[Edad]]&gt;=51,"Adultos Mayores")</f>
        <v>Jóvenes</v>
      </c>
    </row>
    <row r="832" spans="1:13" x14ac:dyDescent="0.25">
      <c r="A832" s="3" t="s">
        <v>2117</v>
      </c>
      <c r="B832" s="3" t="s">
        <v>902</v>
      </c>
      <c r="C832" s="3">
        <v>829</v>
      </c>
      <c r="D832" s="5">
        <v>37</v>
      </c>
      <c r="E832" s="3">
        <v>0</v>
      </c>
      <c r="F832" s="3">
        <v>0</v>
      </c>
      <c r="G832" s="3">
        <v>3</v>
      </c>
      <c r="H832" s="3">
        <v>1</v>
      </c>
      <c r="I832" s="3" t="s">
        <v>1818</v>
      </c>
      <c r="J832" s="13">
        <v>7.75</v>
      </c>
      <c r="K832" s="3" t="s">
        <v>2210</v>
      </c>
      <c r="L832" s="3" t="s">
        <v>905</v>
      </c>
      <c r="M832" t="str" cm="1">
        <f t="array" ref="M832">_xlfn.IFS(INFO_Pasajeros[[#This Row],[Edad]]&lt;=13,"Niños",INFO_Pasajeros[[#This Row],[Edad]]&lt;=18,"Jóvenes",INFO_Pasajeros[[#This Row],[Edad]]&lt;=50,"Adultos",INFO_Pasajeros[[#This Row],[Edad]]&gt;=51,"Adultos Mayores")</f>
        <v>Adultos</v>
      </c>
    </row>
    <row r="833" spans="1:13" x14ac:dyDescent="0.25">
      <c r="A833" s="3" t="s">
        <v>2118</v>
      </c>
      <c r="B833" s="3" t="s">
        <v>907</v>
      </c>
      <c r="C833" s="3">
        <v>830</v>
      </c>
      <c r="D833" s="5">
        <v>42</v>
      </c>
      <c r="E833" s="3">
        <v>0</v>
      </c>
      <c r="F833" s="3">
        <v>0</v>
      </c>
      <c r="G833" s="3">
        <v>1</v>
      </c>
      <c r="H833" s="3">
        <v>1</v>
      </c>
      <c r="I833" s="3" t="s">
        <v>1584</v>
      </c>
      <c r="J833" s="13">
        <v>80</v>
      </c>
      <c r="K833" s="3" t="s">
        <v>2210</v>
      </c>
      <c r="L833" s="3" t="s">
        <v>905</v>
      </c>
      <c r="M833" t="str" cm="1">
        <f t="array" ref="M833">_xlfn.IFS(INFO_Pasajeros[[#This Row],[Edad]]&lt;=13,"Niños",INFO_Pasajeros[[#This Row],[Edad]]&lt;=18,"Jóvenes",INFO_Pasajeros[[#This Row],[Edad]]&lt;=50,"Adultos",INFO_Pasajeros[[#This Row],[Edad]]&gt;=51,"Adultos Mayores")</f>
        <v>Adultos</v>
      </c>
    </row>
    <row r="834" spans="1:13" x14ac:dyDescent="0.25">
      <c r="A834" s="3" t="s">
        <v>2119</v>
      </c>
      <c r="B834" s="3" t="s">
        <v>907</v>
      </c>
      <c r="C834" s="3">
        <v>831</v>
      </c>
      <c r="D834" s="5">
        <v>23</v>
      </c>
      <c r="E834" s="3">
        <v>0</v>
      </c>
      <c r="F834" s="3">
        <v>1</v>
      </c>
      <c r="G834" s="3">
        <v>3</v>
      </c>
      <c r="H834" s="3">
        <v>1</v>
      </c>
      <c r="I834" s="3" t="s">
        <v>1644</v>
      </c>
      <c r="J834" s="13">
        <v>144.542</v>
      </c>
      <c r="K834" s="3" t="s">
        <v>1382</v>
      </c>
      <c r="L834" s="3" t="s">
        <v>910</v>
      </c>
      <c r="M834" t="str" cm="1">
        <f t="array" ref="M834">_xlfn.IFS(INFO_Pasajeros[[#This Row],[Edad]]&lt;=13,"Niños",INFO_Pasajeros[[#This Row],[Edad]]&lt;=18,"Jóvenes",INFO_Pasajeros[[#This Row],[Edad]]&lt;=50,"Adultos",INFO_Pasajeros[[#This Row],[Edad]]&gt;=51,"Adultos Mayores")</f>
        <v>Adultos</v>
      </c>
    </row>
    <row r="835" spans="1:13" x14ac:dyDescent="0.25">
      <c r="A835" s="3" t="s">
        <v>2120</v>
      </c>
      <c r="B835" s="3" t="s">
        <v>902</v>
      </c>
      <c r="C835" s="3">
        <v>832</v>
      </c>
      <c r="D835" s="5">
        <v>3</v>
      </c>
      <c r="E835" s="3">
        <v>1</v>
      </c>
      <c r="F835" s="3">
        <v>1</v>
      </c>
      <c r="G835" s="3">
        <v>2</v>
      </c>
      <c r="H835" s="3">
        <v>1</v>
      </c>
      <c r="I835" s="3" t="s">
        <v>977</v>
      </c>
      <c r="J835" s="13">
        <v>18.75</v>
      </c>
      <c r="K835" s="3" t="s">
        <v>2210</v>
      </c>
      <c r="L835" s="3" t="s">
        <v>910</v>
      </c>
      <c r="M835" t="str" cm="1">
        <f t="array" ref="M835">_xlfn.IFS(INFO_Pasajeros[[#This Row],[Edad]]&lt;=13,"Niños",INFO_Pasajeros[[#This Row],[Edad]]&lt;=18,"Jóvenes",INFO_Pasajeros[[#This Row],[Edad]]&lt;=50,"Adultos",INFO_Pasajeros[[#This Row],[Edad]]&gt;=51,"Adultos Mayores")</f>
        <v>Niños</v>
      </c>
    </row>
    <row r="836" spans="1:13" x14ac:dyDescent="0.25">
      <c r="A836" s="3" t="s">
        <v>2121</v>
      </c>
      <c r="B836" s="3" t="s">
        <v>902</v>
      </c>
      <c r="C836" s="3">
        <v>833</v>
      </c>
      <c r="D836" s="5">
        <v>22</v>
      </c>
      <c r="E836" s="3">
        <v>0</v>
      </c>
      <c r="F836" s="3">
        <v>0</v>
      </c>
      <c r="G836" s="3">
        <v>3</v>
      </c>
      <c r="H836" s="3">
        <v>0</v>
      </c>
      <c r="I836" s="3" t="s">
        <v>977</v>
      </c>
      <c r="J836" s="13">
        <v>72.292000000000002</v>
      </c>
      <c r="K836" s="3" t="s">
        <v>2210</v>
      </c>
      <c r="L836" s="3" t="s">
        <v>910</v>
      </c>
      <c r="M836" t="str" cm="1">
        <f t="array" ref="M836">_xlfn.IFS(INFO_Pasajeros[[#This Row],[Edad]]&lt;=13,"Niños",INFO_Pasajeros[[#This Row],[Edad]]&lt;=18,"Jóvenes",INFO_Pasajeros[[#This Row],[Edad]]&lt;=50,"Adultos",INFO_Pasajeros[[#This Row],[Edad]]&gt;=51,"Adultos Mayores")</f>
        <v>Adultos</v>
      </c>
    </row>
    <row r="837" spans="1:13" x14ac:dyDescent="0.25">
      <c r="A837" s="3" t="s">
        <v>2122</v>
      </c>
      <c r="B837" s="3" t="s">
        <v>902</v>
      </c>
      <c r="C837" s="3">
        <v>834</v>
      </c>
      <c r="D837" s="5">
        <v>25</v>
      </c>
      <c r="E837" s="3">
        <v>0</v>
      </c>
      <c r="F837" s="3">
        <v>0</v>
      </c>
      <c r="G837" s="3">
        <v>3</v>
      </c>
      <c r="H837" s="3">
        <v>0</v>
      </c>
      <c r="I837" s="3" t="s">
        <v>977</v>
      </c>
      <c r="J837" s="13">
        <v>78.542000000000002</v>
      </c>
      <c r="K837" s="3" t="s">
        <v>2210</v>
      </c>
      <c r="L837" s="3" t="s">
        <v>910</v>
      </c>
      <c r="M837" t="str" cm="1">
        <f t="array" ref="M837">_xlfn.IFS(INFO_Pasajeros[[#This Row],[Edad]]&lt;=13,"Niños",INFO_Pasajeros[[#This Row],[Edad]]&lt;=18,"Jóvenes",INFO_Pasajeros[[#This Row],[Edad]]&lt;=50,"Adultos",INFO_Pasajeros[[#This Row],[Edad]]&gt;=51,"Adultos Mayores")</f>
        <v>Adultos</v>
      </c>
    </row>
    <row r="838" spans="1:13" x14ac:dyDescent="0.25">
      <c r="A838" s="3" t="s">
        <v>2123</v>
      </c>
      <c r="B838" s="3" t="s">
        <v>902</v>
      </c>
      <c r="C838" s="3">
        <v>835</v>
      </c>
      <c r="D838" s="5">
        <v>39</v>
      </c>
      <c r="E838" s="3">
        <v>0</v>
      </c>
      <c r="F838" s="3">
        <v>0</v>
      </c>
      <c r="G838" s="3">
        <v>3</v>
      </c>
      <c r="H838" s="3">
        <v>0</v>
      </c>
      <c r="I838" s="3" t="s">
        <v>1210</v>
      </c>
      <c r="J838" s="13">
        <v>8.3000000000000007</v>
      </c>
      <c r="K838" s="3" t="s">
        <v>2210</v>
      </c>
      <c r="L838" s="3" t="s">
        <v>910</v>
      </c>
      <c r="M838" t="str" cm="1">
        <f t="array" ref="M838">_xlfn.IFS(INFO_Pasajeros[[#This Row],[Edad]]&lt;=13,"Niños",INFO_Pasajeros[[#This Row],[Edad]]&lt;=18,"Jóvenes",INFO_Pasajeros[[#This Row],[Edad]]&lt;=50,"Adultos",INFO_Pasajeros[[#This Row],[Edad]]&gt;=51,"Adultos Mayores")</f>
        <v>Adultos</v>
      </c>
    </row>
    <row r="839" spans="1:13" x14ac:dyDescent="0.25">
      <c r="A839" s="3" t="s">
        <v>2125</v>
      </c>
      <c r="B839" s="3" t="s">
        <v>907</v>
      </c>
      <c r="C839" s="3">
        <v>836</v>
      </c>
      <c r="D839" s="5">
        <v>23</v>
      </c>
      <c r="E839" s="3">
        <v>1</v>
      </c>
      <c r="F839" s="3">
        <v>1</v>
      </c>
      <c r="G839" s="3">
        <v>1</v>
      </c>
      <c r="H839" s="3">
        <v>1</v>
      </c>
      <c r="I839" s="3" t="s">
        <v>1128</v>
      </c>
      <c r="J839" s="13">
        <v>831.58299999999997</v>
      </c>
      <c r="K839" s="3" t="s">
        <v>2210</v>
      </c>
      <c r="L839" s="3" t="s">
        <v>910</v>
      </c>
      <c r="M839" t="str" cm="1">
        <f t="array" ref="M839">_xlfn.IFS(INFO_Pasajeros[[#This Row],[Edad]]&lt;=13,"Niños",INFO_Pasajeros[[#This Row],[Edad]]&lt;=18,"Jóvenes",INFO_Pasajeros[[#This Row],[Edad]]&lt;=50,"Adultos",INFO_Pasajeros[[#This Row],[Edad]]&gt;=51,"Adultos Mayores")</f>
        <v>Adultos</v>
      </c>
    </row>
    <row r="840" spans="1:13" x14ac:dyDescent="0.25">
      <c r="A840" s="3" t="s">
        <v>2128</v>
      </c>
      <c r="B840" s="3" t="s">
        <v>902</v>
      </c>
      <c r="C840" s="3">
        <v>837</v>
      </c>
      <c r="D840" s="5">
        <v>64</v>
      </c>
      <c r="E840" s="3">
        <v>0</v>
      </c>
      <c r="F840" s="3">
        <v>0</v>
      </c>
      <c r="G840" s="3">
        <v>3</v>
      </c>
      <c r="H840" s="3">
        <v>0</v>
      </c>
      <c r="I840" s="3" t="s">
        <v>1751</v>
      </c>
      <c r="J840" s="13">
        <v>86.625</v>
      </c>
      <c r="K840" s="3" t="s">
        <v>2210</v>
      </c>
      <c r="L840" s="3" t="s">
        <v>910</v>
      </c>
      <c r="M840" t="str" cm="1">
        <f t="array" ref="M840">_xlfn.IFS(INFO_Pasajeros[[#This Row],[Edad]]&lt;=13,"Niños",INFO_Pasajeros[[#This Row],[Edad]]&lt;=18,"Jóvenes",INFO_Pasajeros[[#This Row],[Edad]]&lt;=50,"Adultos",INFO_Pasajeros[[#This Row],[Edad]]&gt;=51,"Adultos Mayores")</f>
        <v>Adultos Mayores</v>
      </c>
    </row>
    <row r="841" spans="1:13" x14ac:dyDescent="0.25">
      <c r="A841" s="3" t="s">
        <v>2129</v>
      </c>
      <c r="B841" s="3" t="s">
        <v>902</v>
      </c>
      <c r="C841" s="3">
        <v>838</v>
      </c>
      <c r="D841" s="5">
        <v>27</v>
      </c>
      <c r="E841" s="3">
        <v>0</v>
      </c>
      <c r="F841" s="3">
        <v>0</v>
      </c>
      <c r="G841" s="3">
        <v>3</v>
      </c>
      <c r="H841" s="3">
        <v>0</v>
      </c>
      <c r="I841" s="3" t="s">
        <v>2167</v>
      </c>
      <c r="J841" s="13">
        <v>8.0500000000000007</v>
      </c>
      <c r="K841" s="3" t="s">
        <v>2210</v>
      </c>
      <c r="L841" s="3" t="s">
        <v>910</v>
      </c>
      <c r="M841" t="str" cm="1">
        <f t="array" ref="M841">_xlfn.IFS(INFO_Pasajeros[[#This Row],[Edad]]&lt;=13,"Niños",INFO_Pasajeros[[#This Row],[Edad]]&lt;=18,"Jóvenes",INFO_Pasajeros[[#This Row],[Edad]]&lt;=50,"Adultos",INFO_Pasajeros[[#This Row],[Edad]]&gt;=51,"Adultos Mayores")</f>
        <v>Adultos</v>
      </c>
    </row>
    <row r="842" spans="1:13" x14ac:dyDescent="0.25">
      <c r="A842" s="3" t="s">
        <v>2130</v>
      </c>
      <c r="B842" s="3" t="s">
        <v>902</v>
      </c>
      <c r="C842" s="3">
        <v>839</v>
      </c>
      <c r="D842" s="5">
        <v>36</v>
      </c>
      <c r="E842" s="3">
        <v>0</v>
      </c>
      <c r="F842" s="3">
        <v>0</v>
      </c>
      <c r="G842" s="3">
        <v>3</v>
      </c>
      <c r="H842" s="3">
        <v>1</v>
      </c>
      <c r="I842" s="3" t="s">
        <v>1381</v>
      </c>
      <c r="J842" s="13">
        <v>564.95799999999997</v>
      </c>
      <c r="K842" s="3" t="s">
        <v>1382</v>
      </c>
      <c r="L842" s="3" t="s">
        <v>910</v>
      </c>
      <c r="M842" t="str" cm="1">
        <f t="array" ref="M842">_xlfn.IFS(INFO_Pasajeros[[#This Row],[Edad]]&lt;=13,"Niños",INFO_Pasajeros[[#This Row],[Edad]]&lt;=18,"Jóvenes",INFO_Pasajeros[[#This Row],[Edad]]&lt;=50,"Adultos",INFO_Pasajeros[[#This Row],[Edad]]&gt;=51,"Adultos Mayores")</f>
        <v>Adultos</v>
      </c>
    </row>
    <row r="843" spans="1:13" x14ac:dyDescent="0.25">
      <c r="A843" s="3" t="s">
        <v>2131</v>
      </c>
      <c r="B843" s="3" t="s">
        <v>902</v>
      </c>
      <c r="C843" s="3">
        <v>840</v>
      </c>
      <c r="D843" s="5">
        <v>29</v>
      </c>
      <c r="E843" s="3">
        <v>0</v>
      </c>
      <c r="F843" s="3">
        <v>0</v>
      </c>
      <c r="G843" s="3">
        <v>1</v>
      </c>
      <c r="H843" s="3">
        <v>1</v>
      </c>
      <c r="I843" s="3" t="s">
        <v>1488</v>
      </c>
      <c r="J843" s="13">
        <v>29.7</v>
      </c>
      <c r="K843" s="3" t="s">
        <v>2210</v>
      </c>
      <c r="L843" s="3" t="s">
        <v>910</v>
      </c>
      <c r="M843" t="str" cm="1">
        <f t="array" ref="M843">_xlfn.IFS(INFO_Pasajeros[[#This Row],[Edad]]&lt;=13,"Niños",INFO_Pasajeros[[#This Row],[Edad]]&lt;=18,"Jóvenes",INFO_Pasajeros[[#This Row],[Edad]]&lt;=50,"Adultos",INFO_Pasajeros[[#This Row],[Edad]]&gt;=51,"Adultos Mayores")</f>
        <v>Adultos</v>
      </c>
    </row>
    <row r="844" spans="1:13" x14ac:dyDescent="0.25">
      <c r="A844" s="3" t="s">
        <v>2133</v>
      </c>
      <c r="B844" s="3" t="s">
        <v>902</v>
      </c>
      <c r="C844" s="3">
        <v>841</v>
      </c>
      <c r="D844" s="5">
        <v>33</v>
      </c>
      <c r="E844" s="3">
        <v>0</v>
      </c>
      <c r="F844" s="3">
        <v>0</v>
      </c>
      <c r="G844" s="3">
        <v>3</v>
      </c>
      <c r="H844" s="3">
        <v>0</v>
      </c>
      <c r="I844" s="3" t="s">
        <v>1298</v>
      </c>
      <c r="J844" s="13">
        <v>7.9249999999999998</v>
      </c>
      <c r="K844" s="3" t="s">
        <v>2210</v>
      </c>
      <c r="L844" s="3" t="s">
        <v>905</v>
      </c>
      <c r="M844" t="str" cm="1">
        <f t="array" ref="M844">_xlfn.IFS(INFO_Pasajeros[[#This Row],[Edad]]&lt;=13,"Niños",INFO_Pasajeros[[#This Row],[Edad]]&lt;=18,"Jóvenes",INFO_Pasajeros[[#This Row],[Edad]]&lt;=50,"Adultos",INFO_Pasajeros[[#This Row],[Edad]]&gt;=51,"Adultos Mayores")</f>
        <v>Adultos</v>
      </c>
    </row>
    <row r="845" spans="1:13" x14ac:dyDescent="0.25">
      <c r="A845" s="3" t="s">
        <v>2135</v>
      </c>
      <c r="B845" s="3" t="s">
        <v>902</v>
      </c>
      <c r="C845" s="3">
        <v>842</v>
      </c>
      <c r="D845" s="5">
        <v>17</v>
      </c>
      <c r="E845" s="3">
        <v>0</v>
      </c>
      <c r="F845" s="3">
        <v>0</v>
      </c>
      <c r="G845" s="3">
        <v>2</v>
      </c>
      <c r="H845" s="3">
        <v>0</v>
      </c>
      <c r="I845" s="3" t="s">
        <v>1049</v>
      </c>
      <c r="J845" s="13">
        <v>10.5</v>
      </c>
      <c r="K845" s="3" t="s">
        <v>2210</v>
      </c>
      <c r="L845" s="3" t="s">
        <v>905</v>
      </c>
      <c r="M845" t="str" cm="1">
        <f t="array" ref="M845">_xlfn.IFS(INFO_Pasajeros[[#This Row],[Edad]]&lt;=13,"Niños",INFO_Pasajeros[[#This Row],[Edad]]&lt;=18,"Jóvenes",INFO_Pasajeros[[#This Row],[Edad]]&lt;=50,"Adultos",INFO_Pasajeros[[#This Row],[Edad]]&gt;=51,"Adultos Mayores")</f>
        <v>Jóvenes</v>
      </c>
    </row>
    <row r="846" spans="1:13" x14ac:dyDescent="0.25">
      <c r="A846" s="3" t="s">
        <v>2136</v>
      </c>
      <c r="B846" s="3" t="s">
        <v>907</v>
      </c>
      <c r="C846" s="3">
        <v>843</v>
      </c>
      <c r="D846" s="5">
        <v>36</v>
      </c>
      <c r="E846" s="3">
        <v>0</v>
      </c>
      <c r="F846" s="3">
        <v>0</v>
      </c>
      <c r="G846" s="3">
        <v>1</v>
      </c>
      <c r="H846" s="3">
        <v>1</v>
      </c>
      <c r="I846" s="3" t="s">
        <v>1839</v>
      </c>
      <c r="J846" s="13">
        <v>31</v>
      </c>
      <c r="K846" s="3" t="s">
        <v>2210</v>
      </c>
      <c r="L846" s="3" t="s">
        <v>905</v>
      </c>
      <c r="M846" t="str" cm="1">
        <f t="array" ref="M846">_xlfn.IFS(INFO_Pasajeros[[#This Row],[Edad]]&lt;=13,"Niños",INFO_Pasajeros[[#This Row],[Edad]]&lt;=18,"Jóvenes",INFO_Pasajeros[[#This Row],[Edad]]&lt;=50,"Adultos",INFO_Pasajeros[[#This Row],[Edad]]&gt;=51,"Adultos Mayores")</f>
        <v>Adultos</v>
      </c>
    </row>
    <row r="847" spans="1:13" x14ac:dyDescent="0.25">
      <c r="A847" s="3" t="s">
        <v>2137</v>
      </c>
      <c r="B847" s="3" t="s">
        <v>902</v>
      </c>
      <c r="C847" s="3">
        <v>844</v>
      </c>
      <c r="D847" s="5">
        <v>38</v>
      </c>
      <c r="E847" s="3">
        <v>0</v>
      </c>
      <c r="F847" s="3">
        <v>0</v>
      </c>
      <c r="G847" s="3">
        <v>3</v>
      </c>
      <c r="H847" s="3">
        <v>0</v>
      </c>
      <c r="I847" s="3" t="s">
        <v>1634</v>
      </c>
      <c r="J847" s="13">
        <v>64.375</v>
      </c>
      <c r="K847" s="3" t="s">
        <v>2210</v>
      </c>
      <c r="L847" s="3" t="s">
        <v>905</v>
      </c>
      <c r="M847" t="str" cm="1">
        <f t="array" ref="M847">_xlfn.IFS(INFO_Pasajeros[[#This Row],[Edad]]&lt;=13,"Niños",INFO_Pasajeros[[#This Row],[Edad]]&lt;=18,"Jóvenes",INFO_Pasajeros[[#This Row],[Edad]]&lt;=50,"Adultos",INFO_Pasajeros[[#This Row],[Edad]]&gt;=51,"Adultos Mayores")</f>
        <v>Adultos</v>
      </c>
    </row>
    <row r="848" spans="1:13" x14ac:dyDescent="0.25">
      <c r="A848" s="3" t="s">
        <v>2139</v>
      </c>
      <c r="B848" s="3" t="s">
        <v>902</v>
      </c>
      <c r="C848" s="3">
        <v>845</v>
      </c>
      <c r="D848" s="5">
        <v>20</v>
      </c>
      <c r="E848" s="3">
        <v>0</v>
      </c>
      <c r="F848" s="3">
        <v>0</v>
      </c>
      <c r="G848" s="3">
        <v>3</v>
      </c>
      <c r="H848" s="3">
        <v>0</v>
      </c>
      <c r="I848" s="3" t="s">
        <v>1120</v>
      </c>
      <c r="J848" s="13">
        <v>86.625</v>
      </c>
      <c r="K848" s="3" t="s">
        <v>2210</v>
      </c>
      <c r="L848" s="3" t="s">
        <v>905</v>
      </c>
      <c r="M848" t="str" cm="1">
        <f t="array" ref="M848">_xlfn.IFS(INFO_Pasajeros[[#This Row],[Edad]]&lt;=13,"Niños",INFO_Pasajeros[[#This Row],[Edad]]&lt;=18,"Jóvenes",INFO_Pasajeros[[#This Row],[Edad]]&lt;=50,"Adultos",INFO_Pasajeros[[#This Row],[Edad]]&gt;=51,"Adultos Mayores")</f>
        <v>Adultos</v>
      </c>
    </row>
    <row r="849" spans="1:13" x14ac:dyDescent="0.25">
      <c r="A849" s="3" t="s">
        <v>2140</v>
      </c>
      <c r="B849" s="3" t="s">
        <v>902</v>
      </c>
      <c r="C849" s="3">
        <v>846</v>
      </c>
      <c r="D849" s="5">
        <v>35</v>
      </c>
      <c r="E849" s="3">
        <v>0</v>
      </c>
      <c r="F849" s="3">
        <v>0</v>
      </c>
      <c r="G849" s="3">
        <v>3</v>
      </c>
      <c r="H849" s="3">
        <v>0</v>
      </c>
      <c r="I849" s="3" t="s">
        <v>1491</v>
      </c>
      <c r="J849" s="13">
        <v>7.55</v>
      </c>
      <c r="K849" s="3" t="s">
        <v>2210</v>
      </c>
      <c r="L849" s="3" t="s">
        <v>905</v>
      </c>
      <c r="M849" t="str" cm="1">
        <f t="array" ref="M849">_xlfn.IFS(INFO_Pasajeros[[#This Row],[Edad]]&lt;=13,"Niños",INFO_Pasajeros[[#This Row],[Edad]]&lt;=18,"Jóvenes",INFO_Pasajeros[[#This Row],[Edad]]&lt;=50,"Adultos",INFO_Pasajeros[[#This Row],[Edad]]&gt;=51,"Adultos Mayores")</f>
        <v>Adultos</v>
      </c>
    </row>
    <row r="850" spans="1:13" x14ac:dyDescent="0.25">
      <c r="A850" s="3" t="s">
        <v>2142</v>
      </c>
      <c r="B850" s="3" t="s">
        <v>902</v>
      </c>
      <c r="C850" s="3">
        <v>847</v>
      </c>
      <c r="D850" s="5">
        <v>24</v>
      </c>
      <c r="E850" s="3">
        <v>2</v>
      </c>
      <c r="F850" s="3">
        <v>8</v>
      </c>
      <c r="G850" s="3">
        <v>3</v>
      </c>
      <c r="H850" s="3">
        <v>0</v>
      </c>
      <c r="I850" s="3" t="s">
        <v>1249</v>
      </c>
      <c r="J850" s="13">
        <v>69.55</v>
      </c>
      <c r="K850" s="3" t="s">
        <v>2210</v>
      </c>
      <c r="L850" s="3" t="s">
        <v>905</v>
      </c>
      <c r="M850" t="str" cm="1">
        <f t="array" ref="M850">_xlfn.IFS(INFO_Pasajeros[[#This Row],[Edad]]&lt;=13,"Niños",INFO_Pasajeros[[#This Row],[Edad]]&lt;=18,"Jóvenes",INFO_Pasajeros[[#This Row],[Edad]]&lt;=50,"Adultos",INFO_Pasajeros[[#This Row],[Edad]]&gt;=51,"Adultos Mayores")</f>
        <v>Adultos</v>
      </c>
    </row>
    <row r="851" spans="1:13" x14ac:dyDescent="0.25">
      <c r="A851" s="3" t="s">
        <v>2143</v>
      </c>
      <c r="B851" s="3" t="s">
        <v>902</v>
      </c>
      <c r="C851" s="3">
        <v>848</v>
      </c>
      <c r="D851" s="5">
        <v>25</v>
      </c>
      <c r="E851" s="3">
        <v>0</v>
      </c>
      <c r="F851" s="3">
        <v>0</v>
      </c>
      <c r="G851" s="3">
        <v>3</v>
      </c>
      <c r="H851" s="3">
        <v>0</v>
      </c>
      <c r="I851" s="3" t="s">
        <v>2061</v>
      </c>
      <c r="J851" s="13">
        <v>78.957999999999998</v>
      </c>
      <c r="K851" s="3" t="s">
        <v>2210</v>
      </c>
      <c r="L851" s="3" t="s">
        <v>905</v>
      </c>
      <c r="M851" t="str" cm="1">
        <f t="array" ref="M851">_xlfn.IFS(INFO_Pasajeros[[#This Row],[Edad]]&lt;=13,"Niños",INFO_Pasajeros[[#This Row],[Edad]]&lt;=18,"Jóvenes",INFO_Pasajeros[[#This Row],[Edad]]&lt;=50,"Adultos",INFO_Pasajeros[[#This Row],[Edad]]&gt;=51,"Adultos Mayores")</f>
        <v>Adultos</v>
      </c>
    </row>
    <row r="852" spans="1:13" x14ac:dyDescent="0.25">
      <c r="A852" s="3" t="s">
        <v>2144</v>
      </c>
      <c r="B852" s="3" t="s">
        <v>902</v>
      </c>
      <c r="C852" s="3">
        <v>849</v>
      </c>
      <c r="D852" s="5">
        <v>32</v>
      </c>
      <c r="E852" s="3">
        <v>1</v>
      </c>
      <c r="F852" s="3">
        <v>0</v>
      </c>
      <c r="G852" s="3">
        <v>2</v>
      </c>
      <c r="H852" s="3">
        <v>0</v>
      </c>
      <c r="I852" s="3" t="s">
        <v>1579</v>
      </c>
      <c r="J852" s="13">
        <v>33</v>
      </c>
      <c r="K852" s="3" t="s">
        <v>1580</v>
      </c>
      <c r="L852" s="3" t="s">
        <v>905</v>
      </c>
      <c r="M852" t="str" cm="1">
        <f t="array" ref="M852">_xlfn.IFS(INFO_Pasajeros[[#This Row],[Edad]]&lt;=13,"Niños",INFO_Pasajeros[[#This Row],[Edad]]&lt;=18,"Jóvenes",INFO_Pasajeros[[#This Row],[Edad]]&lt;=50,"Adultos",INFO_Pasajeros[[#This Row],[Edad]]&gt;=51,"Adultos Mayores")</f>
        <v>Adultos</v>
      </c>
    </row>
    <row r="853" spans="1:13" x14ac:dyDescent="0.25">
      <c r="A853" s="3" t="s">
        <v>2145</v>
      </c>
      <c r="B853" s="3" t="s">
        <v>907</v>
      </c>
      <c r="C853" s="3">
        <v>850</v>
      </c>
      <c r="D853" s="5">
        <v>56</v>
      </c>
      <c r="E853" s="3">
        <v>0</v>
      </c>
      <c r="F853" s="3">
        <v>1</v>
      </c>
      <c r="G853" s="3">
        <v>1</v>
      </c>
      <c r="H853" s="3">
        <v>1</v>
      </c>
      <c r="I853" s="3" t="s">
        <v>1774</v>
      </c>
      <c r="J853" s="13">
        <v>891.04200000000003</v>
      </c>
      <c r="K853" s="3" t="s">
        <v>2210</v>
      </c>
      <c r="L853" s="3" t="s">
        <v>905</v>
      </c>
      <c r="M853" t="str" cm="1">
        <f t="array" ref="M853">_xlfn.IFS(INFO_Pasajeros[[#This Row],[Edad]]&lt;=13,"Niños",INFO_Pasajeros[[#This Row],[Edad]]&lt;=18,"Jóvenes",INFO_Pasajeros[[#This Row],[Edad]]&lt;=50,"Adultos",INFO_Pasajeros[[#This Row],[Edad]]&gt;=51,"Adultos Mayores")</f>
        <v>Adultos Mayores</v>
      </c>
    </row>
    <row r="854" spans="1:13" x14ac:dyDescent="0.25">
      <c r="A854" s="3" t="s">
        <v>2146</v>
      </c>
      <c r="B854" s="3" t="s">
        <v>902</v>
      </c>
      <c r="C854" s="3">
        <v>851</v>
      </c>
      <c r="D854" s="5">
        <v>41</v>
      </c>
      <c r="E854" s="3">
        <v>2</v>
      </c>
      <c r="F854" s="3">
        <v>4</v>
      </c>
      <c r="G854" s="3">
        <v>3</v>
      </c>
      <c r="H854" s="3">
        <v>0</v>
      </c>
      <c r="I854" s="3" t="s">
        <v>2029</v>
      </c>
      <c r="J854" s="13">
        <v>31.274999999999999</v>
      </c>
      <c r="K854" s="3" t="s">
        <v>2210</v>
      </c>
      <c r="L854" s="3" t="s">
        <v>905</v>
      </c>
      <c r="M854" t="str" cm="1">
        <f t="array" ref="M854">_xlfn.IFS(INFO_Pasajeros[[#This Row],[Edad]]&lt;=13,"Niños",INFO_Pasajeros[[#This Row],[Edad]]&lt;=18,"Jóvenes",INFO_Pasajeros[[#This Row],[Edad]]&lt;=50,"Adultos",INFO_Pasajeros[[#This Row],[Edad]]&gt;=51,"Adultos Mayores")</f>
        <v>Adultos</v>
      </c>
    </row>
    <row r="855" spans="1:13" x14ac:dyDescent="0.25">
      <c r="A855" s="3" t="s">
        <v>2147</v>
      </c>
      <c r="B855" s="3" t="s">
        <v>902</v>
      </c>
      <c r="C855" s="3">
        <v>852</v>
      </c>
      <c r="D855" s="5">
        <v>20</v>
      </c>
      <c r="E855" s="3">
        <v>0</v>
      </c>
      <c r="F855" s="3">
        <v>0</v>
      </c>
      <c r="G855" s="3">
        <v>3</v>
      </c>
      <c r="H855" s="3">
        <v>0</v>
      </c>
      <c r="I855" s="3" t="s">
        <v>2134</v>
      </c>
      <c r="J855" s="13">
        <v>7.7750000000000004</v>
      </c>
      <c r="K855" s="3" t="s">
        <v>2210</v>
      </c>
      <c r="L855" s="3" t="s">
        <v>905</v>
      </c>
      <c r="M855" t="str" cm="1">
        <f t="array" ref="M855">_xlfn.IFS(INFO_Pasajeros[[#This Row],[Edad]]&lt;=13,"Niños",INFO_Pasajeros[[#This Row],[Edad]]&lt;=18,"Jóvenes",INFO_Pasajeros[[#This Row],[Edad]]&lt;=50,"Adultos",INFO_Pasajeros[[#This Row],[Edad]]&gt;=51,"Adultos Mayores")</f>
        <v>Adultos</v>
      </c>
    </row>
    <row r="856" spans="1:13" x14ac:dyDescent="0.25">
      <c r="A856" s="3" t="s">
        <v>2148</v>
      </c>
      <c r="B856" s="3" t="s">
        <v>907</v>
      </c>
      <c r="C856" s="3">
        <v>853</v>
      </c>
      <c r="D856" s="5">
        <v>23</v>
      </c>
      <c r="E856" s="3">
        <v>1</v>
      </c>
      <c r="F856" s="3">
        <v>1</v>
      </c>
      <c r="G856" s="3">
        <v>3</v>
      </c>
      <c r="H856" s="3">
        <v>0</v>
      </c>
      <c r="I856" s="3" t="s">
        <v>1696</v>
      </c>
      <c r="J856" s="13">
        <v>152.458</v>
      </c>
      <c r="K856" s="3" t="s">
        <v>2210</v>
      </c>
      <c r="L856" s="3" t="s">
        <v>905</v>
      </c>
      <c r="M856" t="str" cm="1">
        <f t="array" ref="M856">_xlfn.IFS(INFO_Pasajeros[[#This Row],[Edad]]&lt;=13,"Niños",INFO_Pasajeros[[#This Row],[Edad]]&lt;=18,"Jóvenes",INFO_Pasajeros[[#This Row],[Edad]]&lt;=50,"Adultos",INFO_Pasajeros[[#This Row],[Edad]]&gt;=51,"Adultos Mayores")</f>
        <v>Adultos</v>
      </c>
    </row>
    <row r="857" spans="1:13" x14ac:dyDescent="0.25">
      <c r="A857" s="3" t="s">
        <v>2149</v>
      </c>
      <c r="B857" s="3" t="s">
        <v>907</v>
      </c>
      <c r="C857" s="3">
        <v>854</v>
      </c>
      <c r="D857" s="5">
        <v>21</v>
      </c>
      <c r="E857" s="3">
        <v>1</v>
      </c>
      <c r="F857" s="3">
        <v>0</v>
      </c>
      <c r="G857" s="3">
        <v>1</v>
      </c>
      <c r="H857" s="3">
        <v>1</v>
      </c>
      <c r="I857" s="3" t="s">
        <v>1667</v>
      </c>
      <c r="J857" s="13">
        <v>39.4</v>
      </c>
      <c r="K857" s="3" t="s">
        <v>2210</v>
      </c>
      <c r="L857" s="3" t="s">
        <v>905</v>
      </c>
      <c r="M857" t="str" cm="1">
        <f t="array" ref="M857">_xlfn.IFS(INFO_Pasajeros[[#This Row],[Edad]]&lt;=13,"Niños",INFO_Pasajeros[[#This Row],[Edad]]&lt;=18,"Jóvenes",INFO_Pasajeros[[#This Row],[Edad]]&lt;=50,"Adultos",INFO_Pasajeros[[#This Row],[Edad]]&gt;=51,"Adultos Mayores")</f>
        <v>Adultos</v>
      </c>
    </row>
    <row r="858" spans="1:13" x14ac:dyDescent="0.25">
      <c r="A858" s="3" t="s">
        <v>2153</v>
      </c>
      <c r="B858" s="3" t="s">
        <v>907</v>
      </c>
      <c r="C858" s="3">
        <v>855</v>
      </c>
      <c r="D858" s="5">
        <v>25</v>
      </c>
      <c r="E858" s="3">
        <v>0</v>
      </c>
      <c r="F858" s="3">
        <v>1</v>
      </c>
      <c r="G858" s="3">
        <v>2</v>
      </c>
      <c r="H858" s="3">
        <v>0</v>
      </c>
      <c r="I858" s="3" t="s">
        <v>2190</v>
      </c>
      <c r="J858" s="13">
        <v>26</v>
      </c>
      <c r="K858" s="3" t="s">
        <v>2210</v>
      </c>
      <c r="L858" s="3" t="s">
        <v>905</v>
      </c>
      <c r="M858" t="str" cm="1">
        <f t="array" ref="M858">_xlfn.IFS(INFO_Pasajeros[[#This Row],[Edad]]&lt;=13,"Niños",INFO_Pasajeros[[#This Row],[Edad]]&lt;=18,"Jóvenes",INFO_Pasajeros[[#This Row],[Edad]]&lt;=50,"Adultos",INFO_Pasajeros[[#This Row],[Edad]]&gt;=51,"Adultos Mayores")</f>
        <v>Adultos</v>
      </c>
    </row>
    <row r="859" spans="1:13" x14ac:dyDescent="0.25">
      <c r="A859" s="3" t="s">
        <v>2154</v>
      </c>
      <c r="B859" s="3" t="s">
        <v>907</v>
      </c>
      <c r="C859" s="3">
        <v>856</v>
      </c>
      <c r="D859" s="5">
        <v>47</v>
      </c>
      <c r="E859" s="3">
        <v>1</v>
      </c>
      <c r="F859" s="3">
        <v>0</v>
      </c>
      <c r="G859" s="3">
        <v>3</v>
      </c>
      <c r="H859" s="3">
        <v>1</v>
      </c>
      <c r="I859" s="3" t="s">
        <v>1772</v>
      </c>
      <c r="J859" s="13">
        <v>9.35</v>
      </c>
      <c r="K859" s="3" t="s">
        <v>2210</v>
      </c>
      <c r="L859" s="3" t="s">
        <v>905</v>
      </c>
      <c r="M859" t="str" cm="1">
        <f t="array" ref="M859">_xlfn.IFS(INFO_Pasajeros[[#This Row],[Edad]]&lt;=13,"Niños",INFO_Pasajeros[[#This Row],[Edad]]&lt;=18,"Jóvenes",INFO_Pasajeros[[#This Row],[Edad]]&lt;=50,"Adultos",INFO_Pasajeros[[#This Row],[Edad]]&gt;=51,"Adultos Mayores")</f>
        <v>Adultos</v>
      </c>
    </row>
    <row r="860" spans="1:13" x14ac:dyDescent="0.25">
      <c r="A860" s="3" t="s">
        <v>2155</v>
      </c>
      <c r="B860" s="3" t="s">
        <v>907</v>
      </c>
      <c r="C860" s="3">
        <v>857</v>
      </c>
      <c r="D860" s="5">
        <v>6</v>
      </c>
      <c r="E860" s="3">
        <v>1</v>
      </c>
      <c r="F860" s="3">
        <v>1</v>
      </c>
      <c r="G860" s="3">
        <v>1</v>
      </c>
      <c r="H860" s="3">
        <v>1</v>
      </c>
      <c r="I860" s="3" t="s">
        <v>1055</v>
      </c>
      <c r="J860" s="13">
        <v>164.86669999999998</v>
      </c>
      <c r="K860" s="3" t="s">
        <v>2210</v>
      </c>
      <c r="L860" s="3" t="s">
        <v>905</v>
      </c>
      <c r="M860" t="str" cm="1">
        <f t="array" ref="M860">_xlfn.IFS(INFO_Pasajeros[[#This Row],[Edad]]&lt;=13,"Niños",INFO_Pasajeros[[#This Row],[Edad]]&lt;=18,"Jóvenes",INFO_Pasajeros[[#This Row],[Edad]]&lt;=50,"Adultos",INFO_Pasajeros[[#This Row],[Edad]]&gt;=51,"Adultos Mayores")</f>
        <v>Niños</v>
      </c>
    </row>
    <row r="861" spans="1:13" x14ac:dyDescent="0.25">
      <c r="A861" s="3" t="s">
        <v>2156</v>
      </c>
      <c r="B861" s="3" t="s">
        <v>902</v>
      </c>
      <c r="C861" s="3">
        <v>858</v>
      </c>
      <c r="D861" s="5">
        <v>16</v>
      </c>
      <c r="E861" s="3">
        <v>0</v>
      </c>
      <c r="F861" s="3">
        <v>0</v>
      </c>
      <c r="G861" s="3">
        <v>1</v>
      </c>
      <c r="H861" s="3">
        <v>1</v>
      </c>
      <c r="I861" s="3" t="s">
        <v>1266</v>
      </c>
      <c r="J861" s="13">
        <v>26.55</v>
      </c>
      <c r="K861" s="3" t="s">
        <v>2210</v>
      </c>
      <c r="L861" s="3" t="s">
        <v>905</v>
      </c>
      <c r="M861" t="str" cm="1">
        <f t="array" ref="M861">_xlfn.IFS(INFO_Pasajeros[[#This Row],[Edad]]&lt;=13,"Niños",INFO_Pasajeros[[#This Row],[Edad]]&lt;=18,"Jóvenes",INFO_Pasajeros[[#This Row],[Edad]]&lt;=50,"Adultos",INFO_Pasajeros[[#This Row],[Edad]]&gt;=51,"Adultos Mayores")</f>
        <v>Jóvenes</v>
      </c>
    </row>
    <row r="862" spans="1:13" x14ac:dyDescent="0.25">
      <c r="A862" s="3" t="s">
        <v>2158</v>
      </c>
      <c r="B862" s="3" t="s">
        <v>907</v>
      </c>
      <c r="C862" s="3">
        <v>859</v>
      </c>
      <c r="D862" s="5">
        <v>30</v>
      </c>
      <c r="E862" s="3">
        <v>3</v>
      </c>
      <c r="F862" s="3">
        <v>0</v>
      </c>
      <c r="G862" s="3">
        <v>3</v>
      </c>
      <c r="H862" s="3">
        <v>1</v>
      </c>
      <c r="I862" s="3" t="s">
        <v>1171</v>
      </c>
      <c r="J862" s="13">
        <v>192.583</v>
      </c>
      <c r="K862" s="3" t="s">
        <v>2210</v>
      </c>
      <c r="L862" s="3" t="s">
        <v>905</v>
      </c>
      <c r="M862" t="str" cm="1">
        <f t="array" ref="M862">_xlfn.IFS(INFO_Pasajeros[[#This Row],[Edad]]&lt;=13,"Niños",INFO_Pasajeros[[#This Row],[Edad]]&lt;=18,"Jóvenes",INFO_Pasajeros[[#This Row],[Edad]]&lt;=50,"Adultos",INFO_Pasajeros[[#This Row],[Edad]]&gt;=51,"Adultos Mayores")</f>
        <v>Adultos</v>
      </c>
    </row>
    <row r="863" spans="1:13" x14ac:dyDescent="0.25">
      <c r="A863" s="3" t="s">
        <v>2159</v>
      </c>
      <c r="B863" s="3" t="s">
        <v>902</v>
      </c>
      <c r="C863" s="3">
        <v>860</v>
      </c>
      <c r="D863" s="5">
        <v>44</v>
      </c>
      <c r="E863" s="3">
        <v>0</v>
      </c>
      <c r="F863" s="3">
        <v>0</v>
      </c>
      <c r="G863" s="3">
        <v>3</v>
      </c>
      <c r="H863" s="3">
        <v>0</v>
      </c>
      <c r="I863" s="3" t="s">
        <v>1560</v>
      </c>
      <c r="J863" s="13">
        <v>72.292000000000002</v>
      </c>
      <c r="K863" s="3" t="s">
        <v>2210</v>
      </c>
      <c r="L863" s="3" t="s">
        <v>905</v>
      </c>
      <c r="M863" t="str" cm="1">
        <f t="array" ref="M863">_xlfn.IFS(INFO_Pasajeros[[#This Row],[Edad]]&lt;=13,"Niños",INFO_Pasajeros[[#This Row],[Edad]]&lt;=18,"Jóvenes",INFO_Pasajeros[[#This Row],[Edad]]&lt;=50,"Adultos",INFO_Pasajeros[[#This Row],[Edad]]&gt;=51,"Adultos Mayores")</f>
        <v>Adultos</v>
      </c>
    </row>
    <row r="864" spans="1:13" x14ac:dyDescent="0.25">
      <c r="A864" s="3" t="s">
        <v>2160</v>
      </c>
      <c r="B864" s="3" t="s">
        <v>902</v>
      </c>
      <c r="C864" s="3">
        <v>861</v>
      </c>
      <c r="D864" s="5">
        <v>35</v>
      </c>
      <c r="E864" s="3">
        <v>0</v>
      </c>
      <c r="F864" s="3">
        <v>2</v>
      </c>
      <c r="G864" s="3">
        <v>3</v>
      </c>
      <c r="H864" s="3">
        <v>0</v>
      </c>
      <c r="I864" s="3" t="s">
        <v>1812</v>
      </c>
      <c r="J864" s="13">
        <v>141.083</v>
      </c>
      <c r="K864" s="3" t="s">
        <v>2210</v>
      </c>
      <c r="L864" s="3" t="s">
        <v>905</v>
      </c>
      <c r="M864" t="str" cm="1">
        <f t="array" ref="M864">_xlfn.IFS(INFO_Pasajeros[[#This Row],[Edad]]&lt;=13,"Niños",INFO_Pasajeros[[#This Row],[Edad]]&lt;=18,"Jóvenes",INFO_Pasajeros[[#This Row],[Edad]]&lt;=50,"Adultos",INFO_Pasajeros[[#This Row],[Edad]]&gt;=51,"Adultos Mayores")</f>
        <v>Adultos</v>
      </c>
    </row>
    <row r="865" spans="1:13" x14ac:dyDescent="0.25">
      <c r="A865" s="3" t="s">
        <v>2161</v>
      </c>
      <c r="B865" s="3" t="s">
        <v>902</v>
      </c>
      <c r="C865" s="3">
        <v>862</v>
      </c>
      <c r="D865" s="5">
        <v>17</v>
      </c>
      <c r="E865" s="3">
        <v>0</v>
      </c>
      <c r="F865" s="3">
        <v>1</v>
      </c>
      <c r="G865" s="3">
        <v>2</v>
      </c>
      <c r="H865" s="3">
        <v>0</v>
      </c>
      <c r="I865" s="3" t="s">
        <v>1586</v>
      </c>
      <c r="J865" s="13">
        <v>11.5</v>
      </c>
      <c r="K865" s="3" t="s">
        <v>2210</v>
      </c>
      <c r="L865" s="3" t="s">
        <v>905</v>
      </c>
      <c r="M865" t="str" cm="1">
        <f t="array" ref="M865">_xlfn.IFS(INFO_Pasajeros[[#This Row],[Edad]]&lt;=13,"Niños",INFO_Pasajeros[[#This Row],[Edad]]&lt;=18,"Jóvenes",INFO_Pasajeros[[#This Row],[Edad]]&lt;=50,"Adultos",INFO_Pasajeros[[#This Row],[Edad]]&gt;=51,"Adultos Mayores")</f>
        <v>Jóvenes</v>
      </c>
    </row>
    <row r="866" spans="1:13" x14ac:dyDescent="0.25">
      <c r="A866" s="3" t="s">
        <v>2162</v>
      </c>
      <c r="B866" s="3" t="s">
        <v>907</v>
      </c>
      <c r="C866" s="3">
        <v>863</v>
      </c>
      <c r="D866" s="5">
        <v>22</v>
      </c>
      <c r="E866" s="3">
        <v>0</v>
      </c>
      <c r="F866" s="3">
        <v>0</v>
      </c>
      <c r="G866" s="3">
        <v>1</v>
      </c>
      <c r="H866" s="3">
        <v>1</v>
      </c>
      <c r="I866" s="3" t="s">
        <v>1304</v>
      </c>
      <c r="J866" s="13">
        <v>259.29199999999997</v>
      </c>
      <c r="K866" s="3" t="s">
        <v>2210</v>
      </c>
      <c r="L866" s="3" t="s">
        <v>905</v>
      </c>
      <c r="M866" t="str" cm="1">
        <f t="array" ref="M866">_xlfn.IFS(INFO_Pasajeros[[#This Row],[Edad]]&lt;=13,"Niños",INFO_Pasajeros[[#This Row],[Edad]]&lt;=18,"Jóvenes",INFO_Pasajeros[[#This Row],[Edad]]&lt;=50,"Adultos",INFO_Pasajeros[[#This Row],[Edad]]&gt;=51,"Adultos Mayores")</f>
        <v>Adultos</v>
      </c>
    </row>
    <row r="867" spans="1:13" x14ac:dyDescent="0.25">
      <c r="A867" s="3" t="s">
        <v>2163</v>
      </c>
      <c r="B867" s="3" t="s">
        <v>907</v>
      </c>
      <c r="C867" s="3">
        <v>864</v>
      </c>
      <c r="D867" s="5">
        <v>21</v>
      </c>
      <c r="E867" s="3">
        <v>2</v>
      </c>
      <c r="F867" s="3">
        <v>8</v>
      </c>
      <c r="G867" s="3">
        <v>3</v>
      </c>
      <c r="H867" s="3">
        <v>0</v>
      </c>
      <c r="I867" s="3" t="s">
        <v>1197</v>
      </c>
      <c r="J867" s="13">
        <v>69.55</v>
      </c>
      <c r="K867" s="3" t="s">
        <v>2210</v>
      </c>
      <c r="L867" s="3" t="s">
        <v>905</v>
      </c>
      <c r="M867" t="str" cm="1">
        <f t="array" ref="M867">_xlfn.IFS(INFO_Pasajeros[[#This Row],[Edad]]&lt;=13,"Niños",INFO_Pasajeros[[#This Row],[Edad]]&lt;=18,"Jóvenes",INFO_Pasajeros[[#This Row],[Edad]]&lt;=50,"Adultos",INFO_Pasajeros[[#This Row],[Edad]]&gt;=51,"Adultos Mayores")</f>
        <v>Adultos</v>
      </c>
    </row>
    <row r="868" spans="1:13" x14ac:dyDescent="0.25">
      <c r="A868" s="3" t="s">
        <v>2164</v>
      </c>
      <c r="B868" s="3" t="s">
        <v>902</v>
      </c>
      <c r="C868" s="3">
        <v>865</v>
      </c>
      <c r="D868" s="5">
        <v>20</v>
      </c>
      <c r="E868" s="3">
        <v>0</v>
      </c>
      <c r="F868" s="3">
        <v>0</v>
      </c>
      <c r="G868" s="3">
        <v>2</v>
      </c>
      <c r="H868" s="3">
        <v>0</v>
      </c>
      <c r="I868" s="3" t="s">
        <v>1904</v>
      </c>
      <c r="J868" s="13">
        <v>13</v>
      </c>
      <c r="K868" s="3" t="s">
        <v>2210</v>
      </c>
      <c r="L868" s="3" t="s">
        <v>905</v>
      </c>
      <c r="M868" t="str" cm="1">
        <f t="array" ref="M868">_xlfn.IFS(INFO_Pasajeros[[#This Row],[Edad]]&lt;=13,"Niños",INFO_Pasajeros[[#This Row],[Edad]]&lt;=18,"Jóvenes",INFO_Pasajeros[[#This Row],[Edad]]&lt;=50,"Adultos",INFO_Pasajeros[[#This Row],[Edad]]&gt;=51,"Adultos Mayores")</f>
        <v>Adultos</v>
      </c>
    </row>
    <row r="869" spans="1:13" x14ac:dyDescent="0.25">
      <c r="A869" s="3" t="s">
        <v>2165</v>
      </c>
      <c r="B869" s="3" t="s">
        <v>907</v>
      </c>
      <c r="C869" s="3">
        <v>866</v>
      </c>
      <c r="D869" s="5">
        <v>32</v>
      </c>
      <c r="E869" s="3">
        <v>0</v>
      </c>
      <c r="F869" s="3">
        <v>0</v>
      </c>
      <c r="G869" s="3">
        <v>2</v>
      </c>
      <c r="H869" s="3">
        <v>1</v>
      </c>
      <c r="I869" s="3" t="s">
        <v>1795</v>
      </c>
      <c r="J869" s="13">
        <v>13</v>
      </c>
      <c r="K869" s="3" t="s">
        <v>2210</v>
      </c>
      <c r="L869" s="3" t="s">
        <v>905</v>
      </c>
      <c r="M869" t="str" cm="1">
        <f t="array" ref="M869">_xlfn.IFS(INFO_Pasajeros[[#This Row],[Edad]]&lt;=13,"Niños",INFO_Pasajeros[[#This Row],[Edad]]&lt;=18,"Jóvenes",INFO_Pasajeros[[#This Row],[Edad]]&lt;=50,"Adultos",INFO_Pasajeros[[#This Row],[Edad]]&gt;=51,"Adultos Mayores")</f>
        <v>Adultos</v>
      </c>
    </row>
    <row r="870" spans="1:13" x14ac:dyDescent="0.25">
      <c r="A870" s="3" t="s">
        <v>2166</v>
      </c>
      <c r="B870" s="3" t="s">
        <v>907</v>
      </c>
      <c r="C870" s="3">
        <v>867</v>
      </c>
      <c r="D870" s="5">
        <v>31</v>
      </c>
      <c r="E870" s="3">
        <v>0</v>
      </c>
      <c r="F870" s="3">
        <v>1</v>
      </c>
      <c r="G870" s="3">
        <v>2</v>
      </c>
      <c r="H870" s="3">
        <v>1</v>
      </c>
      <c r="I870" s="3" t="s">
        <v>2008</v>
      </c>
      <c r="J870" s="13">
        <v>138.583</v>
      </c>
      <c r="K870" s="3" t="s">
        <v>2210</v>
      </c>
      <c r="L870" s="3" t="s">
        <v>905</v>
      </c>
      <c r="M870" t="str" cm="1">
        <f t="array" ref="M870">_xlfn.IFS(INFO_Pasajeros[[#This Row],[Edad]]&lt;=13,"Niños",INFO_Pasajeros[[#This Row],[Edad]]&lt;=18,"Jóvenes",INFO_Pasajeros[[#This Row],[Edad]]&lt;=50,"Adultos",INFO_Pasajeros[[#This Row],[Edad]]&gt;=51,"Adultos Mayores")</f>
        <v>Adultos</v>
      </c>
    </row>
    <row r="871" spans="1:13" x14ac:dyDescent="0.25">
      <c r="A871" s="3" t="s">
        <v>2168</v>
      </c>
      <c r="B871" s="3" t="s">
        <v>902</v>
      </c>
      <c r="C871" s="3">
        <v>868</v>
      </c>
      <c r="D871" s="5">
        <v>39</v>
      </c>
      <c r="E871" s="3">
        <v>0</v>
      </c>
      <c r="F871" s="3">
        <v>0</v>
      </c>
      <c r="G871" s="3">
        <v>1</v>
      </c>
      <c r="H871" s="3">
        <v>0</v>
      </c>
      <c r="I871" s="3" t="s">
        <v>1544</v>
      </c>
      <c r="J871" s="13">
        <v>504.95800000000003</v>
      </c>
      <c r="K871" s="3" t="s">
        <v>2210</v>
      </c>
      <c r="L871" s="3" t="s">
        <v>905</v>
      </c>
      <c r="M871" t="str" cm="1">
        <f t="array" ref="M871">_xlfn.IFS(INFO_Pasajeros[[#This Row],[Edad]]&lt;=13,"Niños",INFO_Pasajeros[[#This Row],[Edad]]&lt;=18,"Jóvenes",INFO_Pasajeros[[#This Row],[Edad]]&lt;=50,"Adultos",INFO_Pasajeros[[#This Row],[Edad]]&gt;=51,"Adultos Mayores")</f>
        <v>Adultos</v>
      </c>
    </row>
    <row r="872" spans="1:13" x14ac:dyDescent="0.25">
      <c r="A872" s="3" t="s">
        <v>2171</v>
      </c>
      <c r="B872" s="3" t="s">
        <v>902</v>
      </c>
      <c r="C872" s="3">
        <v>869</v>
      </c>
      <c r="D872" s="5">
        <v>32</v>
      </c>
      <c r="E872" s="3">
        <v>0</v>
      </c>
      <c r="F872" s="3">
        <v>0</v>
      </c>
      <c r="G872" s="3">
        <v>3</v>
      </c>
      <c r="H872" s="3">
        <v>0</v>
      </c>
      <c r="I872" s="3" t="s">
        <v>1870</v>
      </c>
      <c r="J872" s="13">
        <v>9.5</v>
      </c>
      <c r="K872" s="3" t="s">
        <v>2210</v>
      </c>
      <c r="L872" s="3" t="s">
        <v>905</v>
      </c>
      <c r="M872" t="str" cm="1">
        <f t="array" ref="M872">_xlfn.IFS(INFO_Pasajeros[[#This Row],[Edad]]&lt;=13,"Niños",INFO_Pasajeros[[#This Row],[Edad]]&lt;=18,"Jóvenes",INFO_Pasajeros[[#This Row],[Edad]]&lt;=50,"Adultos",INFO_Pasajeros[[#This Row],[Edad]]&gt;=51,"Adultos Mayores")</f>
        <v>Adultos</v>
      </c>
    </row>
    <row r="873" spans="1:13" x14ac:dyDescent="0.25">
      <c r="A873" s="3" t="s">
        <v>2172</v>
      </c>
      <c r="B873" s="3" t="s">
        <v>902</v>
      </c>
      <c r="C873" s="3">
        <v>870</v>
      </c>
      <c r="D873" s="5">
        <v>32</v>
      </c>
      <c r="E873" s="3">
        <v>1</v>
      </c>
      <c r="F873" s="3">
        <v>1</v>
      </c>
      <c r="G873" s="3">
        <v>3</v>
      </c>
      <c r="H873" s="3">
        <v>1</v>
      </c>
      <c r="I873" s="3" t="s">
        <v>1522</v>
      </c>
      <c r="J873" s="13">
        <v>111.333</v>
      </c>
      <c r="K873" s="3" t="s">
        <v>2210</v>
      </c>
      <c r="L873" s="3" t="s">
        <v>905</v>
      </c>
      <c r="M873" t="str" cm="1">
        <f t="array" ref="M873">_xlfn.IFS(INFO_Pasajeros[[#This Row],[Edad]]&lt;=13,"Niños",INFO_Pasajeros[[#This Row],[Edad]]&lt;=18,"Jóvenes",INFO_Pasajeros[[#This Row],[Edad]]&lt;=50,"Adultos",INFO_Pasajeros[[#This Row],[Edad]]&gt;=51,"Adultos Mayores")</f>
        <v>Adultos</v>
      </c>
    </row>
    <row r="874" spans="1:13" x14ac:dyDescent="0.25">
      <c r="A874" s="3" t="s">
        <v>2173</v>
      </c>
      <c r="B874" s="3" t="s">
        <v>902</v>
      </c>
      <c r="C874" s="3">
        <v>871</v>
      </c>
      <c r="D874" s="5">
        <v>21</v>
      </c>
      <c r="E874" s="3">
        <v>0</v>
      </c>
      <c r="F874" s="3">
        <v>0</v>
      </c>
      <c r="G874" s="3">
        <v>3</v>
      </c>
      <c r="H874" s="3">
        <v>0</v>
      </c>
      <c r="I874" s="3" t="s">
        <v>1095</v>
      </c>
      <c r="J874" s="13">
        <v>78.957999999999998</v>
      </c>
      <c r="K874" s="3" t="s">
        <v>2210</v>
      </c>
      <c r="L874" s="3" t="s">
        <v>905</v>
      </c>
      <c r="M874" t="str" cm="1">
        <f t="array" ref="M874">_xlfn.IFS(INFO_Pasajeros[[#This Row],[Edad]]&lt;=13,"Niños",INFO_Pasajeros[[#This Row],[Edad]]&lt;=18,"Jóvenes",INFO_Pasajeros[[#This Row],[Edad]]&lt;=50,"Adultos",INFO_Pasajeros[[#This Row],[Edad]]&gt;=51,"Adultos Mayores")</f>
        <v>Adultos</v>
      </c>
    </row>
    <row r="875" spans="1:13" x14ac:dyDescent="0.25">
      <c r="A875" s="3" t="s">
        <v>2174</v>
      </c>
      <c r="B875" s="3" t="s">
        <v>907</v>
      </c>
      <c r="C875" s="3">
        <v>872</v>
      </c>
      <c r="D875" s="5">
        <v>25</v>
      </c>
      <c r="E875" s="3">
        <v>1</v>
      </c>
      <c r="F875" s="3">
        <v>1</v>
      </c>
      <c r="G875" s="3">
        <v>1</v>
      </c>
      <c r="H875" s="3">
        <v>1</v>
      </c>
      <c r="I875" s="3" t="s">
        <v>1989</v>
      </c>
      <c r="J875" s="13">
        <v>525.54200000000003</v>
      </c>
      <c r="K875" s="3" t="s">
        <v>2210</v>
      </c>
      <c r="L875" s="3" t="s">
        <v>905</v>
      </c>
      <c r="M875" t="str" cm="1">
        <f t="array" ref="M875">_xlfn.IFS(INFO_Pasajeros[[#This Row],[Edad]]&lt;=13,"Niños",INFO_Pasajeros[[#This Row],[Edad]]&lt;=18,"Jóvenes",INFO_Pasajeros[[#This Row],[Edad]]&lt;=50,"Adultos",INFO_Pasajeros[[#This Row],[Edad]]&gt;=51,"Adultos Mayores")</f>
        <v>Adultos</v>
      </c>
    </row>
    <row r="876" spans="1:13" x14ac:dyDescent="0.25">
      <c r="A876" s="3" t="s">
        <v>2175</v>
      </c>
      <c r="B876" s="3" t="s">
        <v>902</v>
      </c>
      <c r="C876" s="3">
        <v>873</v>
      </c>
      <c r="D876" s="5">
        <v>24</v>
      </c>
      <c r="E876" s="3">
        <v>0</v>
      </c>
      <c r="F876" s="3">
        <v>0</v>
      </c>
      <c r="G876" s="3">
        <v>1</v>
      </c>
      <c r="H876" s="3">
        <v>0</v>
      </c>
      <c r="I876" s="3" t="s">
        <v>1140</v>
      </c>
      <c r="J876" s="13">
        <v>5</v>
      </c>
      <c r="K876" s="3" t="s">
        <v>2210</v>
      </c>
      <c r="L876" s="3" t="s">
        <v>905</v>
      </c>
      <c r="M876" t="str" cm="1">
        <f t="array" ref="M876">_xlfn.IFS(INFO_Pasajeros[[#This Row],[Edad]]&lt;=13,"Niños",INFO_Pasajeros[[#This Row],[Edad]]&lt;=18,"Jóvenes",INFO_Pasajeros[[#This Row],[Edad]]&lt;=50,"Adultos",INFO_Pasajeros[[#This Row],[Edad]]&gt;=51,"Adultos Mayores")</f>
        <v>Adultos</v>
      </c>
    </row>
    <row r="877" spans="1:13" x14ac:dyDescent="0.25">
      <c r="A877" s="3" t="s">
        <v>2176</v>
      </c>
      <c r="B877" s="3" t="s">
        <v>902</v>
      </c>
      <c r="C877" s="3">
        <v>874</v>
      </c>
      <c r="D877" s="5">
        <v>28</v>
      </c>
      <c r="E877" s="3">
        <v>0</v>
      </c>
      <c r="F877" s="3">
        <v>0</v>
      </c>
      <c r="G877" s="3">
        <v>3</v>
      </c>
      <c r="H877" s="3">
        <v>0</v>
      </c>
      <c r="I877" s="3" t="s">
        <v>1140</v>
      </c>
      <c r="J877" s="13">
        <v>9</v>
      </c>
      <c r="K877" s="3" t="s">
        <v>2210</v>
      </c>
      <c r="L877" s="3" t="s">
        <v>905</v>
      </c>
      <c r="M877" t="str" cm="1">
        <f t="array" ref="M877">_xlfn.IFS(INFO_Pasajeros[[#This Row],[Edad]]&lt;=13,"Niños",INFO_Pasajeros[[#This Row],[Edad]]&lt;=18,"Jóvenes",INFO_Pasajeros[[#This Row],[Edad]]&lt;=50,"Adultos",INFO_Pasajeros[[#This Row],[Edad]]&gt;=51,"Adultos Mayores")</f>
        <v>Adultos</v>
      </c>
    </row>
    <row r="878" spans="1:13" x14ac:dyDescent="0.25">
      <c r="A878" s="3" t="s">
        <v>2177</v>
      </c>
      <c r="B878" s="3" t="s">
        <v>907</v>
      </c>
      <c r="C878" s="3">
        <v>875</v>
      </c>
      <c r="D878" s="5">
        <v>26</v>
      </c>
      <c r="E878" s="3">
        <v>0</v>
      </c>
      <c r="F878" s="3">
        <v>1</v>
      </c>
      <c r="G878" s="3">
        <v>2</v>
      </c>
      <c r="H878" s="3">
        <v>1</v>
      </c>
      <c r="I878" s="3" t="s">
        <v>912</v>
      </c>
      <c r="J878" s="13">
        <v>24</v>
      </c>
      <c r="K878" s="3" t="s">
        <v>2210</v>
      </c>
      <c r="L878" s="3" t="s">
        <v>905</v>
      </c>
      <c r="M878" t="str" cm="1">
        <f t="array" ref="M878">_xlfn.IFS(INFO_Pasajeros[[#This Row],[Edad]]&lt;=13,"Niños",INFO_Pasajeros[[#This Row],[Edad]]&lt;=18,"Jóvenes",INFO_Pasajeros[[#This Row],[Edad]]&lt;=50,"Adultos",INFO_Pasajeros[[#This Row],[Edad]]&gt;=51,"Adultos Mayores")</f>
        <v>Adultos</v>
      </c>
    </row>
    <row r="879" spans="1:13" x14ac:dyDescent="0.25">
      <c r="A879" s="3" t="s">
        <v>2178</v>
      </c>
      <c r="B879" s="3" t="s">
        <v>907</v>
      </c>
      <c r="C879" s="3">
        <v>876</v>
      </c>
      <c r="D879" s="5">
        <v>27</v>
      </c>
      <c r="E879" s="3">
        <v>0</v>
      </c>
      <c r="F879" s="3">
        <v>0</v>
      </c>
      <c r="G879" s="3">
        <v>3</v>
      </c>
      <c r="H879" s="3">
        <v>1</v>
      </c>
      <c r="I879" s="3" t="s">
        <v>1259</v>
      </c>
      <c r="J879" s="13">
        <v>7.2249999999999996</v>
      </c>
      <c r="K879" s="3" t="s">
        <v>2210</v>
      </c>
      <c r="L879" s="3" t="s">
        <v>905</v>
      </c>
      <c r="M879" t="str" cm="1">
        <f t="array" ref="M879">_xlfn.IFS(INFO_Pasajeros[[#This Row],[Edad]]&lt;=13,"Niños",INFO_Pasajeros[[#This Row],[Edad]]&lt;=18,"Jóvenes",INFO_Pasajeros[[#This Row],[Edad]]&lt;=50,"Adultos",INFO_Pasajeros[[#This Row],[Edad]]&gt;=51,"Adultos Mayores")</f>
        <v>Adultos</v>
      </c>
    </row>
    <row r="880" spans="1:13" x14ac:dyDescent="0.25">
      <c r="A880" s="3" t="s">
        <v>2179</v>
      </c>
      <c r="B880" s="3" t="s">
        <v>902</v>
      </c>
      <c r="C880" s="3">
        <v>877</v>
      </c>
      <c r="D880" s="5">
        <v>23</v>
      </c>
      <c r="E880" s="3">
        <v>0</v>
      </c>
      <c r="F880" s="3">
        <v>0</v>
      </c>
      <c r="G880" s="3">
        <v>3</v>
      </c>
      <c r="H880" s="3">
        <v>0</v>
      </c>
      <c r="I880" s="3" t="s">
        <v>2100</v>
      </c>
      <c r="J880" s="13">
        <v>98.457999999999998</v>
      </c>
      <c r="K880" s="3" t="s">
        <v>2210</v>
      </c>
      <c r="L880" s="3" t="s">
        <v>905</v>
      </c>
      <c r="M880" t="str" cm="1">
        <f t="array" ref="M880">_xlfn.IFS(INFO_Pasajeros[[#This Row],[Edad]]&lt;=13,"Niños",INFO_Pasajeros[[#This Row],[Edad]]&lt;=18,"Jóvenes",INFO_Pasajeros[[#This Row],[Edad]]&lt;=50,"Adultos",INFO_Pasajeros[[#This Row],[Edad]]&gt;=51,"Adultos Mayores")</f>
        <v>Adultos</v>
      </c>
    </row>
    <row r="881" spans="1:13" x14ac:dyDescent="0.25">
      <c r="A881" s="3" t="s">
        <v>2180</v>
      </c>
      <c r="B881" s="3" t="s">
        <v>902</v>
      </c>
      <c r="C881" s="3">
        <v>878</v>
      </c>
      <c r="D881" s="5">
        <v>19</v>
      </c>
      <c r="E881" s="3">
        <v>0</v>
      </c>
      <c r="F881" s="3">
        <v>0</v>
      </c>
      <c r="G881" s="3">
        <v>3</v>
      </c>
      <c r="H881" s="3">
        <v>0</v>
      </c>
      <c r="I881" s="3" t="s">
        <v>1276</v>
      </c>
      <c r="J881" s="13">
        <v>78.957999999999998</v>
      </c>
      <c r="K881" s="3" t="s">
        <v>2210</v>
      </c>
      <c r="L881" s="3" t="s">
        <v>905</v>
      </c>
      <c r="M881" t="str" cm="1">
        <f t="array" ref="M881">_xlfn.IFS(INFO_Pasajeros[[#This Row],[Edad]]&lt;=13,"Niños",INFO_Pasajeros[[#This Row],[Edad]]&lt;=18,"Jóvenes",INFO_Pasajeros[[#This Row],[Edad]]&lt;=50,"Adultos",INFO_Pasajeros[[#This Row],[Edad]]&gt;=51,"Adultos Mayores")</f>
        <v>Adultos</v>
      </c>
    </row>
    <row r="882" spans="1:13" x14ac:dyDescent="0.25">
      <c r="A882" s="3" t="s">
        <v>2181</v>
      </c>
      <c r="B882" s="3" t="s">
        <v>902</v>
      </c>
      <c r="C882" s="3">
        <v>879</v>
      </c>
      <c r="D882" s="5">
        <v>50</v>
      </c>
      <c r="E882" s="3">
        <v>0</v>
      </c>
      <c r="F882" s="3">
        <v>0</v>
      </c>
      <c r="G882" s="3">
        <v>3</v>
      </c>
      <c r="H882" s="3">
        <v>0</v>
      </c>
      <c r="I882" s="3" t="s">
        <v>1720</v>
      </c>
      <c r="J882" s="13">
        <v>78.957999999999998</v>
      </c>
      <c r="K882" s="3" t="s">
        <v>2210</v>
      </c>
      <c r="L882" s="3" t="s">
        <v>905</v>
      </c>
      <c r="M882" t="str" cm="1">
        <f t="array" ref="M882">_xlfn.IFS(INFO_Pasajeros[[#This Row],[Edad]]&lt;=13,"Niños",INFO_Pasajeros[[#This Row],[Edad]]&lt;=18,"Jóvenes",INFO_Pasajeros[[#This Row],[Edad]]&lt;=50,"Adultos",INFO_Pasajeros[[#This Row],[Edad]]&gt;=51,"Adultos Mayores")</f>
        <v>Adultos</v>
      </c>
    </row>
    <row r="883" spans="1:13" x14ac:dyDescent="0.25">
      <c r="A883" s="3" t="s">
        <v>2182</v>
      </c>
      <c r="B883" s="3" t="s">
        <v>907</v>
      </c>
      <c r="C883" s="3">
        <v>880</v>
      </c>
      <c r="D883" s="5">
        <v>29</v>
      </c>
      <c r="E883" s="3">
        <v>1</v>
      </c>
      <c r="F883" s="3">
        <v>0</v>
      </c>
      <c r="G883" s="3">
        <v>1</v>
      </c>
      <c r="H883" s="3">
        <v>1</v>
      </c>
      <c r="I883" s="3" t="s">
        <v>1302</v>
      </c>
      <c r="J883" s="13">
        <v>831.58299999999997</v>
      </c>
      <c r="K883" s="3" t="s">
        <v>2210</v>
      </c>
      <c r="L883" s="3" t="s">
        <v>905</v>
      </c>
      <c r="M883" t="str" cm="1">
        <f t="array" ref="M883">_xlfn.IFS(INFO_Pasajeros[[#This Row],[Edad]]&lt;=13,"Niños",INFO_Pasajeros[[#This Row],[Edad]]&lt;=18,"Jóvenes",INFO_Pasajeros[[#This Row],[Edad]]&lt;=50,"Adultos",INFO_Pasajeros[[#This Row],[Edad]]&gt;=51,"Adultos Mayores")</f>
        <v>Adultos</v>
      </c>
    </row>
    <row r="884" spans="1:13" x14ac:dyDescent="0.25">
      <c r="A884" s="3" t="s">
        <v>2184</v>
      </c>
      <c r="B884" s="3" t="s">
        <v>907</v>
      </c>
      <c r="C884" s="3">
        <v>881</v>
      </c>
      <c r="D884" s="5">
        <v>24</v>
      </c>
      <c r="E884" s="3">
        <v>1</v>
      </c>
      <c r="F884" s="3">
        <v>0</v>
      </c>
      <c r="G884" s="3">
        <v>2</v>
      </c>
      <c r="H884" s="3">
        <v>1</v>
      </c>
      <c r="I884" s="3" t="s">
        <v>2058</v>
      </c>
      <c r="J884" s="13">
        <v>26</v>
      </c>
      <c r="K884" s="3" t="s">
        <v>2210</v>
      </c>
      <c r="L884" s="3" t="s">
        <v>905</v>
      </c>
      <c r="M884" t="str" cm="1">
        <f t="array" ref="M884">_xlfn.IFS(INFO_Pasajeros[[#This Row],[Edad]]&lt;=13,"Niños",INFO_Pasajeros[[#This Row],[Edad]]&lt;=18,"Jóvenes",INFO_Pasajeros[[#This Row],[Edad]]&lt;=50,"Adultos",INFO_Pasajeros[[#This Row],[Edad]]&gt;=51,"Adultos Mayores")</f>
        <v>Adultos</v>
      </c>
    </row>
    <row r="885" spans="1:13" x14ac:dyDescent="0.25">
      <c r="A885" s="3" t="s">
        <v>2185</v>
      </c>
      <c r="B885" s="3" t="s">
        <v>902</v>
      </c>
      <c r="C885" s="3">
        <v>882</v>
      </c>
      <c r="D885" s="5">
        <v>56</v>
      </c>
      <c r="E885" s="3">
        <v>0</v>
      </c>
      <c r="F885" s="3">
        <v>0</v>
      </c>
      <c r="G885" s="3">
        <v>3</v>
      </c>
      <c r="H885" s="3">
        <v>0</v>
      </c>
      <c r="I885" s="3" t="s">
        <v>2058</v>
      </c>
      <c r="J885" s="13">
        <v>78.957999999999998</v>
      </c>
      <c r="K885" s="3" t="s">
        <v>2210</v>
      </c>
      <c r="L885" s="3" t="s">
        <v>905</v>
      </c>
      <c r="M885" t="str" cm="1">
        <f t="array" ref="M885">_xlfn.IFS(INFO_Pasajeros[[#This Row],[Edad]]&lt;=13,"Niños",INFO_Pasajeros[[#This Row],[Edad]]&lt;=18,"Jóvenes",INFO_Pasajeros[[#This Row],[Edad]]&lt;=50,"Adultos",INFO_Pasajeros[[#This Row],[Edad]]&gt;=51,"Adultos Mayores")</f>
        <v>Adultos Mayores</v>
      </c>
    </row>
    <row r="886" spans="1:13" x14ac:dyDescent="0.25">
      <c r="A886" s="3" t="s">
        <v>2186</v>
      </c>
      <c r="B886" s="3" t="s">
        <v>907</v>
      </c>
      <c r="C886" s="3">
        <v>883</v>
      </c>
      <c r="D886" s="5">
        <v>16</v>
      </c>
      <c r="E886" s="3">
        <v>0</v>
      </c>
      <c r="F886" s="3">
        <v>0</v>
      </c>
      <c r="G886" s="3">
        <v>3</v>
      </c>
      <c r="H886" s="3">
        <v>0</v>
      </c>
      <c r="I886" s="3" t="s">
        <v>1053</v>
      </c>
      <c r="J886" s="13">
        <v>105.167</v>
      </c>
      <c r="K886" s="3" t="s">
        <v>2210</v>
      </c>
      <c r="L886" s="3" t="s">
        <v>905</v>
      </c>
      <c r="M886" t="str" cm="1">
        <f t="array" ref="M886">_xlfn.IFS(INFO_Pasajeros[[#This Row],[Edad]]&lt;=13,"Niños",INFO_Pasajeros[[#This Row],[Edad]]&lt;=18,"Jóvenes",INFO_Pasajeros[[#This Row],[Edad]]&lt;=50,"Adultos",INFO_Pasajeros[[#This Row],[Edad]]&gt;=51,"Adultos Mayores")</f>
        <v>Jóvenes</v>
      </c>
    </row>
    <row r="887" spans="1:13" x14ac:dyDescent="0.25">
      <c r="A887" s="3" t="s">
        <v>2187</v>
      </c>
      <c r="B887" s="3" t="s">
        <v>902</v>
      </c>
      <c r="C887" s="3">
        <v>884</v>
      </c>
      <c r="D887" s="5">
        <v>9</v>
      </c>
      <c r="E887" s="3">
        <v>0</v>
      </c>
      <c r="F887" s="3">
        <v>0</v>
      </c>
      <c r="G887" s="3">
        <v>2</v>
      </c>
      <c r="H887" s="3">
        <v>0</v>
      </c>
      <c r="I887" s="3" t="s">
        <v>1053</v>
      </c>
      <c r="J887" s="13">
        <v>10.5</v>
      </c>
      <c r="K887" s="3" t="s">
        <v>2210</v>
      </c>
      <c r="L887" s="3" t="s">
        <v>905</v>
      </c>
      <c r="M887" t="str" cm="1">
        <f t="array" ref="M887">_xlfn.IFS(INFO_Pasajeros[[#This Row],[Edad]]&lt;=13,"Niños",INFO_Pasajeros[[#This Row],[Edad]]&lt;=18,"Jóvenes",INFO_Pasajeros[[#This Row],[Edad]]&lt;=50,"Adultos",INFO_Pasajeros[[#This Row],[Edad]]&gt;=51,"Adultos Mayores")</f>
        <v>Niños</v>
      </c>
    </row>
    <row r="888" spans="1:13" x14ac:dyDescent="0.25">
      <c r="A888" s="3" t="s">
        <v>2189</v>
      </c>
      <c r="B888" s="3" t="s">
        <v>902</v>
      </c>
      <c r="C888" s="3">
        <v>885</v>
      </c>
      <c r="D888" s="5">
        <v>21</v>
      </c>
      <c r="E888" s="3">
        <v>0</v>
      </c>
      <c r="F888" s="3">
        <v>0</v>
      </c>
      <c r="G888" s="3">
        <v>3</v>
      </c>
      <c r="H888" s="3">
        <v>0</v>
      </c>
      <c r="I888" s="3" t="s">
        <v>1053</v>
      </c>
      <c r="J888" s="13">
        <v>7.05</v>
      </c>
      <c r="K888" s="3" t="s">
        <v>2210</v>
      </c>
      <c r="L888" s="3" t="s">
        <v>905</v>
      </c>
      <c r="M888" t="str" cm="1">
        <f t="array" ref="M888">_xlfn.IFS(INFO_Pasajeros[[#This Row],[Edad]]&lt;=13,"Niños",INFO_Pasajeros[[#This Row],[Edad]]&lt;=18,"Jóvenes",INFO_Pasajeros[[#This Row],[Edad]]&lt;=50,"Adultos",INFO_Pasajeros[[#This Row],[Edad]]&gt;=51,"Adultos Mayores")</f>
        <v>Adultos</v>
      </c>
    </row>
    <row r="889" spans="1:13" x14ac:dyDescent="0.25">
      <c r="A889" s="3" t="s">
        <v>2191</v>
      </c>
      <c r="B889" s="3" t="s">
        <v>907</v>
      </c>
      <c r="C889" s="3">
        <v>886</v>
      </c>
      <c r="D889" s="5">
        <v>48</v>
      </c>
      <c r="E889" s="3">
        <v>5</v>
      </c>
      <c r="F889" s="3">
        <v>0</v>
      </c>
      <c r="G889" s="3">
        <v>3</v>
      </c>
      <c r="H889" s="3">
        <v>0</v>
      </c>
      <c r="I889" s="3" t="s">
        <v>1053</v>
      </c>
      <c r="J889" s="13">
        <v>29.125</v>
      </c>
      <c r="K889" s="3" t="s">
        <v>2210</v>
      </c>
      <c r="L889" s="3" t="s">
        <v>905</v>
      </c>
      <c r="M889" t="str" cm="1">
        <f t="array" ref="M889">_xlfn.IFS(INFO_Pasajeros[[#This Row],[Edad]]&lt;=13,"Niños",INFO_Pasajeros[[#This Row],[Edad]]&lt;=18,"Jóvenes",INFO_Pasajeros[[#This Row],[Edad]]&lt;=50,"Adultos",INFO_Pasajeros[[#This Row],[Edad]]&gt;=51,"Adultos Mayores")</f>
        <v>Adultos</v>
      </c>
    </row>
    <row r="890" spans="1:13" x14ac:dyDescent="0.25">
      <c r="A890" s="3" t="s">
        <v>2192</v>
      </c>
      <c r="B890" s="3" t="s">
        <v>902</v>
      </c>
      <c r="C890" s="3">
        <v>887</v>
      </c>
      <c r="D890" s="5">
        <v>38</v>
      </c>
      <c r="E890" s="3">
        <v>0</v>
      </c>
      <c r="F890" s="3">
        <v>0</v>
      </c>
      <c r="G890" s="3">
        <v>2</v>
      </c>
      <c r="H890" s="3">
        <v>0</v>
      </c>
      <c r="I890" s="3" t="s">
        <v>1290</v>
      </c>
      <c r="J890" s="13">
        <v>13</v>
      </c>
      <c r="K890" s="3" t="s">
        <v>2210</v>
      </c>
      <c r="L890" s="3" t="s">
        <v>905</v>
      </c>
      <c r="M890" t="str" cm="1">
        <f t="array" ref="M890">_xlfn.IFS(INFO_Pasajeros[[#This Row],[Edad]]&lt;=13,"Niños",INFO_Pasajeros[[#This Row],[Edad]]&lt;=18,"Jóvenes",INFO_Pasajeros[[#This Row],[Edad]]&lt;=50,"Adultos",INFO_Pasajeros[[#This Row],[Edad]]&gt;=51,"Adultos Mayores")</f>
        <v>Adultos</v>
      </c>
    </row>
    <row r="891" spans="1:13" x14ac:dyDescent="0.25">
      <c r="A891" s="3" t="s">
        <v>2193</v>
      </c>
      <c r="B891" s="3" t="s">
        <v>907</v>
      </c>
      <c r="C891" s="3">
        <v>888</v>
      </c>
      <c r="D891" s="5">
        <v>46</v>
      </c>
      <c r="E891" s="3">
        <v>0</v>
      </c>
      <c r="F891" s="3">
        <v>0</v>
      </c>
      <c r="G891" s="3">
        <v>1</v>
      </c>
      <c r="H891" s="3">
        <v>1</v>
      </c>
      <c r="I891" s="3" t="s">
        <v>1061</v>
      </c>
      <c r="J891" s="13">
        <v>30</v>
      </c>
      <c r="K891" s="3" t="s">
        <v>1062</v>
      </c>
      <c r="L891" s="3" t="s">
        <v>905</v>
      </c>
      <c r="M891" t="str" cm="1">
        <f t="array" ref="M891">_xlfn.IFS(INFO_Pasajeros[[#This Row],[Edad]]&lt;=13,"Niños",INFO_Pasajeros[[#This Row],[Edad]]&lt;=18,"Jóvenes",INFO_Pasajeros[[#This Row],[Edad]]&lt;=50,"Adultos",INFO_Pasajeros[[#This Row],[Edad]]&gt;=51,"Adultos Mayores")</f>
        <v>Adultos</v>
      </c>
    </row>
    <row r="892" spans="1:13" x14ac:dyDescent="0.25">
      <c r="A892" s="3" t="s">
        <v>2195</v>
      </c>
      <c r="B892" s="3" t="s">
        <v>907</v>
      </c>
      <c r="C892" s="3">
        <v>889</v>
      </c>
      <c r="D892" s="5">
        <v>30</v>
      </c>
      <c r="E892" s="3">
        <v>2</v>
      </c>
      <c r="F892" s="3">
        <v>1</v>
      </c>
      <c r="G892" s="3">
        <v>3</v>
      </c>
      <c r="H892" s="3">
        <v>0</v>
      </c>
      <c r="I892" s="3" t="s">
        <v>1264</v>
      </c>
      <c r="J892" s="13">
        <v>23.45</v>
      </c>
      <c r="K892" s="3" t="s">
        <v>2210</v>
      </c>
      <c r="L892" s="3" t="s">
        <v>905</v>
      </c>
      <c r="M892" t="str" cm="1">
        <f t="array" ref="M892">_xlfn.IFS(INFO_Pasajeros[[#This Row],[Edad]]&lt;=13,"Niños",INFO_Pasajeros[[#This Row],[Edad]]&lt;=18,"Jóvenes",INFO_Pasajeros[[#This Row],[Edad]]&lt;=50,"Adultos",INFO_Pasajeros[[#This Row],[Edad]]&gt;=51,"Adultos Mayores")</f>
        <v>Adultos</v>
      </c>
    </row>
    <row r="893" spans="1:13" x14ac:dyDescent="0.25">
      <c r="A893" s="3" t="s">
        <v>2196</v>
      </c>
      <c r="B893" s="3" t="s">
        <v>902</v>
      </c>
      <c r="C893" s="3">
        <v>890</v>
      </c>
      <c r="D893" s="5">
        <v>36</v>
      </c>
      <c r="E893" s="3">
        <v>0</v>
      </c>
      <c r="F893" s="3">
        <v>0</v>
      </c>
      <c r="G893" s="3">
        <v>1</v>
      </c>
      <c r="H893" s="3">
        <v>1</v>
      </c>
      <c r="I893" s="3" t="s">
        <v>1741</v>
      </c>
      <c r="J893" s="13">
        <v>30</v>
      </c>
      <c r="K893" s="3" t="s">
        <v>1742</v>
      </c>
      <c r="L893" s="3" t="s">
        <v>905</v>
      </c>
      <c r="M893" t="str" cm="1">
        <f t="array" ref="M893">_xlfn.IFS(INFO_Pasajeros[[#This Row],[Edad]]&lt;=13,"Niños",INFO_Pasajeros[[#This Row],[Edad]]&lt;=18,"Jóvenes",INFO_Pasajeros[[#This Row],[Edad]]&lt;=50,"Adultos",INFO_Pasajeros[[#This Row],[Edad]]&gt;=51,"Adultos Mayores")</f>
        <v>Adultos</v>
      </c>
    </row>
    <row r="894" spans="1:13" x14ac:dyDescent="0.25">
      <c r="A894" s="3" t="s">
        <v>2198</v>
      </c>
      <c r="B894" s="3" t="s">
        <v>902</v>
      </c>
      <c r="C894" s="3">
        <v>891</v>
      </c>
      <c r="D894" s="5">
        <v>70</v>
      </c>
      <c r="E894" s="3">
        <v>0</v>
      </c>
      <c r="F894" s="3">
        <v>0</v>
      </c>
      <c r="G894" s="3">
        <v>3</v>
      </c>
      <c r="H894" s="3">
        <v>0</v>
      </c>
      <c r="I894" s="3" t="s">
        <v>1741</v>
      </c>
      <c r="J894" s="13">
        <v>7.75</v>
      </c>
      <c r="K894" s="3" t="s">
        <v>1742</v>
      </c>
      <c r="L894" s="3" t="s">
        <v>905</v>
      </c>
      <c r="M894" t="str" cm="1">
        <f t="array" ref="M894">_xlfn.IFS(INFO_Pasajeros[[#This Row],[Edad]]&lt;=13,"Niños",INFO_Pasajeros[[#This Row],[Edad]]&lt;=18,"Jóvenes",INFO_Pasajeros[[#This Row],[Edad]]&lt;=50,"Adultos",INFO_Pasajeros[[#This Row],[Edad]]&gt;=51,"Adultos Mayores")</f>
        <v>Adultos Mayores</v>
      </c>
    </row>
  </sheetData>
  <dataValidations disablePrompts="1" count="1">
    <dataValidation type="list" allowBlank="1" showInputMessage="1" showErrorMessage="1" sqref="L3 L895:L1048576" xr:uid="{487E6604-822C-4290-864E-85A9E311AA9E}">
      <formula1>"S,C,Q"</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98A79847-EE52-4F3B-9871-C066F104C167}">
          <x14:formula1>
            <xm:f>AUXILIAR!$A$5:$A$6</xm:f>
          </x14:formula1>
          <xm:sqref>B1:B1048576</xm:sqref>
        </x14:dataValidation>
        <x14:dataValidation type="list" allowBlank="1" showInputMessage="1" showErrorMessage="1" xr:uid="{26C36283-37B2-41B0-B7A4-14F20E730D67}">
          <x14:formula1>
            <xm:f>AUXILIAR!$B$5:$B$7</xm:f>
          </x14:formula1>
          <xm:sqref>L4:L894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CE884-2A59-49BE-B16D-9E137CD7203C}">
  <dimension ref="A1:AA76"/>
  <sheetViews>
    <sheetView topLeftCell="A38" zoomScaleNormal="100" workbookViewId="0"/>
  </sheetViews>
  <sheetFormatPr baseColWidth="10" defaultRowHeight="15" x14ac:dyDescent="0.25"/>
  <cols>
    <col min="1" max="1" width="31.5703125" customWidth="1"/>
    <col min="2" max="2" width="52.28515625" bestFit="1" customWidth="1"/>
    <col min="3" max="3" width="15.5703125" bestFit="1" customWidth="1"/>
    <col min="4" max="4" width="23.85546875" bestFit="1" customWidth="1"/>
    <col min="5" max="5" width="24.140625" bestFit="1" customWidth="1"/>
    <col min="6" max="6" width="13.140625" bestFit="1" customWidth="1"/>
    <col min="7" max="7" width="20.5703125" bestFit="1" customWidth="1"/>
  </cols>
  <sheetData>
    <row r="1" spans="1:27"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row>
    <row r="2" spans="1:27"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row>
    <row r="3" spans="1:27" x14ac:dyDescent="0.25">
      <c r="A3" t="s">
        <v>2231</v>
      </c>
      <c r="G3" t="s">
        <v>2303</v>
      </c>
    </row>
    <row r="4" spans="1:27" x14ac:dyDescent="0.25">
      <c r="A4" s="2" t="s">
        <v>2229</v>
      </c>
      <c r="B4" s="40" t="s">
        <v>2242</v>
      </c>
      <c r="C4" s="39" t="s">
        <v>2349</v>
      </c>
      <c r="D4" s="39" t="s">
        <v>2373</v>
      </c>
      <c r="G4" t="s">
        <v>2304</v>
      </c>
    </row>
    <row r="5" spans="1:27" x14ac:dyDescent="0.25">
      <c r="A5" s="2" t="s">
        <v>2226</v>
      </c>
      <c r="B5">
        <f>COUNTIF(DATASET_CLEAN!B:B,"male")</f>
        <v>577</v>
      </c>
      <c r="C5">
        <f>COUNTIFS(INFO_Pasajeros[Sexo],"male",INFO_Pasajeros[Sobreviviente],1)</f>
        <v>109</v>
      </c>
      <c r="D5">
        <f>C5+C6</f>
        <v>342</v>
      </c>
    </row>
    <row r="6" spans="1:27" x14ac:dyDescent="0.25">
      <c r="A6" s="2" t="s">
        <v>2227</v>
      </c>
      <c r="B6">
        <f>COUNTIF(DATASET_CLEAN!B:B,"female")</f>
        <v>314</v>
      </c>
      <c r="C6">
        <f>COUNTIFS(INFO_Pasajeros[Sexo],"female",INFO_Pasajeros[Sobreviviente],1)</f>
        <v>233</v>
      </c>
    </row>
    <row r="7" spans="1:27" x14ac:dyDescent="0.25">
      <c r="A7" s="2" t="s">
        <v>2228</v>
      </c>
      <c r="B7" s="5">
        <f>COUNTA(INFO_Pasajeros[Sexo])</f>
        <v>891</v>
      </c>
    </row>
    <row r="8" spans="1:27" x14ac:dyDescent="0.25">
      <c r="A8" s="2" t="s">
        <v>2230</v>
      </c>
      <c r="F8" s="39" t="s">
        <v>2301</v>
      </c>
    </row>
    <row r="9" spans="1:27" x14ac:dyDescent="0.25">
      <c r="A9" s="2" t="s">
        <v>2226</v>
      </c>
      <c r="B9" s="7">
        <f>COUNTIF(INFO_Pasajeros[Sexo],"male")/COUNTA(INFO_Pasajeros[Sexo])</f>
        <v>0.6475869809203143</v>
      </c>
      <c r="C9" s="10">
        <f>ROUNDUP(B9,2)</f>
        <v>0.65</v>
      </c>
      <c r="G9" t="s">
        <v>2302</v>
      </c>
    </row>
    <row r="10" spans="1:27" x14ac:dyDescent="0.25">
      <c r="A10" s="2" t="s">
        <v>2227</v>
      </c>
      <c r="B10" s="8">
        <f>COUNTIF(INFO_Pasajeros[Sexo],"female")/COUNTA(INFO_Pasajeros[Sexo])</f>
        <v>0.35241301907968575</v>
      </c>
      <c r="C10" s="10">
        <f>ROUNDDOWN(B10,2)</f>
        <v>0.35</v>
      </c>
    </row>
    <row r="12" spans="1:27" x14ac:dyDescent="0.25">
      <c r="A12" s="2" t="s">
        <v>2237</v>
      </c>
      <c r="F12" s="39" t="s">
        <v>2305</v>
      </c>
    </row>
    <row r="13" spans="1:27" x14ac:dyDescent="0.25">
      <c r="G13" t="s">
        <v>2306</v>
      </c>
    </row>
    <row r="14" spans="1:27" x14ac:dyDescent="0.25">
      <c r="A14" s="2" t="s">
        <v>2232</v>
      </c>
      <c r="B14" s="9">
        <f>AVERAGE(INFO_Pasajeros[Edad])</f>
        <v>31.937149270482603</v>
      </c>
      <c r="C14" s="5">
        <f>ROUNDUP(B14,0)</f>
        <v>32</v>
      </c>
    </row>
    <row r="15" spans="1:27" x14ac:dyDescent="0.25">
      <c r="A15" s="2" t="s">
        <v>2234</v>
      </c>
      <c r="B15">
        <f>AVERAGEIF(INFO_Pasajeros[Sobreviviente],1,INFO_Pasajeros[Edad])</f>
        <v>31.491228070175438</v>
      </c>
      <c r="C15" s="5">
        <f>ROUNDDOWN(B15,1)</f>
        <v>31.4</v>
      </c>
    </row>
    <row r="16" spans="1:27" x14ac:dyDescent="0.25">
      <c r="A16" s="2" t="s">
        <v>2235</v>
      </c>
      <c r="B16">
        <f>AVERAGEIF(INFO_Pasajeros[Sobreviviente],0,INFO_Pasajeros[Edad])</f>
        <v>32.214936247723131</v>
      </c>
      <c r="C16" s="5">
        <f>ROUNDDOWN(B16,1)</f>
        <v>32.200000000000003</v>
      </c>
    </row>
    <row r="18" spans="1:9" x14ac:dyDescent="0.25">
      <c r="A18" s="2" t="s">
        <v>2238</v>
      </c>
      <c r="H18" s="39" t="s">
        <v>2307</v>
      </c>
    </row>
    <row r="19" spans="1:9" x14ac:dyDescent="0.25">
      <c r="I19" t="s">
        <v>2308</v>
      </c>
    </row>
    <row r="20" spans="1:9" x14ac:dyDescent="0.25">
      <c r="A20" s="2" t="s">
        <v>2245</v>
      </c>
      <c r="B20" s="42" t="s">
        <v>2242</v>
      </c>
      <c r="C20" s="41" t="s">
        <v>2243</v>
      </c>
      <c r="D20" s="41" t="s">
        <v>2244</v>
      </c>
      <c r="E20" s="41" t="s">
        <v>2246</v>
      </c>
      <c r="I20" t="s">
        <v>2309</v>
      </c>
    </row>
    <row r="21" spans="1:9" x14ac:dyDescent="0.25">
      <c r="A21" s="2" t="s">
        <v>2239</v>
      </c>
      <c r="B21">
        <f>COUNTIFS(INFO_Pasajeros[Edad],"&gt;=1",INFO_Pasajeros[Edad],"&lt;=12")</f>
        <v>96</v>
      </c>
      <c r="C21">
        <f>COUNTIFS(INFO_Pasajeros[Sobreviviente],"1",INFO_Pasajeros[Edad],"&gt;=0",INFO_Pasajeros[Edad],"&lt;=12")</f>
        <v>41</v>
      </c>
      <c r="D21">
        <f>B21-C21</f>
        <v>55</v>
      </c>
      <c r="E21" s="11">
        <f>C21/B21</f>
        <v>0.42708333333333331</v>
      </c>
    </row>
    <row r="22" spans="1:9" x14ac:dyDescent="0.25">
      <c r="A22" s="2" t="s">
        <v>2247</v>
      </c>
      <c r="B22">
        <f>COUNTIFS(INFO_Pasajeros[Edad],"&gt;=13",INFO_Pasajeros[Edad],"&lt;=18")</f>
        <v>75</v>
      </c>
      <c r="C22">
        <f>COUNTIFS(INFO_Pasajeros[Sobreviviente],"1",INFO_Pasajeros[Edad],"&gt;=13",INFO_Pasajeros[Edad],"&lt;=18")</f>
        <v>26</v>
      </c>
      <c r="D22">
        <f t="shared" ref="D22:D24" si="0">B22-C22</f>
        <v>49</v>
      </c>
      <c r="E22" s="11">
        <f t="shared" ref="E22:E24" si="1">C22/B22</f>
        <v>0.34666666666666668</v>
      </c>
    </row>
    <row r="23" spans="1:9" x14ac:dyDescent="0.25">
      <c r="A23" s="2" t="s">
        <v>2241</v>
      </c>
      <c r="B23">
        <f>COUNTIFS(INFO_Pasajeros[Edad],"&gt;=19",INFO_Pasajeros[Edad],"&lt;=50")</f>
        <v>593</v>
      </c>
      <c r="C23">
        <f>COUNTIFS(INFO_Pasajeros[Sobreviviente],"1",INFO_Pasajeros[Edad],"&gt;=19",INFO_Pasajeros[Edad],"&lt;=50")</f>
        <v>236</v>
      </c>
      <c r="D23">
        <f t="shared" si="0"/>
        <v>357</v>
      </c>
      <c r="E23" s="11">
        <f t="shared" si="1"/>
        <v>0.39797639123102868</v>
      </c>
    </row>
    <row r="24" spans="1:9" x14ac:dyDescent="0.25">
      <c r="A24" s="2" t="s">
        <v>2240</v>
      </c>
      <c r="B24">
        <f>COUNTIF(INFO_Pasajeros[Edad],"&gt;=51")</f>
        <v>127</v>
      </c>
      <c r="C24">
        <f>COUNTIFS(INFO_Pasajeros[Sobreviviente],"1",INFO_Pasajeros[Edad],"&gt;=51")</f>
        <v>39</v>
      </c>
      <c r="D24">
        <f t="shared" si="0"/>
        <v>88</v>
      </c>
      <c r="E24" s="11">
        <f t="shared" si="1"/>
        <v>0.30708661417322836</v>
      </c>
    </row>
    <row r="27" spans="1:9" x14ac:dyDescent="0.25">
      <c r="A27" t="s">
        <v>2252</v>
      </c>
    </row>
    <row r="28" spans="1:9" x14ac:dyDescent="0.25">
      <c r="A28" t="s">
        <v>2254</v>
      </c>
    </row>
    <row r="29" spans="1:9" x14ac:dyDescent="0.25">
      <c r="A29" t="s">
        <v>2253</v>
      </c>
    </row>
    <row r="30" spans="1:9" x14ac:dyDescent="0.25">
      <c r="A30" s="2"/>
    </row>
    <row r="32" spans="1:9" x14ac:dyDescent="0.25">
      <c r="B32" s="41" t="s">
        <v>2257</v>
      </c>
      <c r="C32" s="41" t="s">
        <v>2230</v>
      </c>
      <c r="D32" s="41" t="s">
        <v>2229</v>
      </c>
    </row>
    <row r="33" spans="1:7" x14ac:dyDescent="0.25">
      <c r="A33" s="2"/>
      <c r="B33" s="2" t="s">
        <v>2211</v>
      </c>
      <c r="C33" s="2" t="s">
        <v>2255</v>
      </c>
      <c r="D33" s="2" t="s">
        <v>2256</v>
      </c>
    </row>
    <row r="34" spans="1:7" x14ac:dyDescent="0.25">
      <c r="A34" t="s">
        <v>2250</v>
      </c>
      <c r="B34" t="str" cm="1">
        <f t="array" ref="B34">CONCATENATE("Pasajero ",A34," de clase ",_xlfn.XLOOKUP(A34,INFO_Pasajeros[Nombre],INFO_Pasajeros[Clase_Del_Pasaje])," ",IF(_xlfn.XLOOKUP(A34,INFO_Pasajeros[Nombre],INFO_Pasajeros[Sobreviviente]=1),"Sobrevivió","No Sobrevivió"))</f>
        <v>Pasajero DeWitt Bukater, Miss. Rose de clase 1 Sobrevivió</v>
      </c>
      <c r="C34" t="str" cm="1">
        <f t="array" ref="C34">IF(_xlfn.XLOOKUP('Preguntas y Respuestas'!A34,INFO_Pasajeros[Nombre],INFO_Pasajeros[Sobreviviente]=1),"Sobrevivió","No sobrevivió")</f>
        <v>Sobrevivió</v>
      </c>
      <c r="D34">
        <f>_xlfn.XLOOKUP(A34,INFO_Pasajeros[Nombre],INFO_Pasajeros[Clase_Del_Pasaje])</f>
        <v>1</v>
      </c>
    </row>
    <row r="39" spans="1:7" x14ac:dyDescent="0.25">
      <c r="A39" s="2" t="s">
        <v>2259</v>
      </c>
      <c r="F39" s="39" t="s">
        <v>2310</v>
      </c>
    </row>
    <row r="40" spans="1:7" x14ac:dyDescent="0.25">
      <c r="F40" t="s">
        <v>2311</v>
      </c>
    </row>
    <row r="41" spans="1:7" x14ac:dyDescent="0.25">
      <c r="A41" s="41" t="s">
        <v>2260</v>
      </c>
      <c r="B41" s="39"/>
      <c r="F41" t="s">
        <v>2312</v>
      </c>
    </row>
    <row r="42" spans="1:7" x14ac:dyDescent="0.25">
      <c r="F42" t="s">
        <v>2313</v>
      </c>
    </row>
    <row r="43" spans="1:7" x14ac:dyDescent="0.25">
      <c r="A43" s="39" t="s">
        <v>2272</v>
      </c>
      <c r="B43" s="39"/>
      <c r="F43" t="s">
        <v>2314</v>
      </c>
    </row>
    <row r="44" spans="1:7" x14ac:dyDescent="0.25">
      <c r="G44" t="s">
        <v>2315</v>
      </c>
    </row>
    <row r="45" spans="1:7" x14ac:dyDescent="0.25">
      <c r="A45" s="2" t="s">
        <v>2261</v>
      </c>
    </row>
    <row r="46" spans="1:7" x14ac:dyDescent="0.25">
      <c r="A46" s="2" t="s">
        <v>2263</v>
      </c>
      <c r="B46" t="s">
        <v>2264</v>
      </c>
      <c r="C46" t="s">
        <v>2265</v>
      </c>
      <c r="D46" t="s">
        <v>2266</v>
      </c>
    </row>
    <row r="47" spans="1:7" x14ac:dyDescent="0.25">
      <c r="A47" s="2" t="s">
        <v>2258</v>
      </c>
      <c r="B47">
        <f>COUNTIF(INFO_Pasajeros[Clase_Del_Pasaje],"1")</f>
        <v>216</v>
      </c>
      <c r="C47">
        <f>COUNTIF(INFO_Pasajeros[Clase_Del_Pasaje],2)</f>
        <v>184</v>
      </c>
      <c r="D47">
        <f>COUNTIF(INFO_Pasajeros[Clase_Del_Pasaje],3)</f>
        <v>491</v>
      </c>
    </row>
    <row r="48" spans="1:7" x14ac:dyDescent="0.25">
      <c r="A48" s="2" t="s">
        <v>2262</v>
      </c>
    </row>
    <row r="49" spans="1:9" x14ac:dyDescent="0.25">
      <c r="A49" s="2" t="s">
        <v>2267</v>
      </c>
      <c r="B49">
        <f>COUNTIFS(INFO_Pasajeros[Clase_Del_Pasaje],1,INFO_Pasajeros[Sobreviviente],1)</f>
        <v>136</v>
      </c>
      <c r="C49">
        <f>COUNTIFS(INFO_Pasajeros[Clase_Del_Pasaje],2,INFO_Pasajeros[Sobreviviente],1)</f>
        <v>87</v>
      </c>
      <c r="D49">
        <f>COUNTIFS(INFO_Pasajeros[Clase_Del_Pasaje],3,INFO_Pasajeros[Sobreviviente],1)</f>
        <v>119</v>
      </c>
    </row>
    <row r="50" spans="1:9" x14ac:dyDescent="0.25">
      <c r="A50" s="2" t="s">
        <v>2271</v>
      </c>
    </row>
    <row r="51" spans="1:9" x14ac:dyDescent="0.25">
      <c r="A51" s="2" t="s">
        <v>2270</v>
      </c>
      <c r="B51" s="11">
        <f>B49/B47</f>
        <v>0.62962962962962965</v>
      </c>
      <c r="C51" s="11">
        <f>C49/C47</f>
        <v>0.47282608695652173</v>
      </c>
      <c r="D51" s="11">
        <f>D49/D47</f>
        <v>0.24236252545824846</v>
      </c>
    </row>
    <row r="54" spans="1:9" x14ac:dyDescent="0.25">
      <c r="A54" s="41" t="s">
        <v>2276</v>
      </c>
      <c r="B54" s="39"/>
      <c r="F54" s="39" t="s">
        <v>2316</v>
      </c>
    </row>
    <row r="55" spans="1:9" x14ac:dyDescent="0.25">
      <c r="G55" t="s">
        <v>2317</v>
      </c>
    </row>
    <row r="56" spans="1:9" x14ac:dyDescent="0.25">
      <c r="G56" t="s">
        <v>2318</v>
      </c>
    </row>
    <row r="57" spans="1:9" x14ac:dyDescent="0.25">
      <c r="G57" t="s">
        <v>2319</v>
      </c>
    </row>
    <row r="58" spans="1:9" x14ac:dyDescent="0.25">
      <c r="A58" s="2" t="s">
        <v>2277</v>
      </c>
      <c r="B58" t="s">
        <v>2278</v>
      </c>
      <c r="C58" t="s">
        <v>2279</v>
      </c>
      <c r="D58" s="2" t="s">
        <v>2267</v>
      </c>
      <c r="E58" t="s">
        <v>2278</v>
      </c>
      <c r="F58" t="s">
        <v>2279</v>
      </c>
      <c r="G58" s="2" t="s">
        <v>2280</v>
      </c>
      <c r="H58" t="s">
        <v>2278</v>
      </c>
      <c r="I58" t="s">
        <v>2279</v>
      </c>
    </row>
    <row r="59" spans="1:9" x14ac:dyDescent="0.25">
      <c r="A59" s="12" t="s">
        <v>2264</v>
      </c>
      <c r="B59">
        <f>COUNTIFS(INFO_Pasajeros[Sexo],"female",INFO_Pasajeros[Clase_Del_Pasaje],1)</f>
        <v>94</v>
      </c>
      <c r="C59">
        <f>COUNTIFS(INFO_Pasajeros[Sexo],"male",INFO_Pasajeros[Clase_Del_Pasaje],1)</f>
        <v>122</v>
      </c>
      <c r="E59">
        <f>COUNTIFS(INFO_Pasajeros[Sexo],"female",INFO_Pasajeros[Clase_Del_Pasaje],1,INFO_Pasajeros[Sobreviviente],1)</f>
        <v>91</v>
      </c>
      <c r="F59">
        <f>COUNTIFS(INFO_Pasajeros[Sexo],"male",INFO_Pasajeros[Clase_Del_Pasaje],1,INFO_Pasajeros[Sobreviviente],1)</f>
        <v>45</v>
      </c>
      <c r="H59" s="11">
        <f t="shared" ref="H59:I61" si="2">E59/B59</f>
        <v>0.96808510638297873</v>
      </c>
      <c r="I59" s="11">
        <f t="shared" si="2"/>
        <v>0.36885245901639346</v>
      </c>
    </row>
    <row r="60" spans="1:9" x14ac:dyDescent="0.25">
      <c r="A60" s="12" t="s">
        <v>2265</v>
      </c>
      <c r="B60">
        <f>COUNTIFS(INFO_Pasajeros[Sexo],"female",INFO_Pasajeros[Clase_Del_Pasaje],2)</f>
        <v>76</v>
      </c>
      <c r="C60">
        <f>COUNTIFS(INFO_Pasajeros[Sexo],"male",INFO_Pasajeros[Clase_Del_Pasaje],2)</f>
        <v>108</v>
      </c>
      <c r="E60">
        <f>COUNTIFS(INFO_Pasajeros[Sexo],"female",INFO_Pasajeros[Clase_Del_Pasaje],2,INFO_Pasajeros[Sobreviviente],1)</f>
        <v>70</v>
      </c>
      <c r="F60">
        <f>COUNTIFS(INFO_Pasajeros[Sexo],"male",INFO_Pasajeros[Clase_Del_Pasaje],2,INFO_Pasajeros[Sobreviviente],1)</f>
        <v>17</v>
      </c>
      <c r="H60" s="11">
        <f t="shared" si="2"/>
        <v>0.92105263157894735</v>
      </c>
      <c r="I60" s="11">
        <f t="shared" si="2"/>
        <v>0.15740740740740741</v>
      </c>
    </row>
    <row r="61" spans="1:9" x14ac:dyDescent="0.25">
      <c r="A61" s="12" t="s">
        <v>2266</v>
      </c>
      <c r="B61">
        <f>COUNTIFS(INFO_Pasajeros[Sexo],"female",INFO_Pasajeros[Clase_Del_Pasaje],3)</f>
        <v>144</v>
      </c>
      <c r="C61">
        <f>COUNTIFS(INFO_Pasajeros[Sexo],"male",INFO_Pasajeros[Clase_Del_Pasaje],3)</f>
        <v>347</v>
      </c>
      <c r="E61">
        <f>COUNTIFS(INFO_Pasajeros[Sexo],"female",INFO_Pasajeros[Clase_Del_Pasaje],3,INFO_Pasajeros[Sobreviviente],1)</f>
        <v>72</v>
      </c>
      <c r="F61">
        <f>COUNTIFS(INFO_Pasajeros[Sexo],"male",INFO_Pasajeros[Clase_Del_Pasaje],3,INFO_Pasajeros[Sobreviviente],1)</f>
        <v>47</v>
      </c>
      <c r="H61" s="11">
        <f t="shared" si="2"/>
        <v>0.5</v>
      </c>
      <c r="I61" s="11">
        <f t="shared" si="2"/>
        <v>0.13544668587896252</v>
      </c>
    </row>
    <row r="63" spans="1:9" x14ac:dyDescent="0.25">
      <c r="A63" s="12" t="s">
        <v>2242</v>
      </c>
      <c r="B63">
        <f>SUM(B59,B60,B61)</f>
        <v>314</v>
      </c>
      <c r="C63">
        <f>SUM(C59,C60,C61)</f>
        <v>577</v>
      </c>
      <c r="E63">
        <f>SUM(E59,E60,E61)</f>
        <v>233</v>
      </c>
      <c r="F63">
        <f>SUM(F59,F60,F61)</f>
        <v>109</v>
      </c>
      <c r="H63" s="11">
        <f>E63/B63</f>
        <v>0.7420382165605095</v>
      </c>
      <c r="I63" s="11">
        <f>F63/C63</f>
        <v>0.18890814558058924</v>
      </c>
    </row>
    <row r="66" spans="1:6" x14ac:dyDescent="0.25">
      <c r="A66" s="41" t="s">
        <v>2293</v>
      </c>
      <c r="B66" s="39"/>
      <c r="F66" s="39" t="s">
        <v>2320</v>
      </c>
    </row>
    <row r="67" spans="1:6" x14ac:dyDescent="0.25">
      <c r="A67" t="s">
        <v>2264</v>
      </c>
      <c r="B67" s="13">
        <f>AVERAGEIF(INFO_Pasajeros[Clase_Del_Pasaje],1,INFO_Pasajeros[Tarifa])</f>
        <v>218.4920208333335</v>
      </c>
      <c r="F67" t="s">
        <v>2321</v>
      </c>
    </row>
    <row r="68" spans="1:6" x14ac:dyDescent="0.25">
      <c r="A68" t="s">
        <v>2265</v>
      </c>
      <c r="B68" s="13">
        <f>AVERAGEIF(INFO_Pasajeros[Clase_Del_Pasaje],2,INFO_Pasajeros[Tarifa])</f>
        <v>37.447510869565228</v>
      </c>
    </row>
    <row r="69" spans="1:6" x14ac:dyDescent="0.25">
      <c r="A69" t="s">
        <v>2266</v>
      </c>
      <c r="B69" s="13">
        <f>AVERAGEIF(INFO_Pasajeros[Clase_Del_Pasaje],3,INFO_Pasajeros[Tarifa])</f>
        <v>61.04918737270868</v>
      </c>
    </row>
    <row r="73" spans="1:6" x14ac:dyDescent="0.25">
      <c r="A73" s="39" t="s">
        <v>2294</v>
      </c>
      <c r="B73" s="39"/>
      <c r="F73" s="39" t="s">
        <v>2322</v>
      </c>
    </row>
    <row r="74" spans="1:6" x14ac:dyDescent="0.25">
      <c r="A74" t="s">
        <v>2292</v>
      </c>
      <c r="B74" s="13">
        <f>_xlfn.MAXIFS(INFO_Pasajeros[Tarifa],INFO_Pasajeros[Clase_Del_Pasaje],1)</f>
        <v>910.79200000000003</v>
      </c>
      <c r="F74" t="s">
        <v>2323</v>
      </c>
    </row>
    <row r="75" spans="1:6" x14ac:dyDescent="0.25">
      <c r="A75" t="s">
        <v>2290</v>
      </c>
      <c r="B75" s="13">
        <f>_xlfn.MAXIFS(INFO_Pasajeros[Tarifa],INFO_Pasajeros[Clase_Del_Pasaje],2)</f>
        <v>415.79199999999997</v>
      </c>
    </row>
    <row r="76" spans="1:6" x14ac:dyDescent="0.25">
      <c r="A76" t="s">
        <v>2289</v>
      </c>
      <c r="B76" s="13">
        <f>_xlfn.MAXIFS(INFO_Pasajeros[Tarifa],INFO_Pasajeros[Clase_Del_Pasaje],3)</f>
        <v>564.95799999999997</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8CF0-E46B-4AEA-8A1B-5542126487CE}">
  <dimension ref="A1:AA69"/>
  <sheetViews>
    <sheetView showGridLines="0" zoomScaleNormal="100" workbookViewId="0">
      <selection activeCell="G38" sqref="G38"/>
    </sheetView>
  </sheetViews>
  <sheetFormatPr baseColWidth="10" defaultRowHeight="15" x14ac:dyDescent="0.25"/>
  <cols>
    <col min="1" max="1" width="17.85546875" bestFit="1" customWidth="1"/>
    <col min="2" max="2" width="25.7109375" bestFit="1" customWidth="1"/>
    <col min="3" max="3" width="17.7109375" bestFit="1" customWidth="1"/>
    <col min="4" max="4" width="17.42578125" bestFit="1" customWidth="1"/>
    <col min="5" max="5" width="18" bestFit="1" customWidth="1"/>
    <col min="6" max="6" width="17.85546875" bestFit="1" customWidth="1"/>
    <col min="7" max="7" width="27" bestFit="1" customWidth="1"/>
    <col min="8" max="8" width="17.85546875" bestFit="1" customWidth="1"/>
    <col min="9" max="9" width="17.42578125" bestFit="1" customWidth="1"/>
    <col min="10" max="11" width="14.5703125" bestFit="1" customWidth="1"/>
    <col min="12" max="12" width="23.5703125" bestFit="1" customWidth="1"/>
    <col min="13" max="13" width="22.85546875" bestFit="1" customWidth="1"/>
    <col min="14" max="14" width="14.5703125" bestFit="1" customWidth="1"/>
    <col min="15" max="15" width="12.5703125" bestFit="1" customWidth="1"/>
    <col min="16" max="17" width="22" bestFit="1" customWidth="1"/>
    <col min="18" max="18" width="19.5703125" bestFit="1" customWidth="1"/>
    <col min="19" max="85" width="5" bestFit="1" customWidth="1"/>
    <col min="86" max="180" width="6" bestFit="1" customWidth="1"/>
    <col min="181" max="514" width="7" bestFit="1" customWidth="1"/>
    <col min="515" max="524" width="8" bestFit="1" customWidth="1"/>
    <col min="525" max="526" width="9.42578125" bestFit="1" customWidth="1"/>
    <col min="527" max="528" width="9.7109375" bestFit="1" customWidth="1"/>
    <col min="529" max="530" width="9.28515625" bestFit="1" customWidth="1"/>
    <col min="531" max="533" width="9.85546875" bestFit="1" customWidth="1"/>
    <col min="534" max="537" width="9.28515625" bestFit="1" customWidth="1"/>
    <col min="538" max="543" width="8.28515625" bestFit="1" customWidth="1"/>
    <col min="544" max="545" width="9.85546875" bestFit="1" customWidth="1"/>
    <col min="546" max="548" width="8.85546875" bestFit="1" customWidth="1"/>
    <col min="549" max="549" width="7.85546875" bestFit="1" customWidth="1"/>
    <col min="550" max="550" width="8.42578125" bestFit="1" customWidth="1"/>
    <col min="551" max="551" width="9.140625" bestFit="1" customWidth="1"/>
    <col min="552" max="552" width="7.85546875" bestFit="1" customWidth="1"/>
    <col min="553" max="556" width="6.85546875" bestFit="1" customWidth="1"/>
    <col min="557" max="558" width="10.140625" bestFit="1" customWidth="1"/>
    <col min="559" max="559" width="9.140625" bestFit="1" customWidth="1"/>
    <col min="560" max="561" width="10.140625" bestFit="1" customWidth="1"/>
    <col min="562" max="562" width="9.140625" bestFit="1" customWidth="1"/>
    <col min="563" max="573" width="10.140625" bestFit="1" customWidth="1"/>
    <col min="574" max="575" width="9.140625" bestFit="1" customWidth="1"/>
    <col min="576" max="576" width="17.42578125" bestFit="1" customWidth="1"/>
    <col min="577" max="577" width="8" bestFit="1" customWidth="1"/>
    <col min="578" max="579" width="8.5703125" bestFit="1" customWidth="1"/>
    <col min="580" max="580" width="10" bestFit="1" customWidth="1"/>
    <col min="581" max="583" width="12" bestFit="1" customWidth="1"/>
    <col min="584" max="584" width="9.42578125" bestFit="1" customWidth="1"/>
    <col min="585" max="585" width="5.140625" bestFit="1" customWidth="1"/>
    <col min="586" max="586" width="9.5703125" bestFit="1" customWidth="1"/>
    <col min="587" max="625" width="9" bestFit="1" customWidth="1"/>
    <col min="626" max="627" width="7.7109375" bestFit="1" customWidth="1"/>
    <col min="628" max="628" width="14.140625" bestFit="1" customWidth="1"/>
    <col min="629" max="629" width="15.140625" bestFit="1" customWidth="1"/>
    <col min="630" max="630" width="10.28515625" bestFit="1" customWidth="1"/>
    <col min="631" max="631" width="12.28515625" bestFit="1" customWidth="1"/>
    <col min="632" max="632" width="12.140625" bestFit="1" customWidth="1"/>
    <col min="633" max="633" width="10.85546875" bestFit="1" customWidth="1"/>
    <col min="634" max="634" width="8.85546875" bestFit="1" customWidth="1"/>
    <col min="635" max="635" width="11.5703125" bestFit="1" customWidth="1"/>
    <col min="636" max="636" width="8" bestFit="1" customWidth="1"/>
    <col min="637" max="637" width="12.28515625" bestFit="1" customWidth="1"/>
    <col min="638" max="638" width="11.28515625" bestFit="1" customWidth="1"/>
    <col min="639" max="639" width="15.5703125" bestFit="1" customWidth="1"/>
    <col min="640" max="640" width="13.140625" bestFit="1" customWidth="1"/>
    <col min="641" max="644" width="14" bestFit="1" customWidth="1"/>
    <col min="645" max="645" width="13.140625" bestFit="1" customWidth="1"/>
    <col min="646" max="646" width="14" bestFit="1" customWidth="1"/>
    <col min="647" max="647" width="12" bestFit="1" customWidth="1"/>
    <col min="648" max="648" width="11.140625" bestFit="1" customWidth="1"/>
    <col min="649" max="654" width="19.7109375" bestFit="1" customWidth="1"/>
    <col min="655" max="656" width="18.7109375" bestFit="1" customWidth="1"/>
    <col min="657" max="658" width="18.140625" bestFit="1" customWidth="1"/>
    <col min="659" max="660" width="18.5703125" bestFit="1" customWidth="1"/>
    <col min="661" max="665" width="17.5703125" bestFit="1" customWidth="1"/>
    <col min="666" max="677" width="17.7109375" bestFit="1" customWidth="1"/>
    <col min="678" max="682" width="17.28515625" bestFit="1" customWidth="1"/>
    <col min="683" max="683" width="10.42578125" bestFit="1" customWidth="1"/>
    <col min="684" max="685" width="11.5703125" bestFit="1" customWidth="1"/>
    <col min="686" max="688" width="10.5703125" bestFit="1" customWidth="1"/>
    <col min="689" max="689" width="11.28515625" bestFit="1" customWidth="1"/>
    <col min="690" max="690" width="10.42578125" bestFit="1" customWidth="1"/>
    <col min="691" max="691" width="10.28515625" bestFit="1" customWidth="1"/>
    <col min="692" max="692" width="12.5703125" bestFit="1" customWidth="1"/>
  </cols>
  <sheetData>
    <row r="1" spans="1:27"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row>
    <row r="2" spans="1:27"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row>
    <row r="3" spans="1:27" x14ac:dyDescent="0.25">
      <c r="A3" s="2" t="s">
        <v>2225</v>
      </c>
      <c r="D3" s="35" t="s">
        <v>2269</v>
      </c>
      <c r="E3" s="36" t="s">
        <v>2268</v>
      </c>
      <c r="F3" s="14" t="s">
        <v>2335</v>
      </c>
      <c r="G3" t="s">
        <v>2363</v>
      </c>
      <c r="I3" s="14" t="s">
        <v>2277</v>
      </c>
      <c r="J3" t="s">
        <v>2331</v>
      </c>
      <c r="L3" s="14" t="s">
        <v>2377</v>
      </c>
      <c r="M3" s="14" t="s">
        <v>2379</v>
      </c>
    </row>
    <row r="4" spans="1:27" x14ac:dyDescent="0.25">
      <c r="A4" s="38" t="s">
        <v>2224</v>
      </c>
      <c r="B4" s="38" t="s">
        <v>2223</v>
      </c>
      <c r="D4">
        <f>COUNT(INFO_Pasajeros[ID_Pasajero])</f>
        <v>891</v>
      </c>
      <c r="E4" s="5">
        <v>109</v>
      </c>
      <c r="F4" s="16">
        <v>1</v>
      </c>
      <c r="G4">
        <v>122</v>
      </c>
      <c r="I4" s="16">
        <v>1</v>
      </c>
      <c r="J4" s="3">
        <v>45</v>
      </c>
      <c r="L4" s="14" t="s">
        <v>2220</v>
      </c>
      <c r="M4" s="3" t="s">
        <v>2380</v>
      </c>
      <c r="N4" s="3" t="s">
        <v>2331</v>
      </c>
      <c r="O4" s="3" t="s">
        <v>2328</v>
      </c>
    </row>
    <row r="5" spans="1:27" x14ac:dyDescent="0.25">
      <c r="A5" s="38" t="s">
        <v>902</v>
      </c>
      <c r="B5" s="38" t="s">
        <v>905</v>
      </c>
      <c r="C5" s="2"/>
      <c r="D5">
        <f>COUNTIF(INFO_Pasajeros[Sexo],"male")</f>
        <v>577</v>
      </c>
      <c r="E5">
        <f>'Preguntas y Respuestas'!C5</f>
        <v>109</v>
      </c>
      <c r="F5" s="16">
        <v>2</v>
      </c>
      <c r="G5">
        <v>108</v>
      </c>
      <c r="I5" s="16">
        <v>2</v>
      </c>
      <c r="J5" s="3">
        <v>17</v>
      </c>
      <c r="L5" s="15" t="s">
        <v>910</v>
      </c>
      <c r="M5">
        <v>86</v>
      </c>
      <c r="N5">
        <v>22</v>
      </c>
      <c r="O5">
        <v>108</v>
      </c>
    </row>
    <row r="6" spans="1:27" x14ac:dyDescent="0.25">
      <c r="A6" s="38" t="s">
        <v>907</v>
      </c>
      <c r="B6" s="38" t="s">
        <v>910</v>
      </c>
      <c r="C6" s="2"/>
      <c r="D6">
        <f>COUNTIF(INFO_Pasajeros[Sexo],"female")</f>
        <v>314</v>
      </c>
      <c r="E6">
        <f>'Preguntas y Respuestas'!C6</f>
        <v>233</v>
      </c>
      <c r="F6" s="16">
        <v>3</v>
      </c>
      <c r="G6">
        <v>347</v>
      </c>
      <c r="I6" s="16">
        <v>3</v>
      </c>
      <c r="J6" s="3">
        <v>47</v>
      </c>
      <c r="L6" s="15" t="s">
        <v>919</v>
      </c>
      <c r="M6">
        <v>40</v>
      </c>
      <c r="N6">
        <v>8</v>
      </c>
      <c r="O6">
        <v>48</v>
      </c>
    </row>
    <row r="7" spans="1:27" x14ac:dyDescent="0.25">
      <c r="B7" s="38" t="s">
        <v>919</v>
      </c>
      <c r="F7" s="16" t="s">
        <v>2328</v>
      </c>
      <c r="G7">
        <v>577</v>
      </c>
      <c r="I7" s="16" t="s">
        <v>2328</v>
      </c>
      <c r="J7" s="3">
        <v>109</v>
      </c>
      <c r="L7" s="15" t="s">
        <v>905</v>
      </c>
      <c r="M7">
        <v>342</v>
      </c>
      <c r="N7">
        <v>79</v>
      </c>
      <c r="O7">
        <v>421</v>
      </c>
    </row>
    <row r="8" spans="1:27" x14ac:dyDescent="0.25">
      <c r="L8" s="15" t="s">
        <v>2328</v>
      </c>
      <c r="M8">
        <v>468</v>
      </c>
      <c r="N8">
        <v>109</v>
      </c>
      <c r="O8">
        <v>577</v>
      </c>
    </row>
    <row r="9" spans="1:27" x14ac:dyDescent="0.25">
      <c r="A9" s="2" t="s">
        <v>2283</v>
      </c>
    </row>
    <row r="10" spans="1:27" x14ac:dyDescent="0.25">
      <c r="A10" t="s">
        <v>2250</v>
      </c>
      <c r="H10" s="3"/>
    </row>
    <row r="11" spans="1:27" x14ac:dyDescent="0.25">
      <c r="A11" t="s">
        <v>2359</v>
      </c>
      <c r="B11" t="s">
        <v>2360</v>
      </c>
      <c r="C11" t="s">
        <v>2358</v>
      </c>
      <c r="E11" t="s">
        <v>2334</v>
      </c>
      <c r="F11" t="s">
        <v>2361</v>
      </c>
    </row>
    <row r="12" spans="1:27" x14ac:dyDescent="0.25">
      <c r="A12" t="s">
        <v>2264</v>
      </c>
      <c r="B12">
        <f>_xlfn.MAXIFS(INFO_Pasajeros[Tarifa],INFO_Pasajeros[Clase_Del_Pasaje],1)</f>
        <v>910.79200000000003</v>
      </c>
      <c r="C12" cm="1">
        <f t="array" ref="C12">MEDIAN(_xlfn._xlws.FILTER(INFO_Pasajeros[Tarifa],INFO_Pasajeros[Clase_Del_Pasaje]=1))</f>
        <v>107.66249999999999</v>
      </c>
      <c r="E12" t="s">
        <v>2291</v>
      </c>
      <c r="F12">
        <f>COUNTIF(INFO_Pasajeros[Clase_Del_Pasaje],1)</f>
        <v>216</v>
      </c>
      <c r="L12" s="14" t="s">
        <v>2335</v>
      </c>
      <c r="M12" t="s">
        <v>2333</v>
      </c>
    </row>
    <row r="13" spans="1:27" x14ac:dyDescent="0.25">
      <c r="A13" t="s">
        <v>2265</v>
      </c>
      <c r="B13">
        <f>_xlfn.MAXIFS(INFO_Pasajeros[Tarifa],INFO_Pasajeros[Clase_Del_Pasaje],2)</f>
        <v>415.79199999999997</v>
      </c>
      <c r="C13" cm="1">
        <f t="array" ref="C13">MEDIAN(_xlfn._xlws.FILTER(INFO_Pasajeros[Tarifa],INFO_Pasajeros[Clase_Del_Pasaje]=2))</f>
        <v>15.025</v>
      </c>
      <c r="E13" t="s">
        <v>2265</v>
      </c>
      <c r="F13">
        <f>COUNTIF(INFO_Pasajeros[Clase_Del_Pasaje],2)</f>
        <v>184</v>
      </c>
      <c r="L13" s="15" t="s">
        <v>2336</v>
      </c>
    </row>
    <row r="14" spans="1:27" x14ac:dyDescent="0.25">
      <c r="A14" t="s">
        <v>2266</v>
      </c>
      <c r="B14">
        <f>_xlfn.MAXIFS(INFO_Pasajeros[Tarifa],INFO_Pasajeros[Clase_Del_Pasaje],3)</f>
        <v>564.95799999999997</v>
      </c>
      <c r="C14">
        <f>MEDIAN(_xlfn._xlws.FILTER(INFO_Pasajeros[Tarifa],INFO_Pasajeros[Clase_Del_Pasaje],3))</f>
        <v>29.125</v>
      </c>
      <c r="E14" t="s">
        <v>2266</v>
      </c>
      <c r="F14">
        <f>COUNTIF(INFO_Pasajeros[Clase_Del_Pasaje],3)</f>
        <v>491</v>
      </c>
      <c r="L14" s="17">
        <v>1</v>
      </c>
      <c r="M14">
        <v>94</v>
      </c>
    </row>
    <row r="15" spans="1:27" x14ac:dyDescent="0.25">
      <c r="L15" s="17">
        <v>2</v>
      </c>
      <c r="M15">
        <v>58</v>
      </c>
    </row>
    <row r="16" spans="1:27" x14ac:dyDescent="0.25">
      <c r="G16" s="14" t="s">
        <v>2329</v>
      </c>
      <c r="H16" s="14" t="s">
        <v>2331</v>
      </c>
      <c r="L16" s="17">
        <v>3</v>
      </c>
      <c r="M16">
        <v>84</v>
      </c>
    </row>
    <row r="17" spans="1:13" x14ac:dyDescent="0.25">
      <c r="G17" s="14" t="s">
        <v>2214</v>
      </c>
      <c r="H17" s="3" t="s">
        <v>2381</v>
      </c>
      <c r="I17" s="3" t="s">
        <v>2382</v>
      </c>
      <c r="J17" s="3" t="s">
        <v>2328</v>
      </c>
      <c r="L17" s="15" t="s">
        <v>2337</v>
      </c>
    </row>
    <row r="18" spans="1:13" x14ac:dyDescent="0.25">
      <c r="G18" s="15" t="s">
        <v>2365</v>
      </c>
      <c r="H18">
        <v>39</v>
      </c>
      <c r="I18">
        <v>12</v>
      </c>
      <c r="J18">
        <v>51</v>
      </c>
      <c r="L18" s="17">
        <v>1</v>
      </c>
      <c r="M18">
        <v>15</v>
      </c>
    </row>
    <row r="19" spans="1:13" x14ac:dyDescent="0.25">
      <c r="G19" s="15" t="s">
        <v>2366</v>
      </c>
      <c r="H19">
        <v>59</v>
      </c>
      <c r="I19">
        <v>15</v>
      </c>
      <c r="J19">
        <v>74</v>
      </c>
      <c r="L19" s="17">
        <v>2</v>
      </c>
      <c r="M19">
        <v>10</v>
      </c>
    </row>
    <row r="20" spans="1:13" x14ac:dyDescent="0.25">
      <c r="G20" s="15" t="s">
        <v>2367</v>
      </c>
      <c r="H20">
        <v>135</v>
      </c>
      <c r="I20">
        <v>29</v>
      </c>
      <c r="J20">
        <v>164</v>
      </c>
      <c r="L20" s="17">
        <v>3</v>
      </c>
      <c r="M20">
        <v>14</v>
      </c>
    </row>
    <row r="21" spans="1:13" x14ac:dyDescent="0.25">
      <c r="G21" s="15" t="s">
        <v>2368</v>
      </c>
      <c r="H21">
        <v>98</v>
      </c>
      <c r="I21">
        <v>23</v>
      </c>
      <c r="J21">
        <v>121</v>
      </c>
      <c r="L21" s="15" t="s">
        <v>2338</v>
      </c>
    </row>
    <row r="22" spans="1:13" x14ac:dyDescent="0.25">
      <c r="A22" s="14" t="s">
        <v>2335</v>
      </c>
      <c r="B22" t="s">
        <v>2356</v>
      </c>
      <c r="D22" s="14" t="s">
        <v>2334</v>
      </c>
      <c r="E22" t="s">
        <v>2357</v>
      </c>
      <c r="G22" s="15" t="s">
        <v>2369</v>
      </c>
      <c r="H22">
        <v>59</v>
      </c>
      <c r="I22">
        <v>10</v>
      </c>
      <c r="J22">
        <v>69</v>
      </c>
      <c r="L22" s="17">
        <v>1</v>
      </c>
      <c r="M22">
        <v>11</v>
      </c>
    </row>
    <row r="23" spans="1:13" x14ac:dyDescent="0.25">
      <c r="A23" s="15" t="s">
        <v>2279</v>
      </c>
      <c r="B23" s="34">
        <v>0.18890814558058924</v>
      </c>
      <c r="D23" s="16">
        <v>1</v>
      </c>
      <c r="E23" s="37">
        <v>184.12961311475411</v>
      </c>
      <c r="G23" s="15" t="s">
        <v>2370</v>
      </c>
      <c r="H23">
        <v>39</v>
      </c>
      <c r="I23">
        <v>11</v>
      </c>
      <c r="J23">
        <v>50</v>
      </c>
      <c r="L23" s="17">
        <v>2</v>
      </c>
      <c r="M23">
        <v>7</v>
      </c>
    </row>
    <row r="24" spans="1:13" x14ac:dyDescent="0.25">
      <c r="A24" s="15" t="s">
        <v>2328</v>
      </c>
      <c r="B24" s="34">
        <v>0.18890814558058924</v>
      </c>
      <c r="D24" s="16">
        <v>2</v>
      </c>
      <c r="E24" s="37">
        <v>36.599074074074075</v>
      </c>
      <c r="G24" s="15" t="s">
        <v>2371</v>
      </c>
      <c r="H24">
        <v>22</v>
      </c>
      <c r="I24">
        <v>6</v>
      </c>
      <c r="J24">
        <v>28</v>
      </c>
      <c r="L24" s="17">
        <v>3</v>
      </c>
      <c r="M24">
        <v>7</v>
      </c>
    </row>
    <row r="25" spans="1:13" x14ac:dyDescent="0.25">
      <c r="D25" s="16">
        <v>3</v>
      </c>
      <c r="E25" s="37">
        <v>59.090389048991298</v>
      </c>
      <c r="G25" s="15" t="s">
        <v>2372</v>
      </c>
      <c r="H25">
        <v>17</v>
      </c>
      <c r="I25">
        <v>3</v>
      </c>
      <c r="J25">
        <v>20</v>
      </c>
      <c r="L25" s="15" t="s">
        <v>2339</v>
      </c>
    </row>
    <row r="26" spans="1:13" x14ac:dyDescent="0.25">
      <c r="D26" s="16" t="s">
        <v>2362</v>
      </c>
      <c r="E26" s="37">
        <v>81.318679029462899</v>
      </c>
      <c r="G26" s="15" t="s">
        <v>2328</v>
      </c>
      <c r="H26">
        <v>468</v>
      </c>
      <c r="I26">
        <v>109</v>
      </c>
      <c r="J26">
        <v>577</v>
      </c>
      <c r="L26" s="17">
        <v>1</v>
      </c>
      <c r="M26">
        <v>16</v>
      </c>
    </row>
    <row r="27" spans="1:13" x14ac:dyDescent="0.25">
      <c r="L27" s="17">
        <v>2</v>
      </c>
      <c r="M27">
        <v>12</v>
      </c>
    </row>
    <row r="28" spans="1:13" x14ac:dyDescent="0.25">
      <c r="L28" s="17">
        <v>3</v>
      </c>
      <c r="M28">
        <v>14</v>
      </c>
    </row>
    <row r="29" spans="1:13" x14ac:dyDescent="0.25">
      <c r="A29" t="s">
        <v>2378</v>
      </c>
      <c r="L29" s="15" t="s">
        <v>2328</v>
      </c>
      <c r="M29">
        <v>342</v>
      </c>
    </row>
    <row r="30" spans="1:13" x14ac:dyDescent="0.25">
      <c r="A30">
        <f>COUNTIF(INFO_Pasajeros[Sobreviviente],0)</f>
        <v>549</v>
      </c>
    </row>
    <row r="52" spans="1:3" x14ac:dyDescent="0.25">
      <c r="A52" s="25"/>
      <c r="B52" s="26"/>
      <c r="C52" s="27"/>
    </row>
    <row r="53" spans="1:3" x14ac:dyDescent="0.25">
      <c r="A53" s="28"/>
      <c r="B53" s="29"/>
      <c r="C53" s="30"/>
    </row>
    <row r="54" spans="1:3" x14ac:dyDescent="0.25">
      <c r="A54" s="28"/>
      <c r="B54" s="29"/>
      <c r="C54" s="30"/>
    </row>
    <row r="55" spans="1:3" x14ac:dyDescent="0.25">
      <c r="A55" s="28"/>
      <c r="B55" s="29"/>
      <c r="C55" s="30"/>
    </row>
    <row r="56" spans="1:3" x14ac:dyDescent="0.25">
      <c r="A56" s="28"/>
      <c r="B56" s="29"/>
      <c r="C56" s="30"/>
    </row>
    <row r="57" spans="1:3" x14ac:dyDescent="0.25">
      <c r="A57" s="28"/>
      <c r="B57" s="29"/>
      <c r="C57" s="30"/>
    </row>
    <row r="58" spans="1:3" x14ac:dyDescent="0.25">
      <c r="A58" s="28"/>
      <c r="B58" s="29"/>
      <c r="C58" s="30"/>
    </row>
    <row r="59" spans="1:3" x14ac:dyDescent="0.25">
      <c r="A59" s="28"/>
      <c r="B59" s="29"/>
      <c r="C59" s="30"/>
    </row>
    <row r="60" spans="1:3" x14ac:dyDescent="0.25">
      <c r="A60" s="28"/>
      <c r="B60" s="29"/>
      <c r="C60" s="30"/>
    </row>
    <row r="61" spans="1:3" x14ac:dyDescent="0.25">
      <c r="A61" s="28"/>
      <c r="B61" s="29"/>
      <c r="C61" s="30"/>
    </row>
    <row r="62" spans="1:3" x14ac:dyDescent="0.25">
      <c r="A62" s="28"/>
      <c r="B62" s="29"/>
      <c r="C62" s="30"/>
    </row>
    <row r="63" spans="1:3" x14ac:dyDescent="0.25">
      <c r="A63" s="28"/>
      <c r="B63" s="29"/>
      <c r="C63" s="30"/>
    </row>
    <row r="64" spans="1:3" x14ac:dyDescent="0.25">
      <c r="A64" s="28"/>
      <c r="B64" s="29"/>
      <c r="C64" s="30"/>
    </row>
    <row r="65" spans="1:3" x14ac:dyDescent="0.25">
      <c r="A65" s="28"/>
      <c r="B65" s="29"/>
      <c r="C65" s="30"/>
    </row>
    <row r="66" spans="1:3" x14ac:dyDescent="0.25">
      <c r="A66" s="28"/>
      <c r="B66" s="29"/>
      <c r="C66" s="30"/>
    </row>
    <row r="67" spans="1:3" x14ac:dyDescent="0.25">
      <c r="A67" s="28"/>
      <c r="B67" s="29"/>
      <c r="C67" s="30"/>
    </row>
    <row r="68" spans="1:3" x14ac:dyDescent="0.25">
      <c r="A68" s="28"/>
      <c r="B68" s="29"/>
      <c r="C68" s="30"/>
    </row>
    <row r="69" spans="1:3" x14ac:dyDescent="0.25">
      <c r="A69" s="31"/>
      <c r="B69" s="32"/>
      <c r="C69" s="33"/>
    </row>
  </sheetData>
  <pageMargins left="0.7" right="0.7" top="0.75" bottom="0.75" header="0.3" footer="0.3"/>
  <pageSetup paperSize="9" orientation="portrait" r:id="rId10"/>
  <drawing r:id="rId11"/>
  <tableParts count="3">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E713-4741-44E5-8CE5-EDCAF9C95506}">
  <dimension ref="A1:F892"/>
  <sheetViews>
    <sheetView showGridLines="0" workbookViewId="0">
      <selection activeCell="D5" sqref="D5"/>
    </sheetView>
  </sheetViews>
  <sheetFormatPr baseColWidth="10" defaultRowHeight="15" x14ac:dyDescent="0.25"/>
  <cols>
    <col min="1" max="1" width="19.140625" style="13" bestFit="1" customWidth="1"/>
    <col min="2" max="2" width="17.5703125" bestFit="1" customWidth="1"/>
    <col min="3" max="3" width="17.140625" bestFit="1" customWidth="1"/>
    <col min="4" max="4" width="20.5703125" customWidth="1"/>
    <col min="9" max="9" width="19.5703125" bestFit="1" customWidth="1"/>
  </cols>
  <sheetData>
    <row r="1" spans="1:6" x14ac:dyDescent="0.25">
      <c r="A1" s="13" t="s">
        <v>2286</v>
      </c>
      <c r="B1" t="s">
        <v>2285</v>
      </c>
      <c r="C1" t="s">
        <v>2284</v>
      </c>
      <c r="D1" t="s">
        <v>898</v>
      </c>
    </row>
    <row r="2" spans="1:6" x14ac:dyDescent="0.25">
      <c r="A2" s="13">
        <f>IF(Tabla3[[#This Row],[Fare correción 2]]&gt;=1000,Tabla3[[#This Row],[Fare correción 2]]/10,Tabla3[[#This Row],[Fare correción 2]])</f>
        <v>7.25</v>
      </c>
      <c r="B2">
        <f>IF(Tabla3[[#This Row],[Fare corrección]]&gt;1000,Tabla3[[#This Row],[Fare corrección]]/1000,Tabla3[[#This Row],[Fare corrección]])</f>
        <v>7.25</v>
      </c>
      <c r="C2">
        <f>IF(ISNUMBER(Tabla3[[#This Row],[Fare]]),Tabla3[[#This Row],[Fare]],VALUE(SUBSTITUTE(Tabla3[[#This Row],[Fare]],".",",")))</f>
        <v>7.25</v>
      </c>
      <c r="D2" t="s">
        <v>904</v>
      </c>
    </row>
    <row r="3" spans="1:6" x14ac:dyDescent="0.25">
      <c r="A3" s="13">
        <f>IF(Tabla3[[#This Row],[Fare correción 2]]&gt;=1000,Tabla3[[#This Row],[Fare correción 2]]/10,Tabla3[[#This Row],[Fare correción 2]])</f>
        <v>712.83299999999997</v>
      </c>
      <c r="B3">
        <f>IF(Tabla3[[#This Row],[Fare corrección]]&gt;1000,Tabla3[[#This Row],[Fare corrección]]/1000,Tabla3[[#This Row],[Fare corrección]])</f>
        <v>712.83299999999997</v>
      </c>
      <c r="C3" s="1">
        <f>IF(ISNUMBER(Tabla3[[#This Row],[Fare]]),Tabla3[[#This Row],[Fare]],VALUE(SUBSTITUTE(Tabla3[[#This Row],[Fare]],".",",")))</f>
        <v>712833</v>
      </c>
      <c r="D3" s="1">
        <v>712833</v>
      </c>
      <c r="E3" t="s">
        <v>2287</v>
      </c>
      <c r="F3">
        <f>MAX(Tabla3[Fare correción 2])</f>
        <v>5123.2920000000004</v>
      </c>
    </row>
    <row r="4" spans="1:6" x14ac:dyDescent="0.25">
      <c r="A4" s="13">
        <f>IF(Tabla3[[#This Row],[Fare correción 2]]&gt;=1000,Tabla3[[#This Row],[Fare correción 2]]/10,Tabla3[[#This Row],[Fare correción 2]])</f>
        <v>7.9249999999999998</v>
      </c>
      <c r="B4">
        <f>IF(Tabla3[[#This Row],[Fare corrección]]&gt;1000,Tabla3[[#This Row],[Fare corrección]]/1000,Tabla3[[#This Row],[Fare corrección]])</f>
        <v>7.9249999999999998</v>
      </c>
      <c r="C4" s="1">
        <f>IF(ISNUMBER(Tabla3[[#This Row],[Fare]]),Tabla3[[#This Row],[Fare]],VALUE(SUBSTITUTE(Tabla3[[#This Row],[Fare]],".",",")))</f>
        <v>7925</v>
      </c>
      <c r="D4" s="1">
        <v>7925</v>
      </c>
      <c r="E4" t="s">
        <v>2288</v>
      </c>
      <c r="F4">
        <f>MAX(Tabla3[Fare correción 3])</f>
        <v>910.79200000000003</v>
      </c>
    </row>
    <row r="5" spans="1:6" x14ac:dyDescent="0.25">
      <c r="A5" s="13">
        <f>IF(Tabla3[[#This Row],[Fare correción 2]]&gt;=1000,Tabla3[[#This Row],[Fare correción 2]]/10,Tabla3[[#This Row],[Fare correción 2]])</f>
        <v>53.1</v>
      </c>
      <c r="B5">
        <f>IF(Tabla3[[#This Row],[Fare corrección]]&gt;1000,Tabla3[[#This Row],[Fare corrección]]/1000,Tabla3[[#This Row],[Fare corrección]])</f>
        <v>53.1</v>
      </c>
      <c r="C5">
        <f>IF(ISNUMBER(Tabla3[[#This Row],[Fare]]),Tabla3[[#This Row],[Fare]],VALUE(SUBSTITUTE(Tabla3[[#This Row],[Fare]],".",",")))</f>
        <v>53.1</v>
      </c>
      <c r="D5" t="s">
        <v>914</v>
      </c>
    </row>
    <row r="6" spans="1:6" x14ac:dyDescent="0.25">
      <c r="A6" s="13">
        <f>IF(Tabla3[[#This Row],[Fare correción 2]]&gt;=1000,Tabla3[[#This Row],[Fare correción 2]]/10,Tabla3[[#This Row],[Fare correción 2]])</f>
        <v>8.0500000000000007</v>
      </c>
      <c r="B6">
        <f>IF(Tabla3[[#This Row],[Fare corrección]]&gt;1000,Tabla3[[#This Row],[Fare corrección]]/1000,Tabla3[[#This Row],[Fare corrección]])</f>
        <v>8.0500000000000007</v>
      </c>
      <c r="C6">
        <f>IF(ISNUMBER(Tabla3[[#This Row],[Fare]]),Tabla3[[#This Row],[Fare]],VALUE(SUBSTITUTE(Tabla3[[#This Row],[Fare]],".",",")))</f>
        <v>8.0500000000000007</v>
      </c>
      <c r="D6" t="s">
        <v>917</v>
      </c>
    </row>
    <row r="7" spans="1:6" x14ac:dyDescent="0.25">
      <c r="A7" s="13">
        <f>IF(Tabla3[[#This Row],[Fare correción 2]]&gt;=1000,Tabla3[[#This Row],[Fare correción 2]]/10,Tabla3[[#This Row],[Fare correción 2]])</f>
        <v>84.582999999999998</v>
      </c>
      <c r="B7">
        <f>IF(Tabla3[[#This Row],[Fare corrección]]&gt;1000,Tabla3[[#This Row],[Fare corrección]]/1000,Tabla3[[#This Row],[Fare corrección]])</f>
        <v>84.582999999999998</v>
      </c>
      <c r="C7" s="1">
        <f>IF(ISNUMBER(Tabla3[[#This Row],[Fare]]),Tabla3[[#This Row],[Fare]],VALUE(SUBSTITUTE(Tabla3[[#This Row],[Fare]],".",",")))</f>
        <v>84583</v>
      </c>
      <c r="D7" s="1">
        <v>84583</v>
      </c>
    </row>
    <row r="8" spans="1:6" x14ac:dyDescent="0.25">
      <c r="A8" s="13">
        <f>IF(Tabla3[[#This Row],[Fare correción 2]]&gt;=1000,Tabla3[[#This Row],[Fare correción 2]]/10,Tabla3[[#This Row],[Fare correción 2]])</f>
        <v>518.625</v>
      </c>
      <c r="B8">
        <f>IF(Tabla3[[#This Row],[Fare corrección]]&gt;1000,Tabla3[[#This Row],[Fare corrección]]/1000,Tabla3[[#This Row],[Fare corrección]])</f>
        <v>518.625</v>
      </c>
      <c r="C8" s="1">
        <f>IF(ISNUMBER(Tabla3[[#This Row],[Fare]]),Tabla3[[#This Row],[Fare]],VALUE(SUBSTITUTE(Tabla3[[#This Row],[Fare]],".",",")))</f>
        <v>518625</v>
      </c>
      <c r="D8" s="1">
        <v>518625</v>
      </c>
    </row>
    <row r="9" spans="1:6" x14ac:dyDescent="0.25">
      <c r="A9" s="13">
        <f>IF(Tabla3[[#This Row],[Fare correción 2]]&gt;=1000,Tabla3[[#This Row],[Fare correción 2]]/10,Tabla3[[#This Row],[Fare correción 2]])</f>
        <v>21.074999999999999</v>
      </c>
      <c r="B9">
        <f>IF(Tabla3[[#This Row],[Fare corrección]]&gt;1000,Tabla3[[#This Row],[Fare corrección]]/1000,Tabla3[[#This Row],[Fare corrección]])</f>
        <v>21.074999999999999</v>
      </c>
      <c r="C9" s="1">
        <f>IF(ISNUMBER(Tabla3[[#This Row],[Fare]]),Tabla3[[#This Row],[Fare]],VALUE(SUBSTITUTE(Tabla3[[#This Row],[Fare]],".",",")))</f>
        <v>21075</v>
      </c>
      <c r="D9" s="1">
        <v>21075</v>
      </c>
    </row>
    <row r="10" spans="1:6" x14ac:dyDescent="0.25">
      <c r="A10" s="13">
        <f>IF(Tabla3[[#This Row],[Fare correción 2]]&gt;=1000,Tabla3[[#This Row],[Fare correción 2]]/10,Tabla3[[#This Row],[Fare correción 2]])</f>
        <v>111.333</v>
      </c>
      <c r="B10">
        <f>IF(Tabla3[[#This Row],[Fare corrección]]&gt;1000,Tabla3[[#This Row],[Fare corrección]]/1000,Tabla3[[#This Row],[Fare corrección]])</f>
        <v>111.333</v>
      </c>
      <c r="C10" s="1">
        <f>IF(ISNUMBER(Tabla3[[#This Row],[Fare]]),Tabla3[[#This Row],[Fare]],VALUE(SUBSTITUTE(Tabla3[[#This Row],[Fare]],".",",")))</f>
        <v>111333</v>
      </c>
      <c r="D10" s="1">
        <v>111333</v>
      </c>
    </row>
    <row r="11" spans="1:6" x14ac:dyDescent="0.25">
      <c r="A11" s="13">
        <f>IF(Tabla3[[#This Row],[Fare correción 2]]&gt;=1000,Tabla3[[#This Row],[Fare correción 2]]/10,Tabla3[[#This Row],[Fare correción 2]])</f>
        <v>300.70800000000003</v>
      </c>
      <c r="B11">
        <f>IF(Tabla3[[#This Row],[Fare corrección]]&gt;1000,Tabla3[[#This Row],[Fare corrección]]/1000,Tabla3[[#This Row],[Fare corrección]])</f>
        <v>300.70800000000003</v>
      </c>
      <c r="C11" s="1">
        <f>IF(ISNUMBER(Tabla3[[#This Row],[Fare]]),Tabla3[[#This Row],[Fare]],VALUE(SUBSTITUTE(Tabla3[[#This Row],[Fare]],".",",")))</f>
        <v>300708</v>
      </c>
      <c r="D11" s="1">
        <v>300708</v>
      </c>
    </row>
    <row r="12" spans="1:6" x14ac:dyDescent="0.25">
      <c r="A12" s="13">
        <f>IF(Tabla3[[#This Row],[Fare correción 2]]&gt;=1000,Tabla3[[#This Row],[Fare correción 2]]/10,Tabla3[[#This Row],[Fare correción 2]])</f>
        <v>16.7</v>
      </c>
      <c r="B12">
        <f>IF(Tabla3[[#This Row],[Fare corrección]]&gt;1000,Tabla3[[#This Row],[Fare corrección]]/1000,Tabla3[[#This Row],[Fare corrección]])</f>
        <v>16.7</v>
      </c>
      <c r="C12">
        <f>IF(ISNUMBER(Tabla3[[#This Row],[Fare]]),Tabla3[[#This Row],[Fare]],VALUE(SUBSTITUTE(Tabla3[[#This Row],[Fare]],".",",")))</f>
        <v>16.7</v>
      </c>
      <c r="D12" t="s">
        <v>927</v>
      </c>
    </row>
    <row r="13" spans="1:6" x14ac:dyDescent="0.25">
      <c r="A13" s="13">
        <f>IF(Tabla3[[#This Row],[Fare correción 2]]&gt;=1000,Tabla3[[#This Row],[Fare correción 2]]/10,Tabla3[[#This Row],[Fare correción 2]])</f>
        <v>26.55</v>
      </c>
      <c r="B13">
        <f>IF(Tabla3[[#This Row],[Fare corrección]]&gt;1000,Tabla3[[#This Row],[Fare corrección]]/1000,Tabla3[[#This Row],[Fare corrección]])</f>
        <v>26.55</v>
      </c>
      <c r="C13">
        <f>IF(ISNUMBER(Tabla3[[#This Row],[Fare]]),Tabla3[[#This Row],[Fare]],VALUE(SUBSTITUTE(Tabla3[[#This Row],[Fare]],".",",")))</f>
        <v>26.55</v>
      </c>
      <c r="D13" t="s">
        <v>930</v>
      </c>
    </row>
    <row r="14" spans="1:6" x14ac:dyDescent="0.25">
      <c r="A14" s="13">
        <f>IF(Tabla3[[#This Row],[Fare correción 2]]&gt;=1000,Tabla3[[#This Row],[Fare correción 2]]/10,Tabla3[[#This Row],[Fare correción 2]])</f>
        <v>8.0500000000000007</v>
      </c>
      <c r="B14">
        <f>IF(Tabla3[[#This Row],[Fare corrección]]&gt;1000,Tabla3[[#This Row],[Fare corrección]]/1000,Tabla3[[#This Row],[Fare corrección]])</f>
        <v>8.0500000000000007</v>
      </c>
      <c r="C14">
        <f>IF(ISNUMBER(Tabla3[[#This Row],[Fare]]),Tabla3[[#This Row],[Fare]],VALUE(SUBSTITUTE(Tabla3[[#This Row],[Fare]],".",",")))</f>
        <v>8.0500000000000007</v>
      </c>
      <c r="D14" t="s">
        <v>917</v>
      </c>
    </row>
    <row r="15" spans="1:6" x14ac:dyDescent="0.25">
      <c r="A15" s="13">
        <f>IF(Tabla3[[#This Row],[Fare correción 2]]&gt;=1000,Tabla3[[#This Row],[Fare correción 2]]/10,Tabla3[[#This Row],[Fare correción 2]])</f>
        <v>31.274999999999999</v>
      </c>
      <c r="B15">
        <f>IF(Tabla3[[#This Row],[Fare corrección]]&gt;1000,Tabla3[[#This Row],[Fare corrección]]/1000,Tabla3[[#This Row],[Fare corrección]])</f>
        <v>31.274999999999999</v>
      </c>
      <c r="C15" s="1">
        <f>IF(ISNUMBER(Tabla3[[#This Row],[Fare]]),Tabla3[[#This Row],[Fare]],VALUE(SUBSTITUTE(Tabla3[[#This Row],[Fare]],".",",")))</f>
        <v>31275</v>
      </c>
      <c r="D15" s="1">
        <v>31275</v>
      </c>
    </row>
    <row r="16" spans="1:6" x14ac:dyDescent="0.25">
      <c r="A16" s="13">
        <f>IF(Tabla3[[#This Row],[Fare correción 2]]&gt;=1000,Tabla3[[#This Row],[Fare correción 2]]/10,Tabla3[[#This Row],[Fare correción 2]])</f>
        <v>78.542000000000002</v>
      </c>
      <c r="B16">
        <f>IF(Tabla3[[#This Row],[Fare corrección]]&gt;1000,Tabla3[[#This Row],[Fare corrección]]/1000,Tabla3[[#This Row],[Fare corrección]])</f>
        <v>78.542000000000002</v>
      </c>
      <c r="C16" s="1">
        <f>IF(ISNUMBER(Tabla3[[#This Row],[Fare]]),Tabla3[[#This Row],[Fare]],VALUE(SUBSTITUTE(Tabla3[[#This Row],[Fare]],".",",")))</f>
        <v>78542</v>
      </c>
      <c r="D16" s="1">
        <v>78542</v>
      </c>
    </row>
    <row r="17" spans="1:4" x14ac:dyDescent="0.25">
      <c r="A17" s="13">
        <f>IF(Tabla3[[#This Row],[Fare correción 2]]&gt;=1000,Tabla3[[#This Row],[Fare correción 2]]/10,Tabla3[[#This Row],[Fare correción 2]])</f>
        <v>16</v>
      </c>
      <c r="B17">
        <f>IF(Tabla3[[#This Row],[Fare corrección]]&gt;1000,Tabla3[[#This Row],[Fare corrección]]/1000,Tabla3[[#This Row],[Fare corrección]])</f>
        <v>16</v>
      </c>
      <c r="C17">
        <f>IF(ISNUMBER(Tabla3[[#This Row],[Fare]]),Tabla3[[#This Row],[Fare]],VALUE(SUBSTITUTE(Tabla3[[#This Row],[Fare]],".",",")))</f>
        <v>16</v>
      </c>
      <c r="D17">
        <v>16</v>
      </c>
    </row>
    <row r="18" spans="1:4" x14ac:dyDescent="0.25">
      <c r="A18" s="13">
        <f>IF(Tabla3[[#This Row],[Fare correción 2]]&gt;=1000,Tabla3[[#This Row],[Fare correción 2]]/10,Tabla3[[#This Row],[Fare correción 2]])</f>
        <v>29.125</v>
      </c>
      <c r="B18">
        <f>IF(Tabla3[[#This Row],[Fare corrección]]&gt;1000,Tabla3[[#This Row],[Fare corrección]]/1000,Tabla3[[#This Row],[Fare corrección]])</f>
        <v>29.125</v>
      </c>
      <c r="C18" s="1">
        <f>IF(ISNUMBER(Tabla3[[#This Row],[Fare]]),Tabla3[[#This Row],[Fare]],VALUE(SUBSTITUTE(Tabla3[[#This Row],[Fare]],".",",")))</f>
        <v>29125</v>
      </c>
      <c r="D18" s="1">
        <v>29125</v>
      </c>
    </row>
    <row r="19" spans="1:4" x14ac:dyDescent="0.25">
      <c r="A19" s="13">
        <f>IF(Tabla3[[#This Row],[Fare correción 2]]&gt;=1000,Tabla3[[#This Row],[Fare correción 2]]/10,Tabla3[[#This Row],[Fare correción 2]])</f>
        <v>13</v>
      </c>
      <c r="B19">
        <f>IF(Tabla3[[#This Row],[Fare corrección]]&gt;1000,Tabla3[[#This Row],[Fare corrección]]/1000,Tabla3[[#This Row],[Fare corrección]])</f>
        <v>13</v>
      </c>
      <c r="C19">
        <f>IF(ISNUMBER(Tabla3[[#This Row],[Fare]]),Tabla3[[#This Row],[Fare]],VALUE(SUBSTITUTE(Tabla3[[#This Row],[Fare]],".",",")))</f>
        <v>13</v>
      </c>
      <c r="D19">
        <v>13</v>
      </c>
    </row>
    <row r="20" spans="1:4" x14ac:dyDescent="0.25">
      <c r="A20" s="13">
        <f>IF(Tabla3[[#This Row],[Fare correción 2]]&gt;=1000,Tabla3[[#This Row],[Fare correción 2]]/10,Tabla3[[#This Row],[Fare correción 2]])</f>
        <v>18</v>
      </c>
      <c r="B20">
        <f>IF(Tabla3[[#This Row],[Fare corrección]]&gt;1000,Tabla3[[#This Row],[Fare corrección]]/1000,Tabla3[[#This Row],[Fare corrección]])</f>
        <v>18</v>
      </c>
      <c r="C20">
        <f>IF(ISNUMBER(Tabla3[[#This Row],[Fare]]),Tabla3[[#This Row],[Fare]],VALUE(SUBSTITUTE(Tabla3[[#This Row],[Fare]],".",",")))</f>
        <v>18</v>
      </c>
      <c r="D20">
        <v>18</v>
      </c>
    </row>
    <row r="21" spans="1:4" x14ac:dyDescent="0.25">
      <c r="A21" s="13">
        <f>IF(Tabla3[[#This Row],[Fare correción 2]]&gt;=1000,Tabla3[[#This Row],[Fare correción 2]]/10,Tabla3[[#This Row],[Fare correción 2]])</f>
        <v>7.2249999999999996</v>
      </c>
      <c r="B21">
        <f>IF(Tabla3[[#This Row],[Fare corrección]]&gt;1000,Tabla3[[#This Row],[Fare corrección]]/1000,Tabla3[[#This Row],[Fare corrección]])</f>
        <v>7.2249999999999996</v>
      </c>
      <c r="C21" s="1">
        <f>IF(ISNUMBER(Tabla3[[#This Row],[Fare]]),Tabla3[[#This Row],[Fare]],VALUE(SUBSTITUTE(Tabla3[[#This Row],[Fare]],".",",")))</f>
        <v>7225</v>
      </c>
      <c r="D21" s="1">
        <v>7225</v>
      </c>
    </row>
    <row r="22" spans="1:4" x14ac:dyDescent="0.25">
      <c r="A22" s="13">
        <f>IF(Tabla3[[#This Row],[Fare correción 2]]&gt;=1000,Tabla3[[#This Row],[Fare correción 2]]/10,Tabla3[[#This Row],[Fare correción 2]])</f>
        <v>26</v>
      </c>
      <c r="B22">
        <f>IF(Tabla3[[#This Row],[Fare corrección]]&gt;1000,Tabla3[[#This Row],[Fare corrección]]/1000,Tabla3[[#This Row],[Fare corrección]])</f>
        <v>26</v>
      </c>
      <c r="C22">
        <f>IF(ISNUMBER(Tabla3[[#This Row],[Fare]]),Tabla3[[#This Row],[Fare]],VALUE(SUBSTITUTE(Tabla3[[#This Row],[Fare]],".",",")))</f>
        <v>26</v>
      </c>
      <c r="D22">
        <v>26</v>
      </c>
    </row>
    <row r="23" spans="1:4" x14ac:dyDescent="0.25">
      <c r="A23" s="13">
        <f>IF(Tabla3[[#This Row],[Fare correción 2]]&gt;=1000,Tabla3[[#This Row],[Fare correción 2]]/10,Tabla3[[#This Row],[Fare correción 2]])</f>
        <v>13</v>
      </c>
      <c r="B23">
        <f>IF(Tabla3[[#This Row],[Fare corrección]]&gt;1000,Tabla3[[#This Row],[Fare corrección]]/1000,Tabla3[[#This Row],[Fare corrección]])</f>
        <v>13</v>
      </c>
      <c r="C23">
        <f>IF(ISNUMBER(Tabla3[[#This Row],[Fare]]),Tabla3[[#This Row],[Fare]],VALUE(SUBSTITUTE(Tabla3[[#This Row],[Fare]],".",",")))</f>
        <v>13</v>
      </c>
      <c r="D23">
        <v>13</v>
      </c>
    </row>
    <row r="24" spans="1:4" x14ac:dyDescent="0.25">
      <c r="A24" s="13">
        <f>IF(Tabla3[[#This Row],[Fare correción 2]]&gt;=1000,Tabla3[[#This Row],[Fare correción 2]]/10,Tabla3[[#This Row],[Fare correción 2]])</f>
        <v>80.292000000000002</v>
      </c>
      <c r="B24">
        <f>IF(Tabla3[[#This Row],[Fare corrección]]&gt;1000,Tabla3[[#This Row],[Fare corrección]]/1000,Tabla3[[#This Row],[Fare corrección]])</f>
        <v>80.292000000000002</v>
      </c>
      <c r="C24" s="1">
        <f>IF(ISNUMBER(Tabla3[[#This Row],[Fare]]),Tabla3[[#This Row],[Fare]],VALUE(SUBSTITUTE(Tabla3[[#This Row],[Fare]],".",",")))</f>
        <v>80292</v>
      </c>
      <c r="D24" s="1">
        <v>80292</v>
      </c>
    </row>
    <row r="25" spans="1:4" x14ac:dyDescent="0.25">
      <c r="A25" s="13">
        <f>IF(Tabla3[[#This Row],[Fare correción 2]]&gt;=1000,Tabla3[[#This Row],[Fare correción 2]]/10,Tabla3[[#This Row],[Fare correción 2]])</f>
        <v>35.5</v>
      </c>
      <c r="B25">
        <f>IF(Tabla3[[#This Row],[Fare corrección]]&gt;1000,Tabla3[[#This Row],[Fare corrección]]/1000,Tabla3[[#This Row],[Fare corrección]])</f>
        <v>35.5</v>
      </c>
      <c r="C25">
        <f>IF(ISNUMBER(Tabla3[[#This Row],[Fare]]),Tabla3[[#This Row],[Fare]],VALUE(SUBSTITUTE(Tabla3[[#This Row],[Fare]],".",",")))</f>
        <v>35.5</v>
      </c>
      <c r="D25" t="s">
        <v>946</v>
      </c>
    </row>
    <row r="26" spans="1:4" x14ac:dyDescent="0.25">
      <c r="A26" s="13">
        <f>IF(Tabla3[[#This Row],[Fare correción 2]]&gt;=1000,Tabla3[[#This Row],[Fare correción 2]]/10,Tabla3[[#This Row],[Fare correción 2]])</f>
        <v>21.074999999999999</v>
      </c>
      <c r="B26">
        <f>IF(Tabla3[[#This Row],[Fare corrección]]&gt;1000,Tabla3[[#This Row],[Fare corrección]]/1000,Tabla3[[#This Row],[Fare corrección]])</f>
        <v>21.074999999999999</v>
      </c>
      <c r="C26" s="1">
        <f>IF(ISNUMBER(Tabla3[[#This Row],[Fare]]),Tabla3[[#This Row],[Fare]],VALUE(SUBSTITUTE(Tabla3[[#This Row],[Fare]],".",",")))</f>
        <v>21075</v>
      </c>
      <c r="D26" s="1">
        <v>21075</v>
      </c>
    </row>
    <row r="27" spans="1:4" x14ac:dyDescent="0.25">
      <c r="A27" s="13">
        <f>IF(Tabla3[[#This Row],[Fare correción 2]]&gt;=1000,Tabla3[[#This Row],[Fare correción 2]]/10,Tabla3[[#This Row],[Fare correción 2]])</f>
        <v>313.875</v>
      </c>
      <c r="B27">
        <f>IF(Tabla3[[#This Row],[Fare corrección]]&gt;1000,Tabla3[[#This Row],[Fare corrección]]/1000,Tabla3[[#This Row],[Fare corrección]])</f>
        <v>313.875</v>
      </c>
      <c r="C27" s="1">
        <f>IF(ISNUMBER(Tabla3[[#This Row],[Fare]]),Tabla3[[#This Row],[Fare]],VALUE(SUBSTITUTE(Tabla3[[#This Row],[Fare]],".",",")))</f>
        <v>313875</v>
      </c>
      <c r="D27" s="1">
        <v>313875</v>
      </c>
    </row>
    <row r="28" spans="1:4" x14ac:dyDescent="0.25">
      <c r="A28" s="13">
        <f>IF(Tabla3[[#This Row],[Fare correción 2]]&gt;=1000,Tabla3[[#This Row],[Fare correción 2]]/10,Tabla3[[#This Row],[Fare correción 2]])</f>
        <v>7.2249999999999996</v>
      </c>
      <c r="B28">
        <f>IF(Tabla3[[#This Row],[Fare corrección]]&gt;1000,Tabla3[[#This Row],[Fare corrección]]/1000,Tabla3[[#This Row],[Fare corrección]])</f>
        <v>7.2249999999999996</v>
      </c>
      <c r="C28" s="1">
        <f>IF(ISNUMBER(Tabla3[[#This Row],[Fare]]),Tabla3[[#This Row],[Fare]],VALUE(SUBSTITUTE(Tabla3[[#This Row],[Fare]],".",",")))</f>
        <v>7225</v>
      </c>
      <c r="D28" s="1">
        <v>7225</v>
      </c>
    </row>
    <row r="29" spans="1:4" x14ac:dyDescent="0.25">
      <c r="A29" s="13">
        <f>IF(Tabla3[[#This Row],[Fare correción 2]]&gt;=1000,Tabla3[[#This Row],[Fare correción 2]]/10,Tabla3[[#This Row],[Fare correción 2]])</f>
        <v>263</v>
      </c>
      <c r="B29">
        <f>IF(Tabla3[[#This Row],[Fare corrección]]&gt;1000,Tabla3[[#This Row],[Fare corrección]]/1000,Tabla3[[#This Row],[Fare corrección]])</f>
        <v>263</v>
      </c>
      <c r="C29">
        <f>IF(ISNUMBER(Tabla3[[#This Row],[Fare]]),Tabla3[[#This Row],[Fare]],VALUE(SUBSTITUTE(Tabla3[[#This Row],[Fare]],".",",")))</f>
        <v>263</v>
      </c>
      <c r="D29">
        <v>263</v>
      </c>
    </row>
    <row r="30" spans="1:4" x14ac:dyDescent="0.25">
      <c r="A30" s="13">
        <f>IF(Tabla3[[#This Row],[Fare correción 2]]&gt;=1000,Tabla3[[#This Row],[Fare correción 2]]/10,Tabla3[[#This Row],[Fare correción 2]])</f>
        <v>78.792000000000002</v>
      </c>
      <c r="B30">
        <f>IF(Tabla3[[#This Row],[Fare corrección]]&gt;1000,Tabla3[[#This Row],[Fare corrección]]/1000,Tabla3[[#This Row],[Fare corrección]])</f>
        <v>78.792000000000002</v>
      </c>
      <c r="C30" s="1">
        <f>IF(ISNUMBER(Tabla3[[#This Row],[Fare]]),Tabla3[[#This Row],[Fare]],VALUE(SUBSTITUTE(Tabla3[[#This Row],[Fare]],".",",")))</f>
        <v>78792</v>
      </c>
      <c r="D30" s="1">
        <v>78792</v>
      </c>
    </row>
    <row r="31" spans="1:4" x14ac:dyDescent="0.25">
      <c r="A31" s="13">
        <f>IF(Tabla3[[#This Row],[Fare correción 2]]&gt;=1000,Tabla3[[#This Row],[Fare correción 2]]/10,Tabla3[[#This Row],[Fare correción 2]])</f>
        <v>78.957999999999998</v>
      </c>
      <c r="B31">
        <f>IF(Tabla3[[#This Row],[Fare corrección]]&gt;1000,Tabla3[[#This Row],[Fare corrección]]/1000,Tabla3[[#This Row],[Fare corrección]])</f>
        <v>78.957999999999998</v>
      </c>
      <c r="C31" s="1">
        <f>IF(ISNUMBER(Tabla3[[#This Row],[Fare]]),Tabla3[[#This Row],[Fare]],VALUE(SUBSTITUTE(Tabla3[[#This Row],[Fare]],".",",")))</f>
        <v>78958</v>
      </c>
      <c r="D31" s="1">
        <v>78958</v>
      </c>
    </row>
    <row r="32" spans="1:4" x14ac:dyDescent="0.25">
      <c r="A32" s="13">
        <f>IF(Tabla3[[#This Row],[Fare correción 2]]&gt;=1000,Tabla3[[#This Row],[Fare correción 2]]/10,Tabla3[[#This Row],[Fare correción 2]])</f>
        <v>277.20800000000003</v>
      </c>
      <c r="B32">
        <f>IF(Tabla3[[#This Row],[Fare corrección]]&gt;1000,Tabla3[[#This Row],[Fare corrección]]/1000,Tabla3[[#This Row],[Fare corrección]])</f>
        <v>277.20800000000003</v>
      </c>
      <c r="C32" s="1">
        <f>IF(ISNUMBER(Tabla3[[#This Row],[Fare]]),Tabla3[[#This Row],[Fare]],VALUE(SUBSTITUTE(Tabla3[[#This Row],[Fare]],".",",")))</f>
        <v>277208</v>
      </c>
      <c r="D32" s="1">
        <v>277208</v>
      </c>
    </row>
    <row r="33" spans="1:4" x14ac:dyDescent="0.25">
      <c r="A33" s="13">
        <f>IF(Tabla3[[#This Row],[Fare correción 2]]&gt;=1000,Tabla3[[#This Row],[Fare correción 2]]/10,Tabla3[[#This Row],[Fare correción 2]])</f>
        <v>146.52080000000001</v>
      </c>
      <c r="B33">
        <f>IF(Tabla3[[#This Row],[Fare corrección]]&gt;1000,Tabla3[[#This Row],[Fare corrección]]/1000,Tabla3[[#This Row],[Fare corrección]])</f>
        <v>1465.2080000000001</v>
      </c>
      <c r="C33" s="1">
        <f>IF(ISNUMBER(Tabla3[[#This Row],[Fare]]),Tabla3[[#This Row],[Fare]],VALUE(SUBSTITUTE(Tabla3[[#This Row],[Fare]],".",",")))</f>
        <v>1465208</v>
      </c>
      <c r="D33" s="1">
        <v>1465208</v>
      </c>
    </row>
    <row r="34" spans="1:4" x14ac:dyDescent="0.25">
      <c r="A34" s="13">
        <f>IF(Tabla3[[#This Row],[Fare correción 2]]&gt;=1000,Tabla3[[#This Row],[Fare correción 2]]/10,Tabla3[[#This Row],[Fare correción 2]])</f>
        <v>7.75</v>
      </c>
      <c r="B34">
        <f>IF(Tabla3[[#This Row],[Fare corrección]]&gt;1000,Tabla3[[#This Row],[Fare corrección]]/1000,Tabla3[[#This Row],[Fare corrección]])</f>
        <v>7.75</v>
      </c>
      <c r="C34">
        <f>IF(ISNUMBER(Tabla3[[#This Row],[Fare]]),Tabla3[[#This Row],[Fare]],VALUE(SUBSTITUTE(Tabla3[[#This Row],[Fare]],".",",")))</f>
        <v>7.75</v>
      </c>
      <c r="D34" t="s">
        <v>961</v>
      </c>
    </row>
    <row r="35" spans="1:4" x14ac:dyDescent="0.25">
      <c r="A35" s="13">
        <f>IF(Tabla3[[#This Row],[Fare correción 2]]&gt;=1000,Tabla3[[#This Row],[Fare correción 2]]/10,Tabla3[[#This Row],[Fare correción 2]])</f>
        <v>10.5</v>
      </c>
      <c r="B35">
        <f>IF(Tabla3[[#This Row],[Fare corrección]]&gt;1000,Tabla3[[#This Row],[Fare corrección]]/1000,Tabla3[[#This Row],[Fare corrección]])</f>
        <v>10.5</v>
      </c>
      <c r="C35">
        <f>IF(ISNUMBER(Tabla3[[#This Row],[Fare]]),Tabla3[[#This Row],[Fare]],VALUE(SUBSTITUTE(Tabla3[[#This Row],[Fare]],".",",")))</f>
        <v>10.5</v>
      </c>
      <c r="D35" t="s">
        <v>964</v>
      </c>
    </row>
    <row r="36" spans="1:4" x14ac:dyDescent="0.25">
      <c r="A36" s="13">
        <f>IF(Tabla3[[#This Row],[Fare correción 2]]&gt;=1000,Tabla3[[#This Row],[Fare correción 2]]/10,Tabla3[[#This Row],[Fare correción 2]])</f>
        <v>821.70799999999997</v>
      </c>
      <c r="B36">
        <f>IF(Tabla3[[#This Row],[Fare corrección]]&gt;1000,Tabla3[[#This Row],[Fare corrección]]/1000,Tabla3[[#This Row],[Fare corrección]])</f>
        <v>821.70799999999997</v>
      </c>
      <c r="C36" s="1">
        <f>IF(ISNUMBER(Tabla3[[#This Row],[Fare]]),Tabla3[[#This Row],[Fare]],VALUE(SUBSTITUTE(Tabla3[[#This Row],[Fare]],".",",")))</f>
        <v>821708</v>
      </c>
      <c r="D36" s="1">
        <v>821708</v>
      </c>
    </row>
    <row r="37" spans="1:4" x14ac:dyDescent="0.25">
      <c r="A37" s="13">
        <f>IF(Tabla3[[#This Row],[Fare correción 2]]&gt;=1000,Tabla3[[#This Row],[Fare correción 2]]/10,Tabla3[[#This Row],[Fare correción 2]])</f>
        <v>52</v>
      </c>
      <c r="B37">
        <f>IF(Tabla3[[#This Row],[Fare corrección]]&gt;1000,Tabla3[[#This Row],[Fare corrección]]/1000,Tabla3[[#This Row],[Fare corrección]])</f>
        <v>52</v>
      </c>
      <c r="C37">
        <f>IF(ISNUMBER(Tabla3[[#This Row],[Fare]]),Tabla3[[#This Row],[Fare]],VALUE(SUBSTITUTE(Tabla3[[#This Row],[Fare]],".",",")))</f>
        <v>52</v>
      </c>
      <c r="D37">
        <v>52</v>
      </c>
    </row>
    <row r="38" spans="1:4" x14ac:dyDescent="0.25">
      <c r="A38" s="13">
        <f>IF(Tabla3[[#This Row],[Fare correción 2]]&gt;=1000,Tabla3[[#This Row],[Fare correción 2]]/10,Tabla3[[#This Row],[Fare correción 2]])</f>
        <v>72.292000000000002</v>
      </c>
      <c r="B38">
        <f>IF(Tabla3[[#This Row],[Fare corrección]]&gt;1000,Tabla3[[#This Row],[Fare corrección]]/1000,Tabla3[[#This Row],[Fare corrección]])</f>
        <v>72.292000000000002</v>
      </c>
      <c r="C38" s="1">
        <f>IF(ISNUMBER(Tabla3[[#This Row],[Fare]]),Tabla3[[#This Row],[Fare]],VALUE(SUBSTITUTE(Tabla3[[#This Row],[Fare]],".",",")))</f>
        <v>72292</v>
      </c>
      <c r="D38" s="1">
        <v>72292</v>
      </c>
    </row>
    <row r="39" spans="1:4" x14ac:dyDescent="0.25">
      <c r="A39" s="13">
        <f>IF(Tabla3[[#This Row],[Fare correción 2]]&gt;=1000,Tabla3[[#This Row],[Fare correción 2]]/10,Tabla3[[#This Row],[Fare correción 2]])</f>
        <v>8.0500000000000007</v>
      </c>
      <c r="B39">
        <f>IF(Tabla3[[#This Row],[Fare corrección]]&gt;1000,Tabla3[[#This Row],[Fare corrección]]/1000,Tabla3[[#This Row],[Fare corrección]])</f>
        <v>8.0500000000000007</v>
      </c>
      <c r="C39">
        <f>IF(ISNUMBER(Tabla3[[#This Row],[Fare]]),Tabla3[[#This Row],[Fare]],VALUE(SUBSTITUTE(Tabla3[[#This Row],[Fare]],".",",")))</f>
        <v>8.0500000000000007</v>
      </c>
      <c r="D39" t="s">
        <v>917</v>
      </c>
    </row>
    <row r="40" spans="1:4" x14ac:dyDescent="0.25">
      <c r="A40" s="13">
        <f>IF(Tabla3[[#This Row],[Fare correción 2]]&gt;=1000,Tabla3[[#This Row],[Fare correción 2]]/10,Tabla3[[#This Row],[Fare correción 2]])</f>
        <v>18</v>
      </c>
      <c r="B40">
        <f>IF(Tabla3[[#This Row],[Fare corrección]]&gt;1000,Tabla3[[#This Row],[Fare corrección]]/1000,Tabla3[[#This Row],[Fare corrección]])</f>
        <v>18</v>
      </c>
      <c r="C40">
        <f>IF(ISNUMBER(Tabla3[[#This Row],[Fare]]),Tabla3[[#This Row],[Fare]],VALUE(SUBSTITUTE(Tabla3[[#This Row],[Fare]],".",",")))</f>
        <v>18</v>
      </c>
      <c r="D40">
        <v>18</v>
      </c>
    </row>
    <row r="41" spans="1:4" x14ac:dyDescent="0.25">
      <c r="A41" s="13">
        <f>IF(Tabla3[[#This Row],[Fare correción 2]]&gt;=1000,Tabla3[[#This Row],[Fare correción 2]]/10,Tabla3[[#This Row],[Fare correción 2]])</f>
        <v>112.417</v>
      </c>
      <c r="B41">
        <f>IF(Tabla3[[#This Row],[Fare corrección]]&gt;1000,Tabla3[[#This Row],[Fare corrección]]/1000,Tabla3[[#This Row],[Fare corrección]])</f>
        <v>112.417</v>
      </c>
      <c r="C41" s="1">
        <f>IF(ISNUMBER(Tabla3[[#This Row],[Fare]]),Tabla3[[#This Row],[Fare]],VALUE(SUBSTITUTE(Tabla3[[#This Row],[Fare]],".",",")))</f>
        <v>112417</v>
      </c>
      <c r="D41" s="1">
        <v>112417</v>
      </c>
    </row>
    <row r="42" spans="1:4" x14ac:dyDescent="0.25">
      <c r="A42" s="13">
        <f>IF(Tabla3[[#This Row],[Fare correción 2]]&gt;=1000,Tabla3[[#This Row],[Fare correción 2]]/10,Tabla3[[#This Row],[Fare correción 2]])</f>
        <v>9.4749999999999996</v>
      </c>
      <c r="B42">
        <f>IF(Tabla3[[#This Row],[Fare corrección]]&gt;1000,Tabla3[[#This Row],[Fare corrección]]/1000,Tabla3[[#This Row],[Fare corrección]])</f>
        <v>9.4749999999999996</v>
      </c>
      <c r="C42" s="1">
        <f>IF(ISNUMBER(Tabla3[[#This Row],[Fare]]),Tabla3[[#This Row],[Fare]],VALUE(SUBSTITUTE(Tabla3[[#This Row],[Fare]],".",",")))</f>
        <v>9475</v>
      </c>
      <c r="D42" s="1">
        <v>9475</v>
      </c>
    </row>
    <row r="43" spans="1:4" x14ac:dyDescent="0.25">
      <c r="A43" s="13">
        <f>IF(Tabla3[[#This Row],[Fare correción 2]]&gt;=1000,Tabla3[[#This Row],[Fare correción 2]]/10,Tabla3[[#This Row],[Fare correción 2]])</f>
        <v>21</v>
      </c>
      <c r="B43">
        <f>IF(Tabla3[[#This Row],[Fare corrección]]&gt;1000,Tabla3[[#This Row],[Fare corrección]]/1000,Tabla3[[#This Row],[Fare corrección]])</f>
        <v>21</v>
      </c>
      <c r="C43">
        <f>IF(ISNUMBER(Tabla3[[#This Row],[Fare]]),Tabla3[[#This Row],[Fare]],VALUE(SUBSTITUTE(Tabla3[[#This Row],[Fare]],".",",")))</f>
        <v>21</v>
      </c>
      <c r="D43">
        <v>21</v>
      </c>
    </row>
    <row r="44" spans="1:4" x14ac:dyDescent="0.25">
      <c r="A44" s="13">
        <f>IF(Tabla3[[#This Row],[Fare correción 2]]&gt;=1000,Tabla3[[#This Row],[Fare correción 2]]/10,Tabla3[[#This Row],[Fare correción 2]])</f>
        <v>78.957999999999998</v>
      </c>
      <c r="B44">
        <f>IF(Tabla3[[#This Row],[Fare corrección]]&gt;1000,Tabla3[[#This Row],[Fare corrección]]/1000,Tabla3[[#This Row],[Fare corrección]])</f>
        <v>78.957999999999998</v>
      </c>
      <c r="C44" s="1">
        <f>IF(ISNUMBER(Tabla3[[#This Row],[Fare]]),Tabla3[[#This Row],[Fare]],VALUE(SUBSTITUTE(Tabla3[[#This Row],[Fare]],".",",")))</f>
        <v>78958</v>
      </c>
      <c r="D44" s="1">
        <v>78958</v>
      </c>
    </row>
    <row r="45" spans="1:4" x14ac:dyDescent="0.25">
      <c r="A45" s="13">
        <f>IF(Tabla3[[#This Row],[Fare correción 2]]&gt;=1000,Tabla3[[#This Row],[Fare correción 2]]/10,Tabla3[[#This Row],[Fare correción 2]])</f>
        <v>415.79199999999997</v>
      </c>
      <c r="B45">
        <f>IF(Tabla3[[#This Row],[Fare corrección]]&gt;1000,Tabla3[[#This Row],[Fare corrección]]/1000,Tabla3[[#This Row],[Fare corrección]])</f>
        <v>415.79199999999997</v>
      </c>
      <c r="C45" s="1">
        <f>IF(ISNUMBER(Tabla3[[#This Row],[Fare]]),Tabla3[[#This Row],[Fare]],VALUE(SUBSTITUTE(Tabla3[[#This Row],[Fare]],".",",")))</f>
        <v>415792</v>
      </c>
      <c r="D45" s="1">
        <v>415792</v>
      </c>
    </row>
    <row r="46" spans="1:4" x14ac:dyDescent="0.25">
      <c r="A46" s="13">
        <f>IF(Tabla3[[#This Row],[Fare correción 2]]&gt;=1000,Tabla3[[#This Row],[Fare correción 2]]/10,Tabla3[[#This Row],[Fare correción 2]])</f>
        <v>78.792000000000002</v>
      </c>
      <c r="B46">
        <f>IF(Tabla3[[#This Row],[Fare corrección]]&gt;1000,Tabla3[[#This Row],[Fare corrección]]/1000,Tabla3[[#This Row],[Fare corrección]])</f>
        <v>78.792000000000002</v>
      </c>
      <c r="C46" s="1">
        <f>IF(ISNUMBER(Tabla3[[#This Row],[Fare]]),Tabla3[[#This Row],[Fare]],VALUE(SUBSTITUTE(Tabla3[[#This Row],[Fare]],".",",")))</f>
        <v>78792</v>
      </c>
      <c r="D46" s="1">
        <v>78792</v>
      </c>
    </row>
    <row r="47" spans="1:4" x14ac:dyDescent="0.25">
      <c r="A47" s="13">
        <f>IF(Tabla3[[#This Row],[Fare correción 2]]&gt;=1000,Tabla3[[#This Row],[Fare correción 2]]/10,Tabla3[[#This Row],[Fare correción 2]])</f>
        <v>8.0500000000000007</v>
      </c>
      <c r="B47">
        <f>IF(Tabla3[[#This Row],[Fare corrección]]&gt;1000,Tabla3[[#This Row],[Fare corrección]]/1000,Tabla3[[#This Row],[Fare corrección]])</f>
        <v>8.0500000000000007</v>
      </c>
      <c r="C47">
        <f>IF(ISNUMBER(Tabla3[[#This Row],[Fare]]),Tabla3[[#This Row],[Fare]],VALUE(SUBSTITUTE(Tabla3[[#This Row],[Fare]],".",",")))</f>
        <v>8.0500000000000007</v>
      </c>
      <c r="D47" t="s">
        <v>917</v>
      </c>
    </row>
    <row r="48" spans="1:4" x14ac:dyDescent="0.25">
      <c r="A48" s="13">
        <f>IF(Tabla3[[#This Row],[Fare correción 2]]&gt;=1000,Tabla3[[#This Row],[Fare correción 2]]/10,Tabla3[[#This Row],[Fare correción 2]])</f>
        <v>15.5</v>
      </c>
      <c r="B48">
        <f>IF(Tabla3[[#This Row],[Fare corrección]]&gt;1000,Tabla3[[#This Row],[Fare corrección]]/1000,Tabla3[[#This Row],[Fare corrección]])</f>
        <v>15.5</v>
      </c>
      <c r="C48">
        <f>IF(ISNUMBER(Tabla3[[#This Row],[Fare]]),Tabla3[[#This Row],[Fare]],VALUE(SUBSTITUTE(Tabla3[[#This Row],[Fare]],".",",")))</f>
        <v>15.5</v>
      </c>
      <c r="D48" t="s">
        <v>982</v>
      </c>
    </row>
    <row r="49" spans="1:4" x14ac:dyDescent="0.25">
      <c r="A49" s="13">
        <f>IF(Tabla3[[#This Row],[Fare correción 2]]&gt;=1000,Tabla3[[#This Row],[Fare correción 2]]/10,Tabla3[[#This Row],[Fare correción 2]])</f>
        <v>7.75</v>
      </c>
      <c r="B49">
        <f>IF(Tabla3[[#This Row],[Fare corrección]]&gt;1000,Tabla3[[#This Row],[Fare corrección]]/1000,Tabla3[[#This Row],[Fare corrección]])</f>
        <v>7.75</v>
      </c>
      <c r="C49">
        <f>IF(ISNUMBER(Tabla3[[#This Row],[Fare]]),Tabla3[[#This Row],[Fare]],VALUE(SUBSTITUTE(Tabla3[[#This Row],[Fare]],".",",")))</f>
        <v>7.75</v>
      </c>
      <c r="D49" t="s">
        <v>961</v>
      </c>
    </row>
    <row r="50" spans="1:4" x14ac:dyDescent="0.25">
      <c r="A50" s="13">
        <f>IF(Tabla3[[#This Row],[Fare correción 2]]&gt;=1000,Tabla3[[#This Row],[Fare correción 2]]/10,Tabla3[[#This Row],[Fare correción 2]])</f>
        <v>216.792</v>
      </c>
      <c r="B50">
        <f>IF(Tabla3[[#This Row],[Fare corrección]]&gt;1000,Tabla3[[#This Row],[Fare corrección]]/1000,Tabla3[[#This Row],[Fare corrección]])</f>
        <v>216.792</v>
      </c>
      <c r="C50" s="1">
        <f>IF(ISNUMBER(Tabla3[[#This Row],[Fare]]),Tabla3[[#This Row],[Fare]],VALUE(SUBSTITUTE(Tabla3[[#This Row],[Fare]],".",",")))</f>
        <v>216792</v>
      </c>
      <c r="D50" s="1">
        <v>216792</v>
      </c>
    </row>
    <row r="51" spans="1:4" x14ac:dyDescent="0.25">
      <c r="A51" s="13">
        <f>IF(Tabla3[[#This Row],[Fare correción 2]]&gt;=1000,Tabla3[[#This Row],[Fare correción 2]]/10,Tabla3[[#This Row],[Fare correción 2]])</f>
        <v>17.8</v>
      </c>
      <c r="B51">
        <f>IF(Tabla3[[#This Row],[Fare corrección]]&gt;1000,Tabla3[[#This Row],[Fare corrección]]/1000,Tabla3[[#This Row],[Fare corrección]])</f>
        <v>17.8</v>
      </c>
      <c r="C51">
        <f>IF(ISNUMBER(Tabla3[[#This Row],[Fare]]),Tabla3[[#This Row],[Fare]],VALUE(SUBSTITUTE(Tabla3[[#This Row],[Fare]],".",",")))</f>
        <v>17.8</v>
      </c>
      <c r="D51" t="s">
        <v>986</v>
      </c>
    </row>
    <row r="52" spans="1:4" x14ac:dyDescent="0.25">
      <c r="A52" s="13">
        <f>IF(Tabla3[[#This Row],[Fare correción 2]]&gt;=1000,Tabla3[[#This Row],[Fare correción 2]]/10,Tabla3[[#This Row],[Fare correción 2]])</f>
        <v>396.875</v>
      </c>
      <c r="B52">
        <f>IF(Tabla3[[#This Row],[Fare corrección]]&gt;1000,Tabla3[[#This Row],[Fare corrección]]/1000,Tabla3[[#This Row],[Fare corrección]])</f>
        <v>396.875</v>
      </c>
      <c r="C52" s="1">
        <f>IF(ISNUMBER(Tabla3[[#This Row],[Fare]]),Tabla3[[#This Row],[Fare]],VALUE(SUBSTITUTE(Tabla3[[#This Row],[Fare]],".",",")))</f>
        <v>396875</v>
      </c>
      <c r="D52" s="1">
        <v>396875</v>
      </c>
    </row>
    <row r="53" spans="1:4" x14ac:dyDescent="0.25">
      <c r="A53" s="13">
        <f>IF(Tabla3[[#This Row],[Fare correción 2]]&gt;=1000,Tabla3[[#This Row],[Fare correción 2]]/10,Tabla3[[#This Row],[Fare correción 2]])</f>
        <v>7.8</v>
      </c>
      <c r="B53">
        <f>IF(Tabla3[[#This Row],[Fare corrección]]&gt;1000,Tabla3[[#This Row],[Fare corrección]]/1000,Tabla3[[#This Row],[Fare corrección]])</f>
        <v>7.8</v>
      </c>
      <c r="C53">
        <f>IF(ISNUMBER(Tabla3[[#This Row],[Fare]]),Tabla3[[#This Row],[Fare]],VALUE(SUBSTITUTE(Tabla3[[#This Row],[Fare]],".",",")))</f>
        <v>7.8</v>
      </c>
      <c r="D53" t="s">
        <v>990</v>
      </c>
    </row>
    <row r="54" spans="1:4" x14ac:dyDescent="0.25">
      <c r="A54" s="13">
        <f>IF(Tabla3[[#This Row],[Fare correción 2]]&gt;=1000,Tabla3[[#This Row],[Fare correción 2]]/10,Tabla3[[#This Row],[Fare correción 2]])</f>
        <v>767.29200000000003</v>
      </c>
      <c r="B54">
        <f>IF(Tabla3[[#This Row],[Fare corrección]]&gt;1000,Tabla3[[#This Row],[Fare corrección]]/1000,Tabla3[[#This Row],[Fare corrección]])</f>
        <v>767.29200000000003</v>
      </c>
      <c r="C54" s="1">
        <f>IF(ISNUMBER(Tabla3[[#This Row],[Fare]]),Tabla3[[#This Row],[Fare]],VALUE(SUBSTITUTE(Tabla3[[#This Row],[Fare]],".",",")))</f>
        <v>767292</v>
      </c>
      <c r="D54" s="1">
        <v>767292</v>
      </c>
    </row>
    <row r="55" spans="1:4" x14ac:dyDescent="0.25">
      <c r="A55" s="13">
        <f>IF(Tabla3[[#This Row],[Fare correción 2]]&gt;=1000,Tabla3[[#This Row],[Fare correción 2]]/10,Tabla3[[#This Row],[Fare correción 2]])</f>
        <v>26</v>
      </c>
      <c r="B55">
        <f>IF(Tabla3[[#This Row],[Fare corrección]]&gt;1000,Tabla3[[#This Row],[Fare corrección]]/1000,Tabla3[[#This Row],[Fare corrección]])</f>
        <v>26</v>
      </c>
      <c r="C55">
        <f>IF(ISNUMBER(Tabla3[[#This Row],[Fare]]),Tabla3[[#This Row],[Fare]],VALUE(SUBSTITUTE(Tabla3[[#This Row],[Fare]],".",",")))</f>
        <v>26</v>
      </c>
      <c r="D55">
        <v>26</v>
      </c>
    </row>
    <row r="56" spans="1:4" x14ac:dyDescent="0.25">
      <c r="A56" s="13">
        <f>IF(Tabla3[[#This Row],[Fare correción 2]]&gt;=1000,Tabla3[[#This Row],[Fare correción 2]]/10,Tabla3[[#This Row],[Fare correción 2]])</f>
        <v>619.79200000000003</v>
      </c>
      <c r="B56">
        <f>IF(Tabla3[[#This Row],[Fare corrección]]&gt;1000,Tabla3[[#This Row],[Fare corrección]]/1000,Tabla3[[#This Row],[Fare corrección]])</f>
        <v>619.79200000000003</v>
      </c>
      <c r="C56" s="1">
        <f>IF(ISNUMBER(Tabla3[[#This Row],[Fare]]),Tabla3[[#This Row],[Fare]],VALUE(SUBSTITUTE(Tabla3[[#This Row],[Fare]],".",",")))</f>
        <v>619792</v>
      </c>
      <c r="D56" s="1">
        <v>619792</v>
      </c>
    </row>
    <row r="57" spans="1:4" x14ac:dyDescent="0.25">
      <c r="A57" s="13">
        <f>IF(Tabla3[[#This Row],[Fare correción 2]]&gt;=1000,Tabla3[[#This Row],[Fare correción 2]]/10,Tabla3[[#This Row],[Fare correción 2]])</f>
        <v>35.5</v>
      </c>
      <c r="B57">
        <f>IF(Tabla3[[#This Row],[Fare corrección]]&gt;1000,Tabla3[[#This Row],[Fare corrección]]/1000,Tabla3[[#This Row],[Fare corrección]])</f>
        <v>35.5</v>
      </c>
      <c r="C57">
        <f>IF(ISNUMBER(Tabla3[[#This Row],[Fare]]),Tabla3[[#This Row],[Fare]],VALUE(SUBSTITUTE(Tabla3[[#This Row],[Fare]],".",",")))</f>
        <v>35.5</v>
      </c>
      <c r="D57" t="s">
        <v>946</v>
      </c>
    </row>
    <row r="58" spans="1:4" x14ac:dyDescent="0.25">
      <c r="A58" s="13">
        <f>IF(Tabla3[[#This Row],[Fare correción 2]]&gt;=1000,Tabla3[[#This Row],[Fare correción 2]]/10,Tabla3[[#This Row],[Fare correción 2]])</f>
        <v>10.5</v>
      </c>
      <c r="B58">
        <f>IF(Tabla3[[#This Row],[Fare corrección]]&gt;1000,Tabla3[[#This Row],[Fare corrección]]/1000,Tabla3[[#This Row],[Fare corrección]])</f>
        <v>10.5</v>
      </c>
      <c r="C58">
        <f>IF(ISNUMBER(Tabla3[[#This Row],[Fare]]),Tabla3[[#This Row],[Fare]],VALUE(SUBSTITUTE(Tabla3[[#This Row],[Fare]],".",",")))</f>
        <v>10.5</v>
      </c>
      <c r="D58" t="s">
        <v>964</v>
      </c>
    </row>
    <row r="59" spans="1:4" x14ac:dyDescent="0.25">
      <c r="A59" s="13">
        <f>IF(Tabla3[[#This Row],[Fare correción 2]]&gt;=1000,Tabla3[[#This Row],[Fare correción 2]]/10,Tabla3[[#This Row],[Fare correción 2]])</f>
        <v>72.292000000000002</v>
      </c>
      <c r="B59">
        <f>IF(Tabla3[[#This Row],[Fare corrección]]&gt;1000,Tabla3[[#This Row],[Fare corrección]]/1000,Tabla3[[#This Row],[Fare corrección]])</f>
        <v>72.292000000000002</v>
      </c>
      <c r="C59" s="1">
        <f>IF(ISNUMBER(Tabla3[[#This Row],[Fare]]),Tabla3[[#This Row],[Fare]],VALUE(SUBSTITUTE(Tabla3[[#This Row],[Fare]],".",",")))</f>
        <v>72292</v>
      </c>
      <c r="D59" s="1">
        <v>72292</v>
      </c>
    </row>
    <row r="60" spans="1:4" x14ac:dyDescent="0.25">
      <c r="A60" s="13">
        <f>IF(Tabla3[[#This Row],[Fare correción 2]]&gt;=1000,Tabla3[[#This Row],[Fare correción 2]]/10,Tabla3[[#This Row],[Fare correción 2]])</f>
        <v>27.75</v>
      </c>
      <c r="B60">
        <f>IF(Tabla3[[#This Row],[Fare corrección]]&gt;1000,Tabla3[[#This Row],[Fare corrección]]/1000,Tabla3[[#This Row],[Fare corrección]])</f>
        <v>27.75</v>
      </c>
      <c r="C60">
        <f>IF(ISNUMBER(Tabla3[[#This Row],[Fare]]),Tabla3[[#This Row],[Fare]],VALUE(SUBSTITUTE(Tabla3[[#This Row],[Fare]],".",",")))</f>
        <v>27.75</v>
      </c>
      <c r="D60" t="s">
        <v>1005</v>
      </c>
    </row>
    <row r="61" spans="1:4" x14ac:dyDescent="0.25">
      <c r="A61" s="13">
        <f>IF(Tabla3[[#This Row],[Fare correción 2]]&gt;=1000,Tabla3[[#This Row],[Fare correción 2]]/10,Tabla3[[#This Row],[Fare correción 2]])</f>
        <v>46.9</v>
      </c>
      <c r="B61">
        <f>IF(Tabla3[[#This Row],[Fare corrección]]&gt;1000,Tabla3[[#This Row],[Fare corrección]]/1000,Tabla3[[#This Row],[Fare corrección]])</f>
        <v>46.9</v>
      </c>
      <c r="C61">
        <f>IF(ISNUMBER(Tabla3[[#This Row],[Fare]]),Tabla3[[#This Row],[Fare]],VALUE(SUBSTITUTE(Tabla3[[#This Row],[Fare]],".",",")))</f>
        <v>46.9</v>
      </c>
      <c r="D61" t="s">
        <v>1008</v>
      </c>
    </row>
    <row r="62" spans="1:4" x14ac:dyDescent="0.25">
      <c r="A62" s="13">
        <f>IF(Tabla3[[#This Row],[Fare correción 2]]&gt;=1000,Tabla3[[#This Row],[Fare correción 2]]/10,Tabla3[[#This Row],[Fare correción 2]])</f>
        <v>72.292000000000002</v>
      </c>
      <c r="B62">
        <f>IF(Tabla3[[#This Row],[Fare corrección]]&gt;1000,Tabla3[[#This Row],[Fare corrección]]/1000,Tabla3[[#This Row],[Fare corrección]])</f>
        <v>72.292000000000002</v>
      </c>
      <c r="C62" s="1">
        <f>IF(ISNUMBER(Tabla3[[#This Row],[Fare]]),Tabla3[[#This Row],[Fare]],VALUE(SUBSTITUTE(Tabla3[[#This Row],[Fare]],".",",")))</f>
        <v>72292</v>
      </c>
      <c r="D62" s="1">
        <v>72292</v>
      </c>
    </row>
    <row r="63" spans="1:4" x14ac:dyDescent="0.25">
      <c r="A63" s="13">
        <f>IF(Tabla3[[#This Row],[Fare correción 2]]&gt;=1000,Tabla3[[#This Row],[Fare correción 2]]/10,Tabla3[[#This Row],[Fare correción 2]])</f>
        <v>80</v>
      </c>
      <c r="B63">
        <f>IF(Tabla3[[#This Row],[Fare corrección]]&gt;1000,Tabla3[[#This Row],[Fare corrección]]/1000,Tabla3[[#This Row],[Fare corrección]])</f>
        <v>80</v>
      </c>
      <c r="C63">
        <f>IF(ISNUMBER(Tabla3[[#This Row],[Fare]]),Tabla3[[#This Row],[Fare]],VALUE(SUBSTITUTE(Tabla3[[#This Row],[Fare]],".",",")))</f>
        <v>80</v>
      </c>
      <c r="D63">
        <v>80</v>
      </c>
    </row>
    <row r="64" spans="1:4" x14ac:dyDescent="0.25">
      <c r="A64" s="13">
        <f>IF(Tabla3[[#This Row],[Fare correción 2]]&gt;=1000,Tabla3[[#This Row],[Fare correción 2]]/10,Tabla3[[#This Row],[Fare correción 2]])</f>
        <v>83.474999999999994</v>
      </c>
      <c r="B64">
        <f>IF(Tabla3[[#This Row],[Fare corrección]]&gt;1000,Tabla3[[#This Row],[Fare corrección]]/1000,Tabla3[[#This Row],[Fare corrección]])</f>
        <v>83.474999999999994</v>
      </c>
      <c r="C64" s="1">
        <f>IF(ISNUMBER(Tabla3[[#This Row],[Fare]]),Tabla3[[#This Row],[Fare]],VALUE(SUBSTITUTE(Tabla3[[#This Row],[Fare]],".",",")))</f>
        <v>83475</v>
      </c>
      <c r="D64" s="1">
        <v>83475</v>
      </c>
    </row>
    <row r="65" spans="1:4" x14ac:dyDescent="0.25">
      <c r="A65" s="13">
        <f>IF(Tabla3[[#This Row],[Fare correción 2]]&gt;=1000,Tabla3[[#This Row],[Fare correción 2]]/10,Tabla3[[#This Row],[Fare correción 2]])</f>
        <v>27.9</v>
      </c>
      <c r="B65">
        <f>IF(Tabla3[[#This Row],[Fare corrección]]&gt;1000,Tabla3[[#This Row],[Fare corrección]]/1000,Tabla3[[#This Row],[Fare corrección]])</f>
        <v>27.9</v>
      </c>
      <c r="C65">
        <f>IF(ISNUMBER(Tabla3[[#This Row],[Fare]]),Tabla3[[#This Row],[Fare]],VALUE(SUBSTITUTE(Tabla3[[#This Row],[Fare]],".",",")))</f>
        <v>27.9</v>
      </c>
      <c r="D65" t="s">
        <v>1015</v>
      </c>
    </row>
    <row r="66" spans="1:4" x14ac:dyDescent="0.25">
      <c r="A66" s="13">
        <f>IF(Tabla3[[#This Row],[Fare correción 2]]&gt;=1000,Tabla3[[#This Row],[Fare correción 2]]/10,Tabla3[[#This Row],[Fare correción 2]])</f>
        <v>277.20800000000003</v>
      </c>
      <c r="B66">
        <f>IF(Tabla3[[#This Row],[Fare corrección]]&gt;1000,Tabla3[[#This Row],[Fare corrección]]/1000,Tabla3[[#This Row],[Fare corrección]])</f>
        <v>277.20800000000003</v>
      </c>
      <c r="C66" s="1">
        <f>IF(ISNUMBER(Tabla3[[#This Row],[Fare]]),Tabla3[[#This Row],[Fare]],VALUE(SUBSTITUTE(Tabla3[[#This Row],[Fare]],".",",")))</f>
        <v>277208</v>
      </c>
      <c r="D66" s="1">
        <v>277208</v>
      </c>
    </row>
    <row r="67" spans="1:4" x14ac:dyDescent="0.25">
      <c r="A67" s="13">
        <f>IF(Tabla3[[#This Row],[Fare correción 2]]&gt;=1000,Tabla3[[#This Row],[Fare correción 2]]/10,Tabla3[[#This Row],[Fare correción 2]])</f>
        <v>152.458</v>
      </c>
      <c r="B67">
        <f>IF(Tabla3[[#This Row],[Fare corrección]]&gt;1000,Tabla3[[#This Row],[Fare corrección]]/1000,Tabla3[[#This Row],[Fare corrección]])</f>
        <v>152.458</v>
      </c>
      <c r="C67" s="1">
        <f>IF(ISNUMBER(Tabla3[[#This Row],[Fare]]),Tabla3[[#This Row],[Fare]],VALUE(SUBSTITUTE(Tabla3[[#This Row],[Fare]],".",",")))</f>
        <v>152458</v>
      </c>
      <c r="D67" s="1">
        <v>152458</v>
      </c>
    </row>
    <row r="68" spans="1:4" x14ac:dyDescent="0.25">
      <c r="A68" s="13">
        <f>IF(Tabla3[[#This Row],[Fare correción 2]]&gt;=1000,Tabla3[[#This Row],[Fare correción 2]]/10,Tabla3[[#This Row],[Fare correción 2]])</f>
        <v>10.5</v>
      </c>
      <c r="B68">
        <f>IF(Tabla3[[#This Row],[Fare corrección]]&gt;1000,Tabla3[[#This Row],[Fare corrección]]/1000,Tabla3[[#This Row],[Fare corrección]])</f>
        <v>10.5</v>
      </c>
      <c r="C68">
        <f>IF(ISNUMBER(Tabla3[[#This Row],[Fare]]),Tabla3[[#This Row],[Fare]],VALUE(SUBSTITUTE(Tabla3[[#This Row],[Fare]],".",",")))</f>
        <v>10.5</v>
      </c>
      <c r="D68" t="s">
        <v>964</v>
      </c>
    </row>
    <row r="69" spans="1:4" x14ac:dyDescent="0.25">
      <c r="A69" s="13">
        <f>IF(Tabla3[[#This Row],[Fare correción 2]]&gt;=1000,Tabla3[[#This Row],[Fare correción 2]]/10,Tabla3[[#This Row],[Fare correción 2]])</f>
        <v>81.582999999999998</v>
      </c>
      <c r="B69">
        <f>IF(Tabla3[[#This Row],[Fare corrección]]&gt;1000,Tabla3[[#This Row],[Fare corrección]]/1000,Tabla3[[#This Row],[Fare corrección]])</f>
        <v>81.582999999999998</v>
      </c>
      <c r="C69" s="1">
        <f>IF(ISNUMBER(Tabla3[[#This Row],[Fare]]),Tabla3[[#This Row],[Fare]],VALUE(SUBSTITUTE(Tabla3[[#This Row],[Fare]],".",",")))</f>
        <v>81583</v>
      </c>
      <c r="D69" s="1">
        <v>81583</v>
      </c>
    </row>
    <row r="70" spans="1:4" x14ac:dyDescent="0.25">
      <c r="A70" s="13">
        <f>IF(Tabla3[[#This Row],[Fare correción 2]]&gt;=1000,Tabla3[[#This Row],[Fare correción 2]]/10,Tabla3[[#This Row],[Fare correción 2]])</f>
        <v>7.9249999999999998</v>
      </c>
      <c r="B70">
        <f>IF(Tabla3[[#This Row],[Fare corrección]]&gt;1000,Tabla3[[#This Row],[Fare corrección]]/1000,Tabla3[[#This Row],[Fare corrección]])</f>
        <v>7.9249999999999998</v>
      </c>
      <c r="C70" s="1">
        <f>IF(ISNUMBER(Tabla3[[#This Row],[Fare]]),Tabla3[[#This Row],[Fare]],VALUE(SUBSTITUTE(Tabla3[[#This Row],[Fare]],".",",")))</f>
        <v>7925</v>
      </c>
      <c r="D70" s="1">
        <v>7925</v>
      </c>
    </row>
    <row r="71" spans="1:4" x14ac:dyDescent="0.25">
      <c r="A71" s="13">
        <f>IF(Tabla3[[#This Row],[Fare correción 2]]&gt;=1000,Tabla3[[#This Row],[Fare correción 2]]/10,Tabla3[[#This Row],[Fare correción 2]])</f>
        <v>86.625</v>
      </c>
      <c r="B71">
        <f>IF(Tabla3[[#This Row],[Fare corrección]]&gt;1000,Tabla3[[#This Row],[Fare corrección]]/1000,Tabla3[[#This Row],[Fare corrección]])</f>
        <v>86.625</v>
      </c>
      <c r="C71" s="1">
        <f>IF(ISNUMBER(Tabla3[[#This Row],[Fare]]),Tabla3[[#This Row],[Fare]],VALUE(SUBSTITUTE(Tabla3[[#This Row],[Fare]],".",",")))</f>
        <v>86625</v>
      </c>
      <c r="D71" s="1">
        <v>86625</v>
      </c>
    </row>
    <row r="72" spans="1:4" x14ac:dyDescent="0.25">
      <c r="A72" s="13">
        <f>IF(Tabla3[[#This Row],[Fare correción 2]]&gt;=1000,Tabla3[[#This Row],[Fare correción 2]]/10,Tabla3[[#This Row],[Fare correción 2]])</f>
        <v>10.5</v>
      </c>
      <c r="B72">
        <f>IF(Tabla3[[#This Row],[Fare corrección]]&gt;1000,Tabla3[[#This Row],[Fare corrección]]/1000,Tabla3[[#This Row],[Fare corrección]])</f>
        <v>10.5</v>
      </c>
      <c r="C72">
        <f>IF(ISNUMBER(Tabla3[[#This Row],[Fare]]),Tabla3[[#This Row],[Fare]],VALUE(SUBSTITUTE(Tabla3[[#This Row],[Fare]],".",",")))</f>
        <v>10.5</v>
      </c>
      <c r="D72" t="s">
        <v>964</v>
      </c>
    </row>
    <row r="73" spans="1:4" x14ac:dyDescent="0.25">
      <c r="A73" s="13">
        <f>IF(Tabla3[[#This Row],[Fare correción 2]]&gt;=1000,Tabla3[[#This Row],[Fare correción 2]]/10,Tabla3[[#This Row],[Fare correción 2]])</f>
        <v>46.9</v>
      </c>
      <c r="B73">
        <f>IF(Tabla3[[#This Row],[Fare corrección]]&gt;1000,Tabla3[[#This Row],[Fare corrección]]/1000,Tabla3[[#This Row],[Fare corrección]])</f>
        <v>46.9</v>
      </c>
      <c r="C73">
        <f>IF(ISNUMBER(Tabla3[[#This Row],[Fare]]),Tabla3[[#This Row],[Fare]],VALUE(SUBSTITUTE(Tabla3[[#This Row],[Fare]],".",",")))</f>
        <v>46.9</v>
      </c>
      <c r="D73" t="s">
        <v>1008</v>
      </c>
    </row>
    <row r="74" spans="1:4" x14ac:dyDescent="0.25">
      <c r="A74" s="13">
        <f>IF(Tabla3[[#This Row],[Fare correción 2]]&gt;=1000,Tabla3[[#This Row],[Fare correción 2]]/10,Tabla3[[#This Row],[Fare correción 2]])</f>
        <v>73.5</v>
      </c>
      <c r="B74">
        <f>IF(Tabla3[[#This Row],[Fare corrección]]&gt;1000,Tabla3[[#This Row],[Fare corrección]]/1000,Tabla3[[#This Row],[Fare corrección]])</f>
        <v>73.5</v>
      </c>
      <c r="C74">
        <f>IF(ISNUMBER(Tabla3[[#This Row],[Fare]]),Tabla3[[#This Row],[Fare]],VALUE(SUBSTITUTE(Tabla3[[#This Row],[Fare]],".",",")))</f>
        <v>73.5</v>
      </c>
      <c r="D74" t="s">
        <v>1031</v>
      </c>
    </row>
    <row r="75" spans="1:4" x14ac:dyDescent="0.25">
      <c r="A75" s="13">
        <f>IF(Tabla3[[#This Row],[Fare correción 2]]&gt;=1000,Tabla3[[#This Row],[Fare correción 2]]/10,Tabla3[[#This Row],[Fare correción 2]])</f>
        <v>144.542</v>
      </c>
      <c r="B75">
        <f>IF(Tabla3[[#This Row],[Fare corrección]]&gt;1000,Tabla3[[#This Row],[Fare corrección]]/1000,Tabla3[[#This Row],[Fare corrección]])</f>
        <v>144.542</v>
      </c>
      <c r="C75" s="1">
        <f>IF(ISNUMBER(Tabla3[[#This Row],[Fare]]),Tabla3[[#This Row],[Fare]],VALUE(SUBSTITUTE(Tabla3[[#This Row],[Fare]],".",",")))</f>
        <v>144542</v>
      </c>
      <c r="D75" s="1">
        <v>144542</v>
      </c>
    </row>
    <row r="76" spans="1:4" x14ac:dyDescent="0.25">
      <c r="A76" s="13">
        <f>IF(Tabla3[[#This Row],[Fare correción 2]]&gt;=1000,Tabla3[[#This Row],[Fare correción 2]]/10,Tabla3[[#This Row],[Fare correción 2]])</f>
        <v>564.95799999999997</v>
      </c>
      <c r="B76">
        <f>IF(Tabla3[[#This Row],[Fare corrección]]&gt;1000,Tabla3[[#This Row],[Fare corrección]]/1000,Tabla3[[#This Row],[Fare corrección]])</f>
        <v>564.95799999999997</v>
      </c>
      <c r="C76" s="1">
        <f>IF(ISNUMBER(Tabla3[[#This Row],[Fare]]),Tabla3[[#This Row],[Fare]],VALUE(SUBSTITUTE(Tabla3[[#This Row],[Fare]],".",",")))</f>
        <v>564958</v>
      </c>
      <c r="D76" s="1">
        <v>564958</v>
      </c>
    </row>
    <row r="77" spans="1:4" x14ac:dyDescent="0.25">
      <c r="A77" s="13">
        <f>IF(Tabla3[[#This Row],[Fare correción 2]]&gt;=1000,Tabla3[[#This Row],[Fare correción 2]]/10,Tabla3[[#This Row],[Fare correción 2]])</f>
        <v>7.65</v>
      </c>
      <c r="B77">
        <f>IF(Tabla3[[#This Row],[Fare corrección]]&gt;1000,Tabla3[[#This Row],[Fare corrección]]/1000,Tabla3[[#This Row],[Fare corrección]])</f>
        <v>7.65</v>
      </c>
      <c r="C77">
        <f>IF(ISNUMBER(Tabla3[[#This Row],[Fare]]),Tabla3[[#This Row],[Fare]],VALUE(SUBSTITUTE(Tabla3[[#This Row],[Fare]],".",",")))</f>
        <v>7.65</v>
      </c>
      <c r="D77" t="s">
        <v>1035</v>
      </c>
    </row>
    <row r="78" spans="1:4" x14ac:dyDescent="0.25">
      <c r="A78" s="13">
        <f>IF(Tabla3[[#This Row],[Fare correción 2]]&gt;=1000,Tabla3[[#This Row],[Fare correción 2]]/10,Tabla3[[#This Row],[Fare correción 2]])</f>
        <v>78.957999999999998</v>
      </c>
      <c r="B78">
        <f>IF(Tabla3[[#This Row],[Fare corrección]]&gt;1000,Tabla3[[#This Row],[Fare corrección]]/1000,Tabla3[[#This Row],[Fare corrección]])</f>
        <v>78.957999999999998</v>
      </c>
      <c r="C78" s="1">
        <f>IF(ISNUMBER(Tabla3[[#This Row],[Fare]]),Tabla3[[#This Row],[Fare]],VALUE(SUBSTITUTE(Tabla3[[#This Row],[Fare]],".",",")))</f>
        <v>78958</v>
      </c>
      <c r="D78" s="1">
        <v>78958</v>
      </c>
    </row>
    <row r="79" spans="1:4" x14ac:dyDescent="0.25">
      <c r="A79" s="13">
        <f>IF(Tabla3[[#This Row],[Fare correción 2]]&gt;=1000,Tabla3[[#This Row],[Fare correción 2]]/10,Tabla3[[#This Row],[Fare correción 2]])</f>
        <v>8.0500000000000007</v>
      </c>
      <c r="B79">
        <f>IF(Tabla3[[#This Row],[Fare corrección]]&gt;1000,Tabla3[[#This Row],[Fare corrección]]/1000,Tabla3[[#This Row],[Fare corrección]])</f>
        <v>8.0500000000000007</v>
      </c>
      <c r="C79">
        <f>IF(ISNUMBER(Tabla3[[#This Row],[Fare]]),Tabla3[[#This Row],[Fare]],VALUE(SUBSTITUTE(Tabla3[[#This Row],[Fare]],".",",")))</f>
        <v>8.0500000000000007</v>
      </c>
      <c r="D79" t="s">
        <v>917</v>
      </c>
    </row>
    <row r="80" spans="1:4" x14ac:dyDescent="0.25">
      <c r="A80" s="13">
        <f>IF(Tabla3[[#This Row],[Fare correción 2]]&gt;=1000,Tabla3[[#This Row],[Fare correción 2]]/10,Tabla3[[#This Row],[Fare correción 2]])</f>
        <v>29</v>
      </c>
      <c r="B80">
        <f>IF(Tabla3[[#This Row],[Fare corrección]]&gt;1000,Tabla3[[#This Row],[Fare corrección]]/1000,Tabla3[[#This Row],[Fare corrección]])</f>
        <v>29</v>
      </c>
      <c r="C80">
        <f>IF(ISNUMBER(Tabla3[[#This Row],[Fare]]),Tabla3[[#This Row],[Fare]],VALUE(SUBSTITUTE(Tabla3[[#This Row],[Fare]],".",",")))</f>
        <v>29</v>
      </c>
      <c r="D80">
        <v>29</v>
      </c>
    </row>
    <row r="81" spans="1:4" x14ac:dyDescent="0.25">
      <c r="A81" s="13">
        <f>IF(Tabla3[[#This Row],[Fare correción 2]]&gt;=1000,Tabla3[[#This Row],[Fare correción 2]]/10,Tabla3[[#This Row],[Fare correción 2]])</f>
        <v>12.475</v>
      </c>
      <c r="B81">
        <f>IF(Tabla3[[#This Row],[Fare corrección]]&gt;1000,Tabla3[[#This Row],[Fare corrección]]/1000,Tabla3[[#This Row],[Fare corrección]])</f>
        <v>12.475</v>
      </c>
      <c r="C81" s="1">
        <f>IF(ISNUMBER(Tabla3[[#This Row],[Fare]]),Tabla3[[#This Row],[Fare]],VALUE(SUBSTITUTE(Tabla3[[#This Row],[Fare]],".",",")))</f>
        <v>12475</v>
      </c>
      <c r="D81" s="1">
        <v>12475</v>
      </c>
    </row>
    <row r="82" spans="1:4" x14ac:dyDescent="0.25">
      <c r="A82" s="13">
        <f>IF(Tabla3[[#This Row],[Fare correción 2]]&gt;=1000,Tabla3[[#This Row],[Fare correción 2]]/10,Tabla3[[#This Row],[Fare correción 2]])</f>
        <v>9</v>
      </c>
      <c r="B82">
        <f>IF(Tabla3[[#This Row],[Fare corrección]]&gt;1000,Tabla3[[#This Row],[Fare corrección]]/1000,Tabla3[[#This Row],[Fare corrección]])</f>
        <v>9</v>
      </c>
      <c r="C82">
        <f>IF(ISNUMBER(Tabla3[[#This Row],[Fare]]),Tabla3[[#This Row],[Fare]],VALUE(SUBSTITUTE(Tabla3[[#This Row],[Fare]],".",",")))</f>
        <v>9</v>
      </c>
      <c r="D82">
        <v>9</v>
      </c>
    </row>
    <row r="83" spans="1:4" x14ac:dyDescent="0.25">
      <c r="A83" s="13">
        <f>IF(Tabla3[[#This Row],[Fare correción 2]]&gt;=1000,Tabla3[[#This Row],[Fare correción 2]]/10,Tabla3[[#This Row],[Fare correción 2]])</f>
        <v>9.5</v>
      </c>
      <c r="B83">
        <f>IF(Tabla3[[#This Row],[Fare corrección]]&gt;1000,Tabla3[[#This Row],[Fare corrección]]/1000,Tabla3[[#This Row],[Fare corrección]])</f>
        <v>9.5</v>
      </c>
      <c r="C83">
        <f>IF(ISNUMBER(Tabla3[[#This Row],[Fare]]),Tabla3[[#This Row],[Fare]],VALUE(SUBSTITUTE(Tabla3[[#This Row],[Fare]],".",",")))</f>
        <v>9.5</v>
      </c>
      <c r="D83" t="s">
        <v>1044</v>
      </c>
    </row>
    <row r="84" spans="1:4" x14ac:dyDescent="0.25">
      <c r="A84" s="13">
        <f>IF(Tabla3[[#This Row],[Fare correción 2]]&gt;=1000,Tabla3[[#This Row],[Fare correción 2]]/10,Tabla3[[#This Row],[Fare correción 2]])</f>
        <v>77.875</v>
      </c>
      <c r="B84">
        <f>IF(Tabla3[[#This Row],[Fare corrección]]&gt;1000,Tabla3[[#This Row],[Fare corrección]]/1000,Tabla3[[#This Row],[Fare corrección]])</f>
        <v>77.875</v>
      </c>
      <c r="C84" s="1">
        <f>IF(ISNUMBER(Tabla3[[#This Row],[Fare]]),Tabla3[[#This Row],[Fare]],VALUE(SUBSTITUTE(Tabla3[[#This Row],[Fare]],".",",")))</f>
        <v>77875</v>
      </c>
      <c r="D84" s="1">
        <v>77875</v>
      </c>
    </row>
    <row r="85" spans="1:4" x14ac:dyDescent="0.25">
      <c r="A85" s="13">
        <f>IF(Tabla3[[#This Row],[Fare correción 2]]&gt;=1000,Tabla3[[#This Row],[Fare correción 2]]/10,Tabla3[[#This Row],[Fare correción 2]])</f>
        <v>47.1</v>
      </c>
      <c r="B85">
        <f>IF(Tabla3[[#This Row],[Fare corrección]]&gt;1000,Tabla3[[#This Row],[Fare corrección]]/1000,Tabla3[[#This Row],[Fare corrección]])</f>
        <v>47.1</v>
      </c>
      <c r="C85">
        <f>IF(ISNUMBER(Tabla3[[#This Row],[Fare]]),Tabla3[[#This Row],[Fare]],VALUE(SUBSTITUTE(Tabla3[[#This Row],[Fare]],".",",")))</f>
        <v>47.1</v>
      </c>
      <c r="D85" t="s">
        <v>1047</v>
      </c>
    </row>
    <row r="86" spans="1:4" x14ac:dyDescent="0.25">
      <c r="A86" s="13">
        <f>IF(Tabla3[[#This Row],[Fare correción 2]]&gt;=1000,Tabla3[[#This Row],[Fare correción 2]]/10,Tabla3[[#This Row],[Fare correción 2]])</f>
        <v>10.5</v>
      </c>
      <c r="B86">
        <f>IF(Tabla3[[#This Row],[Fare corrección]]&gt;1000,Tabla3[[#This Row],[Fare corrección]]/1000,Tabla3[[#This Row],[Fare corrección]])</f>
        <v>10.5</v>
      </c>
      <c r="C86">
        <f>IF(ISNUMBER(Tabla3[[#This Row],[Fare]]),Tabla3[[#This Row],[Fare]],VALUE(SUBSTITUTE(Tabla3[[#This Row],[Fare]],".",",")))</f>
        <v>10.5</v>
      </c>
      <c r="D86" t="s">
        <v>964</v>
      </c>
    </row>
    <row r="87" spans="1:4" x14ac:dyDescent="0.25">
      <c r="A87" s="13">
        <f>IF(Tabla3[[#This Row],[Fare correción 2]]&gt;=1000,Tabla3[[#This Row],[Fare correción 2]]/10,Tabla3[[#This Row],[Fare correción 2]])</f>
        <v>15.85</v>
      </c>
      <c r="B87">
        <f>IF(Tabla3[[#This Row],[Fare corrección]]&gt;1000,Tabla3[[#This Row],[Fare corrección]]/1000,Tabla3[[#This Row],[Fare corrección]])</f>
        <v>15.85</v>
      </c>
      <c r="C87">
        <f>IF(ISNUMBER(Tabla3[[#This Row],[Fare]]),Tabla3[[#This Row],[Fare]],VALUE(SUBSTITUTE(Tabla3[[#This Row],[Fare]],".",",")))</f>
        <v>15.85</v>
      </c>
      <c r="D87" t="s">
        <v>1051</v>
      </c>
    </row>
    <row r="88" spans="1:4" x14ac:dyDescent="0.25">
      <c r="A88" s="13">
        <f>IF(Tabla3[[#This Row],[Fare correción 2]]&gt;=1000,Tabla3[[#This Row],[Fare correción 2]]/10,Tabla3[[#This Row],[Fare correción 2]])</f>
        <v>34.375</v>
      </c>
      <c r="B88">
        <f>IF(Tabla3[[#This Row],[Fare corrección]]&gt;1000,Tabla3[[#This Row],[Fare corrección]]/1000,Tabla3[[#This Row],[Fare corrección]])</f>
        <v>34.375</v>
      </c>
      <c r="C88" s="1">
        <f>IF(ISNUMBER(Tabla3[[#This Row],[Fare]]),Tabla3[[#This Row],[Fare]],VALUE(SUBSTITUTE(Tabla3[[#This Row],[Fare]],".",",")))</f>
        <v>34375</v>
      </c>
      <c r="D88" s="1">
        <v>34375</v>
      </c>
    </row>
    <row r="89" spans="1:4" x14ac:dyDescent="0.25">
      <c r="A89" s="13">
        <f>IF(Tabla3[[#This Row],[Fare correción 2]]&gt;=1000,Tabla3[[#This Row],[Fare correción 2]]/10,Tabla3[[#This Row],[Fare correción 2]])</f>
        <v>8.0500000000000007</v>
      </c>
      <c r="B89">
        <f>IF(Tabla3[[#This Row],[Fare corrección]]&gt;1000,Tabla3[[#This Row],[Fare corrección]]/1000,Tabla3[[#This Row],[Fare corrección]])</f>
        <v>8.0500000000000007</v>
      </c>
      <c r="C89">
        <f>IF(ISNUMBER(Tabla3[[#This Row],[Fare]]),Tabla3[[#This Row],[Fare]],VALUE(SUBSTITUTE(Tabla3[[#This Row],[Fare]],".",",")))</f>
        <v>8.0500000000000007</v>
      </c>
      <c r="D89" t="s">
        <v>917</v>
      </c>
    </row>
    <row r="90" spans="1:4" x14ac:dyDescent="0.25">
      <c r="A90" s="13">
        <f>IF(Tabla3[[#This Row],[Fare correción 2]]&gt;=1000,Tabla3[[#This Row],[Fare correción 2]]/10,Tabla3[[#This Row],[Fare correción 2]])</f>
        <v>263</v>
      </c>
      <c r="B90">
        <f>IF(Tabla3[[#This Row],[Fare corrección]]&gt;1000,Tabla3[[#This Row],[Fare corrección]]/1000,Tabla3[[#This Row],[Fare corrección]])</f>
        <v>263</v>
      </c>
      <c r="C90">
        <f>IF(ISNUMBER(Tabla3[[#This Row],[Fare]]),Tabla3[[#This Row],[Fare]],VALUE(SUBSTITUTE(Tabla3[[#This Row],[Fare]],".",",")))</f>
        <v>263</v>
      </c>
      <c r="D90">
        <v>263</v>
      </c>
    </row>
    <row r="91" spans="1:4" x14ac:dyDescent="0.25">
      <c r="A91" s="13">
        <f>IF(Tabla3[[#This Row],[Fare correción 2]]&gt;=1000,Tabla3[[#This Row],[Fare correción 2]]/10,Tabla3[[#This Row],[Fare correción 2]])</f>
        <v>8.0500000000000007</v>
      </c>
      <c r="B91">
        <f>IF(Tabla3[[#This Row],[Fare corrección]]&gt;1000,Tabla3[[#This Row],[Fare corrección]]/1000,Tabla3[[#This Row],[Fare corrección]])</f>
        <v>8.0500000000000007</v>
      </c>
      <c r="C91">
        <f>IF(ISNUMBER(Tabla3[[#This Row],[Fare]]),Tabla3[[#This Row],[Fare]],VALUE(SUBSTITUTE(Tabla3[[#This Row],[Fare]],".",",")))</f>
        <v>8.0500000000000007</v>
      </c>
      <c r="D91" t="s">
        <v>917</v>
      </c>
    </row>
    <row r="92" spans="1:4" x14ac:dyDescent="0.25">
      <c r="A92" s="13">
        <f>IF(Tabla3[[#This Row],[Fare correción 2]]&gt;=1000,Tabla3[[#This Row],[Fare correción 2]]/10,Tabla3[[#This Row],[Fare correción 2]])</f>
        <v>8.0500000000000007</v>
      </c>
      <c r="B92">
        <f>IF(Tabla3[[#This Row],[Fare corrección]]&gt;1000,Tabla3[[#This Row],[Fare corrección]]/1000,Tabla3[[#This Row],[Fare corrección]])</f>
        <v>8.0500000000000007</v>
      </c>
      <c r="C92">
        <f>IF(ISNUMBER(Tabla3[[#This Row],[Fare]]),Tabla3[[#This Row],[Fare]],VALUE(SUBSTITUTE(Tabla3[[#This Row],[Fare]],".",",")))</f>
        <v>8.0500000000000007</v>
      </c>
      <c r="D92" t="s">
        <v>917</v>
      </c>
    </row>
    <row r="93" spans="1:4" x14ac:dyDescent="0.25">
      <c r="A93" s="13">
        <f>IF(Tabla3[[#This Row],[Fare correción 2]]&gt;=1000,Tabla3[[#This Row],[Fare correción 2]]/10,Tabla3[[#This Row],[Fare correción 2]])</f>
        <v>78.542000000000002</v>
      </c>
      <c r="B93">
        <f>IF(Tabla3[[#This Row],[Fare corrección]]&gt;1000,Tabla3[[#This Row],[Fare corrección]]/1000,Tabla3[[#This Row],[Fare corrección]])</f>
        <v>78.542000000000002</v>
      </c>
      <c r="C93" s="1">
        <f>IF(ISNUMBER(Tabla3[[#This Row],[Fare]]),Tabla3[[#This Row],[Fare]],VALUE(SUBSTITUTE(Tabla3[[#This Row],[Fare]],".",",")))</f>
        <v>78542</v>
      </c>
      <c r="D93" s="1">
        <v>78542</v>
      </c>
    </row>
    <row r="94" spans="1:4" x14ac:dyDescent="0.25">
      <c r="A94" s="13">
        <f>IF(Tabla3[[#This Row],[Fare correción 2]]&gt;=1000,Tabla3[[#This Row],[Fare correción 2]]/10,Tabla3[[#This Row],[Fare correción 2]])</f>
        <v>61.174999999999997</v>
      </c>
      <c r="B94">
        <f>IF(Tabla3[[#This Row],[Fare corrección]]&gt;1000,Tabla3[[#This Row],[Fare corrección]]/1000,Tabla3[[#This Row],[Fare corrección]])</f>
        <v>61.174999999999997</v>
      </c>
      <c r="C94" s="1">
        <f>IF(ISNUMBER(Tabla3[[#This Row],[Fare]]),Tabla3[[#This Row],[Fare]],VALUE(SUBSTITUTE(Tabla3[[#This Row],[Fare]],".",",")))</f>
        <v>61175</v>
      </c>
      <c r="D94" s="1">
        <v>61175</v>
      </c>
    </row>
    <row r="95" spans="1:4" x14ac:dyDescent="0.25">
      <c r="A95" s="13">
        <f>IF(Tabla3[[#This Row],[Fare correción 2]]&gt;=1000,Tabla3[[#This Row],[Fare correción 2]]/10,Tabla3[[#This Row],[Fare correción 2]])</f>
        <v>20.574999999999999</v>
      </c>
      <c r="B95">
        <f>IF(Tabla3[[#This Row],[Fare corrección]]&gt;1000,Tabla3[[#This Row],[Fare corrección]]/1000,Tabla3[[#This Row],[Fare corrección]])</f>
        <v>20.574999999999999</v>
      </c>
      <c r="C95" s="1">
        <f>IF(ISNUMBER(Tabla3[[#This Row],[Fare]]),Tabla3[[#This Row],[Fare]],VALUE(SUBSTITUTE(Tabla3[[#This Row],[Fare]],".",",")))</f>
        <v>20575</v>
      </c>
      <c r="D95" s="1">
        <v>20575</v>
      </c>
    </row>
    <row r="96" spans="1:4" x14ac:dyDescent="0.25">
      <c r="A96" s="13">
        <f>IF(Tabla3[[#This Row],[Fare correción 2]]&gt;=1000,Tabla3[[#This Row],[Fare correción 2]]/10,Tabla3[[#This Row],[Fare correción 2]])</f>
        <v>7.25</v>
      </c>
      <c r="B96">
        <f>IF(Tabla3[[#This Row],[Fare corrección]]&gt;1000,Tabla3[[#This Row],[Fare corrección]]/1000,Tabla3[[#This Row],[Fare corrección]])</f>
        <v>7.25</v>
      </c>
      <c r="C96">
        <f>IF(ISNUMBER(Tabla3[[#This Row],[Fare]]),Tabla3[[#This Row],[Fare]],VALUE(SUBSTITUTE(Tabla3[[#This Row],[Fare]],".",",")))</f>
        <v>7.25</v>
      </c>
      <c r="D96" t="s">
        <v>904</v>
      </c>
    </row>
    <row r="97" spans="1:4" x14ac:dyDescent="0.25">
      <c r="A97" s="13">
        <f>IF(Tabla3[[#This Row],[Fare correción 2]]&gt;=1000,Tabla3[[#This Row],[Fare correción 2]]/10,Tabla3[[#This Row],[Fare correción 2]])</f>
        <v>8.0500000000000007</v>
      </c>
      <c r="B97">
        <f>IF(Tabla3[[#This Row],[Fare corrección]]&gt;1000,Tabla3[[#This Row],[Fare corrección]]/1000,Tabla3[[#This Row],[Fare corrección]])</f>
        <v>8.0500000000000007</v>
      </c>
      <c r="C97">
        <f>IF(ISNUMBER(Tabla3[[#This Row],[Fare]]),Tabla3[[#This Row],[Fare]],VALUE(SUBSTITUTE(Tabla3[[#This Row],[Fare]],".",",")))</f>
        <v>8.0500000000000007</v>
      </c>
      <c r="D97" t="s">
        <v>917</v>
      </c>
    </row>
    <row r="98" spans="1:4" x14ac:dyDescent="0.25">
      <c r="A98" s="13">
        <f>IF(Tabla3[[#This Row],[Fare correción 2]]&gt;=1000,Tabla3[[#This Row],[Fare correción 2]]/10,Tabla3[[#This Row],[Fare correción 2]])</f>
        <v>346.54199999999997</v>
      </c>
      <c r="B98">
        <f>IF(Tabla3[[#This Row],[Fare corrección]]&gt;1000,Tabla3[[#This Row],[Fare corrección]]/1000,Tabla3[[#This Row],[Fare corrección]])</f>
        <v>346.54199999999997</v>
      </c>
      <c r="C98" s="1">
        <f>IF(ISNUMBER(Tabla3[[#This Row],[Fare]]),Tabla3[[#This Row],[Fare]],VALUE(SUBSTITUTE(Tabla3[[#This Row],[Fare]],".",",")))</f>
        <v>346542</v>
      </c>
      <c r="D98" s="1">
        <v>346542</v>
      </c>
    </row>
    <row r="99" spans="1:4" x14ac:dyDescent="0.25">
      <c r="A99" s="13">
        <f>IF(Tabla3[[#This Row],[Fare correción 2]]&gt;=1000,Tabla3[[#This Row],[Fare correción 2]]/10,Tabla3[[#This Row],[Fare correción 2]])</f>
        <v>633.58299999999997</v>
      </c>
      <c r="B99">
        <f>IF(Tabla3[[#This Row],[Fare corrección]]&gt;1000,Tabla3[[#This Row],[Fare corrección]]/1000,Tabla3[[#This Row],[Fare corrección]])</f>
        <v>633.58299999999997</v>
      </c>
      <c r="C99" s="1">
        <f>IF(ISNUMBER(Tabla3[[#This Row],[Fare]]),Tabla3[[#This Row],[Fare]],VALUE(SUBSTITUTE(Tabla3[[#This Row],[Fare]],".",",")))</f>
        <v>633583</v>
      </c>
      <c r="D99" s="1">
        <v>633583</v>
      </c>
    </row>
    <row r="100" spans="1:4" x14ac:dyDescent="0.25">
      <c r="A100" s="13">
        <f>IF(Tabla3[[#This Row],[Fare correción 2]]&gt;=1000,Tabla3[[#This Row],[Fare correción 2]]/10,Tabla3[[#This Row],[Fare correción 2]])</f>
        <v>23</v>
      </c>
      <c r="B100">
        <f>IF(Tabla3[[#This Row],[Fare corrección]]&gt;1000,Tabla3[[#This Row],[Fare corrección]]/1000,Tabla3[[#This Row],[Fare corrección]])</f>
        <v>23</v>
      </c>
      <c r="C100">
        <f>IF(ISNUMBER(Tabla3[[#This Row],[Fare]]),Tabla3[[#This Row],[Fare]],VALUE(SUBSTITUTE(Tabla3[[#This Row],[Fare]],".",",")))</f>
        <v>23</v>
      </c>
      <c r="D100">
        <v>23</v>
      </c>
    </row>
    <row r="101" spans="1:4" x14ac:dyDescent="0.25">
      <c r="A101" s="13">
        <f>IF(Tabla3[[#This Row],[Fare correción 2]]&gt;=1000,Tabla3[[#This Row],[Fare correción 2]]/10,Tabla3[[#This Row],[Fare correción 2]])</f>
        <v>26</v>
      </c>
      <c r="B101">
        <f>IF(Tabla3[[#This Row],[Fare corrección]]&gt;1000,Tabla3[[#This Row],[Fare corrección]]/1000,Tabla3[[#This Row],[Fare corrección]])</f>
        <v>26</v>
      </c>
      <c r="C101">
        <f>IF(ISNUMBER(Tabla3[[#This Row],[Fare]]),Tabla3[[#This Row],[Fare]],VALUE(SUBSTITUTE(Tabla3[[#This Row],[Fare]],".",",")))</f>
        <v>26</v>
      </c>
      <c r="D101">
        <v>26</v>
      </c>
    </row>
    <row r="102" spans="1:4" x14ac:dyDescent="0.25">
      <c r="A102" s="13">
        <f>IF(Tabla3[[#This Row],[Fare correción 2]]&gt;=1000,Tabla3[[#This Row],[Fare correción 2]]/10,Tabla3[[#This Row],[Fare correción 2]])</f>
        <v>78.957999999999998</v>
      </c>
      <c r="B102">
        <f>IF(Tabla3[[#This Row],[Fare corrección]]&gt;1000,Tabla3[[#This Row],[Fare corrección]]/1000,Tabla3[[#This Row],[Fare corrección]])</f>
        <v>78.957999999999998</v>
      </c>
      <c r="C102" s="1">
        <f>IF(ISNUMBER(Tabla3[[#This Row],[Fare]]),Tabla3[[#This Row],[Fare]],VALUE(SUBSTITUTE(Tabla3[[#This Row],[Fare]],".",",")))</f>
        <v>78958</v>
      </c>
      <c r="D102" s="1">
        <v>78958</v>
      </c>
    </row>
    <row r="103" spans="1:4" x14ac:dyDescent="0.25">
      <c r="A103" s="13">
        <f>IF(Tabla3[[#This Row],[Fare correción 2]]&gt;=1000,Tabla3[[#This Row],[Fare correción 2]]/10,Tabla3[[#This Row],[Fare correción 2]])</f>
        <v>78.957999999999998</v>
      </c>
      <c r="B103">
        <f>IF(Tabla3[[#This Row],[Fare corrección]]&gt;1000,Tabla3[[#This Row],[Fare corrección]]/1000,Tabla3[[#This Row],[Fare corrección]])</f>
        <v>78.957999999999998</v>
      </c>
      <c r="C103" s="1">
        <f>IF(ISNUMBER(Tabla3[[#This Row],[Fare]]),Tabla3[[#This Row],[Fare]],VALUE(SUBSTITUTE(Tabla3[[#This Row],[Fare]],".",",")))</f>
        <v>78958</v>
      </c>
      <c r="D103" s="1">
        <v>78958</v>
      </c>
    </row>
    <row r="104" spans="1:4" x14ac:dyDescent="0.25">
      <c r="A104" s="13">
        <f>IF(Tabla3[[#This Row],[Fare correción 2]]&gt;=1000,Tabla3[[#This Row],[Fare correción 2]]/10,Tabla3[[#This Row],[Fare correción 2]])</f>
        <v>772.875</v>
      </c>
      <c r="B104">
        <f>IF(Tabla3[[#This Row],[Fare corrección]]&gt;1000,Tabla3[[#This Row],[Fare corrección]]/1000,Tabla3[[#This Row],[Fare corrección]])</f>
        <v>772.875</v>
      </c>
      <c r="C104" s="1">
        <f>IF(ISNUMBER(Tabla3[[#This Row],[Fare]]),Tabla3[[#This Row],[Fare]],VALUE(SUBSTITUTE(Tabla3[[#This Row],[Fare]],".",",")))</f>
        <v>772875</v>
      </c>
      <c r="D104" s="1">
        <v>772875</v>
      </c>
    </row>
    <row r="105" spans="1:4" x14ac:dyDescent="0.25">
      <c r="A105" s="13">
        <f>IF(Tabla3[[#This Row],[Fare correción 2]]&gt;=1000,Tabla3[[#This Row],[Fare correción 2]]/10,Tabla3[[#This Row],[Fare correción 2]])</f>
        <v>86.542000000000002</v>
      </c>
      <c r="B105">
        <f>IF(Tabla3[[#This Row],[Fare corrección]]&gt;1000,Tabla3[[#This Row],[Fare corrección]]/1000,Tabla3[[#This Row],[Fare corrección]])</f>
        <v>86.542000000000002</v>
      </c>
      <c r="C105" s="1">
        <f>IF(ISNUMBER(Tabla3[[#This Row],[Fare]]),Tabla3[[#This Row],[Fare]],VALUE(SUBSTITUTE(Tabla3[[#This Row],[Fare]],".",",")))</f>
        <v>86542</v>
      </c>
      <c r="D105" s="1">
        <v>86542</v>
      </c>
    </row>
    <row r="106" spans="1:4" x14ac:dyDescent="0.25">
      <c r="A106" s="13">
        <f>IF(Tabla3[[#This Row],[Fare correción 2]]&gt;=1000,Tabla3[[#This Row],[Fare correción 2]]/10,Tabla3[[#This Row],[Fare correción 2]])</f>
        <v>7.9249999999999998</v>
      </c>
      <c r="B106">
        <f>IF(Tabla3[[#This Row],[Fare corrección]]&gt;1000,Tabla3[[#This Row],[Fare corrección]]/1000,Tabla3[[#This Row],[Fare corrección]])</f>
        <v>7.9249999999999998</v>
      </c>
      <c r="C106" s="1">
        <f>IF(ISNUMBER(Tabla3[[#This Row],[Fare]]),Tabla3[[#This Row],[Fare]],VALUE(SUBSTITUTE(Tabla3[[#This Row],[Fare]],".",",")))</f>
        <v>7925</v>
      </c>
      <c r="D106" s="1">
        <v>7925</v>
      </c>
    </row>
    <row r="107" spans="1:4" x14ac:dyDescent="0.25">
      <c r="A107" s="13">
        <f>IF(Tabla3[[#This Row],[Fare correción 2]]&gt;=1000,Tabla3[[#This Row],[Fare correción 2]]/10,Tabla3[[#This Row],[Fare correción 2]])</f>
        <v>78.957999999999998</v>
      </c>
      <c r="B107">
        <f>IF(Tabla3[[#This Row],[Fare corrección]]&gt;1000,Tabla3[[#This Row],[Fare corrección]]/1000,Tabla3[[#This Row],[Fare corrección]])</f>
        <v>78.957999999999998</v>
      </c>
      <c r="C107" s="1">
        <f>IF(ISNUMBER(Tabla3[[#This Row],[Fare]]),Tabla3[[#This Row],[Fare]],VALUE(SUBSTITUTE(Tabla3[[#This Row],[Fare]],".",",")))</f>
        <v>78958</v>
      </c>
      <c r="D107" s="1">
        <v>78958</v>
      </c>
    </row>
    <row r="108" spans="1:4" x14ac:dyDescent="0.25">
      <c r="A108" s="13">
        <f>IF(Tabla3[[#This Row],[Fare correción 2]]&gt;=1000,Tabla3[[#This Row],[Fare correción 2]]/10,Tabla3[[#This Row],[Fare correción 2]])</f>
        <v>7.65</v>
      </c>
      <c r="B108">
        <f>IF(Tabla3[[#This Row],[Fare corrección]]&gt;1000,Tabla3[[#This Row],[Fare corrección]]/1000,Tabla3[[#This Row],[Fare corrección]])</f>
        <v>7.65</v>
      </c>
      <c r="C108">
        <f>IF(ISNUMBER(Tabla3[[#This Row],[Fare]]),Tabla3[[#This Row],[Fare]],VALUE(SUBSTITUTE(Tabla3[[#This Row],[Fare]],".",",")))</f>
        <v>7.65</v>
      </c>
      <c r="D108" t="s">
        <v>1035</v>
      </c>
    </row>
    <row r="109" spans="1:4" x14ac:dyDescent="0.25">
      <c r="A109" s="13">
        <f>IF(Tabla3[[#This Row],[Fare correción 2]]&gt;=1000,Tabla3[[#This Row],[Fare correción 2]]/10,Tabla3[[#This Row],[Fare correción 2]])</f>
        <v>7.7750000000000004</v>
      </c>
      <c r="B109">
        <f>IF(Tabla3[[#This Row],[Fare corrección]]&gt;1000,Tabla3[[#This Row],[Fare corrección]]/1000,Tabla3[[#This Row],[Fare corrección]])</f>
        <v>7.7750000000000004</v>
      </c>
      <c r="C109" s="1">
        <f>IF(ISNUMBER(Tabla3[[#This Row],[Fare]]),Tabla3[[#This Row],[Fare]],VALUE(SUBSTITUTE(Tabla3[[#This Row],[Fare]],".",",")))</f>
        <v>7775</v>
      </c>
      <c r="D109" s="1">
        <v>7775</v>
      </c>
    </row>
    <row r="110" spans="1:4" x14ac:dyDescent="0.25">
      <c r="A110" s="13">
        <f>IF(Tabla3[[#This Row],[Fare correción 2]]&gt;=1000,Tabla3[[#This Row],[Fare correción 2]]/10,Tabla3[[#This Row],[Fare correción 2]])</f>
        <v>78.957999999999998</v>
      </c>
      <c r="B110">
        <f>IF(Tabla3[[#This Row],[Fare corrección]]&gt;1000,Tabla3[[#This Row],[Fare corrección]]/1000,Tabla3[[#This Row],[Fare corrección]])</f>
        <v>78.957999999999998</v>
      </c>
      <c r="C110" s="1">
        <f>IF(ISNUMBER(Tabla3[[#This Row],[Fare]]),Tabla3[[#This Row],[Fare]],VALUE(SUBSTITUTE(Tabla3[[#This Row],[Fare]],".",",")))</f>
        <v>78958</v>
      </c>
      <c r="D110" s="1">
        <v>78958</v>
      </c>
    </row>
    <row r="111" spans="1:4" x14ac:dyDescent="0.25">
      <c r="A111" s="13">
        <f>IF(Tabla3[[#This Row],[Fare correción 2]]&gt;=1000,Tabla3[[#This Row],[Fare correción 2]]/10,Tabla3[[#This Row],[Fare correción 2]])</f>
        <v>24.15</v>
      </c>
      <c r="B111">
        <f>IF(Tabla3[[#This Row],[Fare corrección]]&gt;1000,Tabla3[[#This Row],[Fare corrección]]/1000,Tabla3[[#This Row],[Fare corrección]])</f>
        <v>24.15</v>
      </c>
      <c r="C111">
        <f>IF(ISNUMBER(Tabla3[[#This Row],[Fare]]),Tabla3[[#This Row],[Fare]],VALUE(SUBSTITUTE(Tabla3[[#This Row],[Fare]],".",",")))</f>
        <v>24.15</v>
      </c>
      <c r="D111" t="s">
        <v>1086</v>
      </c>
    </row>
    <row r="112" spans="1:4" x14ac:dyDescent="0.25">
      <c r="A112" s="13">
        <f>IF(Tabla3[[#This Row],[Fare correción 2]]&gt;=1000,Tabla3[[#This Row],[Fare correción 2]]/10,Tabla3[[#This Row],[Fare correción 2]])</f>
        <v>52</v>
      </c>
      <c r="B112">
        <f>IF(Tabla3[[#This Row],[Fare corrección]]&gt;1000,Tabla3[[#This Row],[Fare corrección]]/1000,Tabla3[[#This Row],[Fare corrección]])</f>
        <v>52</v>
      </c>
      <c r="C112">
        <f>IF(ISNUMBER(Tabla3[[#This Row],[Fare]]),Tabla3[[#This Row],[Fare]],VALUE(SUBSTITUTE(Tabla3[[#This Row],[Fare]],".",",")))</f>
        <v>52</v>
      </c>
      <c r="D112">
        <v>52</v>
      </c>
    </row>
    <row r="113" spans="1:4" x14ac:dyDescent="0.25">
      <c r="A113" s="13">
        <f>IF(Tabla3[[#This Row],[Fare correción 2]]&gt;=1000,Tabla3[[#This Row],[Fare correción 2]]/10,Tabla3[[#This Row],[Fare correción 2]])</f>
        <v>144.542</v>
      </c>
      <c r="B113">
        <f>IF(Tabla3[[#This Row],[Fare corrección]]&gt;1000,Tabla3[[#This Row],[Fare corrección]]/1000,Tabla3[[#This Row],[Fare corrección]])</f>
        <v>144.542</v>
      </c>
      <c r="C113" s="1">
        <f>IF(ISNUMBER(Tabla3[[#This Row],[Fare]]),Tabla3[[#This Row],[Fare]],VALUE(SUBSTITUTE(Tabla3[[#This Row],[Fare]],".",",")))</f>
        <v>144542</v>
      </c>
      <c r="D113" s="1">
        <v>144542</v>
      </c>
    </row>
    <row r="114" spans="1:4" x14ac:dyDescent="0.25">
      <c r="A114" s="13">
        <f>IF(Tabla3[[#This Row],[Fare correción 2]]&gt;=1000,Tabla3[[#This Row],[Fare correción 2]]/10,Tabla3[[#This Row],[Fare correción 2]])</f>
        <v>8.0500000000000007</v>
      </c>
      <c r="B114">
        <f>IF(Tabla3[[#This Row],[Fare corrección]]&gt;1000,Tabla3[[#This Row],[Fare corrección]]/1000,Tabla3[[#This Row],[Fare corrección]])</f>
        <v>8.0500000000000007</v>
      </c>
      <c r="C114">
        <f>IF(ISNUMBER(Tabla3[[#This Row],[Fare]]),Tabla3[[#This Row],[Fare]],VALUE(SUBSTITUTE(Tabla3[[#This Row],[Fare]],".",",")))</f>
        <v>8.0500000000000007</v>
      </c>
      <c r="D114" t="s">
        <v>917</v>
      </c>
    </row>
    <row r="115" spans="1:4" x14ac:dyDescent="0.25">
      <c r="A115" s="13">
        <f>IF(Tabla3[[#This Row],[Fare correción 2]]&gt;=1000,Tabla3[[#This Row],[Fare correción 2]]/10,Tabla3[[#This Row],[Fare correción 2]])</f>
        <v>9.8249999999999993</v>
      </c>
      <c r="B115">
        <f>IF(Tabla3[[#This Row],[Fare corrección]]&gt;1000,Tabla3[[#This Row],[Fare corrección]]/1000,Tabla3[[#This Row],[Fare corrección]])</f>
        <v>9.8249999999999993</v>
      </c>
      <c r="C115" s="1">
        <f>IF(ISNUMBER(Tabla3[[#This Row],[Fare]]),Tabla3[[#This Row],[Fare]],VALUE(SUBSTITUTE(Tabla3[[#This Row],[Fare]],".",",")))</f>
        <v>9825</v>
      </c>
      <c r="D115" s="1">
        <v>9825</v>
      </c>
    </row>
    <row r="116" spans="1:4" x14ac:dyDescent="0.25">
      <c r="A116" s="13">
        <f>IF(Tabla3[[#This Row],[Fare correción 2]]&gt;=1000,Tabla3[[#This Row],[Fare correción 2]]/10,Tabla3[[#This Row],[Fare correción 2]])</f>
        <v>144.583</v>
      </c>
      <c r="B116">
        <f>IF(Tabla3[[#This Row],[Fare corrección]]&gt;1000,Tabla3[[#This Row],[Fare corrección]]/1000,Tabla3[[#This Row],[Fare corrección]])</f>
        <v>144.583</v>
      </c>
      <c r="C116" s="1">
        <f>IF(ISNUMBER(Tabla3[[#This Row],[Fare]]),Tabla3[[#This Row],[Fare]],VALUE(SUBSTITUTE(Tabla3[[#This Row],[Fare]],".",",")))</f>
        <v>144583</v>
      </c>
      <c r="D116" s="1">
        <v>144583</v>
      </c>
    </row>
    <row r="117" spans="1:4" x14ac:dyDescent="0.25">
      <c r="A117" s="13">
        <f>IF(Tabla3[[#This Row],[Fare correción 2]]&gt;=1000,Tabla3[[#This Row],[Fare correción 2]]/10,Tabla3[[#This Row],[Fare correción 2]])</f>
        <v>7.9249999999999998</v>
      </c>
      <c r="B117">
        <f>IF(Tabla3[[#This Row],[Fare corrección]]&gt;1000,Tabla3[[#This Row],[Fare corrección]]/1000,Tabla3[[#This Row],[Fare corrección]])</f>
        <v>7.9249999999999998</v>
      </c>
      <c r="C117" s="1">
        <f>IF(ISNUMBER(Tabla3[[#This Row],[Fare]]),Tabla3[[#This Row],[Fare]],VALUE(SUBSTITUTE(Tabla3[[#This Row],[Fare]],".",",")))</f>
        <v>7925</v>
      </c>
      <c r="D117" s="1">
        <v>7925</v>
      </c>
    </row>
    <row r="118" spans="1:4" x14ac:dyDescent="0.25">
      <c r="A118" s="13">
        <f>IF(Tabla3[[#This Row],[Fare correción 2]]&gt;=1000,Tabla3[[#This Row],[Fare correción 2]]/10,Tabla3[[#This Row],[Fare correción 2]])</f>
        <v>7.75</v>
      </c>
      <c r="B118">
        <f>IF(Tabla3[[#This Row],[Fare corrección]]&gt;1000,Tabla3[[#This Row],[Fare corrección]]/1000,Tabla3[[#This Row],[Fare corrección]])</f>
        <v>7.75</v>
      </c>
      <c r="C118">
        <f>IF(ISNUMBER(Tabla3[[#This Row],[Fare]]),Tabla3[[#This Row],[Fare]],VALUE(SUBSTITUTE(Tabla3[[#This Row],[Fare]],".",",")))</f>
        <v>7.75</v>
      </c>
      <c r="D118" t="s">
        <v>961</v>
      </c>
    </row>
    <row r="119" spans="1:4" x14ac:dyDescent="0.25">
      <c r="A119" s="13">
        <f>IF(Tabla3[[#This Row],[Fare correción 2]]&gt;=1000,Tabla3[[#This Row],[Fare correción 2]]/10,Tabla3[[#This Row],[Fare correción 2]])</f>
        <v>21</v>
      </c>
      <c r="B119">
        <f>IF(Tabla3[[#This Row],[Fare corrección]]&gt;1000,Tabla3[[#This Row],[Fare corrección]]/1000,Tabla3[[#This Row],[Fare corrección]])</f>
        <v>21</v>
      </c>
      <c r="C119">
        <f>IF(ISNUMBER(Tabla3[[#This Row],[Fare]]),Tabla3[[#This Row],[Fare]],VALUE(SUBSTITUTE(Tabla3[[#This Row],[Fare]],".",",")))</f>
        <v>21</v>
      </c>
      <c r="D119">
        <v>21</v>
      </c>
    </row>
    <row r="120" spans="1:4" x14ac:dyDescent="0.25">
      <c r="A120" s="13">
        <f>IF(Tabla3[[#This Row],[Fare correción 2]]&gt;=1000,Tabla3[[#This Row],[Fare correción 2]]/10,Tabla3[[#This Row],[Fare correción 2]])</f>
        <v>247.52080000000001</v>
      </c>
      <c r="B120">
        <f>IF(Tabla3[[#This Row],[Fare corrección]]&gt;1000,Tabla3[[#This Row],[Fare corrección]]/1000,Tabla3[[#This Row],[Fare corrección]])</f>
        <v>2475.2080000000001</v>
      </c>
      <c r="C120" s="1">
        <f>IF(ISNUMBER(Tabla3[[#This Row],[Fare]]),Tabla3[[#This Row],[Fare]],VALUE(SUBSTITUTE(Tabla3[[#This Row],[Fare]],".",",")))</f>
        <v>2475208</v>
      </c>
      <c r="D120" s="1">
        <v>2475208</v>
      </c>
    </row>
    <row r="121" spans="1:4" x14ac:dyDescent="0.25">
      <c r="A121" s="13">
        <f>IF(Tabla3[[#This Row],[Fare correción 2]]&gt;=1000,Tabla3[[#This Row],[Fare correción 2]]/10,Tabla3[[#This Row],[Fare correción 2]])</f>
        <v>31.274999999999999</v>
      </c>
      <c r="B121">
        <f>IF(Tabla3[[#This Row],[Fare corrección]]&gt;1000,Tabla3[[#This Row],[Fare corrección]]/1000,Tabla3[[#This Row],[Fare corrección]])</f>
        <v>31.274999999999999</v>
      </c>
      <c r="C121" s="1">
        <f>IF(ISNUMBER(Tabla3[[#This Row],[Fare]]),Tabla3[[#This Row],[Fare]],VALUE(SUBSTITUTE(Tabla3[[#This Row],[Fare]],".",",")))</f>
        <v>31275</v>
      </c>
      <c r="D121" s="1">
        <v>31275</v>
      </c>
    </row>
    <row r="122" spans="1:4" x14ac:dyDescent="0.25">
      <c r="A122" s="13">
        <f>IF(Tabla3[[#This Row],[Fare correción 2]]&gt;=1000,Tabla3[[#This Row],[Fare correción 2]]/10,Tabla3[[#This Row],[Fare correción 2]])</f>
        <v>73.5</v>
      </c>
      <c r="B122">
        <f>IF(Tabla3[[#This Row],[Fare corrección]]&gt;1000,Tabla3[[#This Row],[Fare corrección]]/1000,Tabla3[[#This Row],[Fare corrección]])</f>
        <v>73.5</v>
      </c>
      <c r="C122">
        <f>IF(ISNUMBER(Tabla3[[#This Row],[Fare]]),Tabla3[[#This Row],[Fare]],VALUE(SUBSTITUTE(Tabla3[[#This Row],[Fare]],".",",")))</f>
        <v>73.5</v>
      </c>
      <c r="D122" t="s">
        <v>1031</v>
      </c>
    </row>
    <row r="123" spans="1:4" x14ac:dyDescent="0.25">
      <c r="A123" s="13">
        <f>IF(Tabla3[[#This Row],[Fare correción 2]]&gt;=1000,Tabla3[[#This Row],[Fare correción 2]]/10,Tabla3[[#This Row],[Fare correción 2]])</f>
        <v>8.0500000000000007</v>
      </c>
      <c r="B123">
        <f>IF(Tabla3[[#This Row],[Fare corrección]]&gt;1000,Tabla3[[#This Row],[Fare corrección]]/1000,Tabla3[[#This Row],[Fare corrección]])</f>
        <v>8.0500000000000007</v>
      </c>
      <c r="C123">
        <f>IF(ISNUMBER(Tabla3[[#This Row],[Fare]]),Tabla3[[#This Row],[Fare]],VALUE(SUBSTITUTE(Tabla3[[#This Row],[Fare]],".",",")))</f>
        <v>8.0500000000000007</v>
      </c>
      <c r="D123" t="s">
        <v>917</v>
      </c>
    </row>
    <row r="124" spans="1:4" x14ac:dyDescent="0.25">
      <c r="A124" s="13">
        <f>IF(Tabla3[[#This Row],[Fare correción 2]]&gt;=1000,Tabla3[[#This Row],[Fare correción 2]]/10,Tabla3[[#This Row],[Fare correción 2]])</f>
        <v>300.70800000000003</v>
      </c>
      <c r="B124">
        <f>IF(Tabla3[[#This Row],[Fare corrección]]&gt;1000,Tabla3[[#This Row],[Fare corrección]]/1000,Tabla3[[#This Row],[Fare corrección]])</f>
        <v>300.70800000000003</v>
      </c>
      <c r="C124" s="1">
        <f>IF(ISNUMBER(Tabla3[[#This Row],[Fare]]),Tabla3[[#This Row],[Fare]],VALUE(SUBSTITUTE(Tabla3[[#This Row],[Fare]],".",",")))</f>
        <v>300708</v>
      </c>
      <c r="D124" s="1">
        <v>300708</v>
      </c>
    </row>
    <row r="125" spans="1:4" x14ac:dyDescent="0.25">
      <c r="A125" s="13">
        <f>IF(Tabla3[[#This Row],[Fare correción 2]]&gt;=1000,Tabla3[[#This Row],[Fare correción 2]]/10,Tabla3[[#This Row],[Fare correción 2]])</f>
        <v>13</v>
      </c>
      <c r="B125">
        <f>IF(Tabla3[[#This Row],[Fare corrección]]&gt;1000,Tabla3[[#This Row],[Fare corrección]]/1000,Tabla3[[#This Row],[Fare corrección]])</f>
        <v>13</v>
      </c>
      <c r="C125">
        <f>IF(ISNUMBER(Tabla3[[#This Row],[Fare]]),Tabla3[[#This Row],[Fare]],VALUE(SUBSTITUTE(Tabla3[[#This Row],[Fare]],".",",")))</f>
        <v>13</v>
      </c>
      <c r="D125">
        <v>13</v>
      </c>
    </row>
    <row r="126" spans="1:4" x14ac:dyDescent="0.25">
      <c r="A126" s="13">
        <f>IF(Tabla3[[#This Row],[Fare correción 2]]&gt;=1000,Tabla3[[#This Row],[Fare correción 2]]/10,Tabla3[[#This Row],[Fare correción 2]])</f>
        <v>772.875</v>
      </c>
      <c r="B126">
        <f>IF(Tabla3[[#This Row],[Fare corrección]]&gt;1000,Tabla3[[#This Row],[Fare corrección]]/1000,Tabla3[[#This Row],[Fare corrección]])</f>
        <v>772.875</v>
      </c>
      <c r="C126" s="1">
        <f>IF(ISNUMBER(Tabla3[[#This Row],[Fare]]),Tabla3[[#This Row],[Fare]],VALUE(SUBSTITUTE(Tabla3[[#This Row],[Fare]],".",",")))</f>
        <v>772875</v>
      </c>
      <c r="D126" s="1">
        <v>772875</v>
      </c>
    </row>
    <row r="127" spans="1:4" x14ac:dyDescent="0.25">
      <c r="A127" s="13">
        <f>IF(Tabla3[[#This Row],[Fare correción 2]]&gt;=1000,Tabla3[[#This Row],[Fare correción 2]]/10,Tabla3[[#This Row],[Fare correción 2]])</f>
        <v>112.417</v>
      </c>
      <c r="B127">
        <f>IF(Tabla3[[#This Row],[Fare corrección]]&gt;1000,Tabla3[[#This Row],[Fare corrección]]/1000,Tabla3[[#This Row],[Fare corrección]])</f>
        <v>112.417</v>
      </c>
      <c r="C127" s="1">
        <f>IF(ISNUMBER(Tabla3[[#This Row],[Fare]]),Tabla3[[#This Row],[Fare]],VALUE(SUBSTITUTE(Tabla3[[#This Row],[Fare]],".",",")))</f>
        <v>112417</v>
      </c>
      <c r="D127" s="1">
        <v>112417</v>
      </c>
    </row>
    <row r="128" spans="1:4" x14ac:dyDescent="0.25">
      <c r="A128" s="13">
        <f>IF(Tabla3[[#This Row],[Fare correción 2]]&gt;=1000,Tabla3[[#This Row],[Fare correción 2]]/10,Tabla3[[#This Row],[Fare correción 2]])</f>
        <v>7.75</v>
      </c>
      <c r="B128">
        <f>IF(Tabla3[[#This Row],[Fare corrección]]&gt;1000,Tabla3[[#This Row],[Fare corrección]]/1000,Tabla3[[#This Row],[Fare corrección]])</f>
        <v>7.75</v>
      </c>
      <c r="C128">
        <f>IF(ISNUMBER(Tabla3[[#This Row],[Fare]]),Tabla3[[#This Row],[Fare]],VALUE(SUBSTITUTE(Tabla3[[#This Row],[Fare]],".",",")))</f>
        <v>7.75</v>
      </c>
      <c r="D128" t="s">
        <v>961</v>
      </c>
    </row>
    <row r="129" spans="1:4" x14ac:dyDescent="0.25">
      <c r="A129" s="13">
        <f>IF(Tabla3[[#This Row],[Fare correción 2]]&gt;=1000,Tabla3[[#This Row],[Fare correción 2]]/10,Tabla3[[#This Row],[Fare correción 2]])</f>
        <v>71.417000000000002</v>
      </c>
      <c r="B129">
        <f>IF(Tabla3[[#This Row],[Fare corrección]]&gt;1000,Tabla3[[#This Row],[Fare corrección]]/1000,Tabla3[[#This Row],[Fare corrección]])</f>
        <v>71.417000000000002</v>
      </c>
      <c r="C129" s="1">
        <f>IF(ISNUMBER(Tabla3[[#This Row],[Fare]]),Tabla3[[#This Row],[Fare]],VALUE(SUBSTITUTE(Tabla3[[#This Row],[Fare]],".",",")))</f>
        <v>71417</v>
      </c>
      <c r="D129" s="1">
        <v>71417</v>
      </c>
    </row>
    <row r="130" spans="1:4" x14ac:dyDescent="0.25">
      <c r="A130" s="13">
        <f>IF(Tabla3[[#This Row],[Fare correción 2]]&gt;=1000,Tabla3[[#This Row],[Fare correción 2]]/10,Tabla3[[#This Row],[Fare correción 2]])</f>
        <v>223.583</v>
      </c>
      <c r="B130">
        <f>IF(Tabla3[[#This Row],[Fare corrección]]&gt;1000,Tabla3[[#This Row],[Fare corrección]]/1000,Tabla3[[#This Row],[Fare corrección]])</f>
        <v>223.583</v>
      </c>
      <c r="C130" s="1">
        <f>IF(ISNUMBER(Tabla3[[#This Row],[Fare]]),Tabla3[[#This Row],[Fare]],VALUE(SUBSTITUTE(Tabla3[[#This Row],[Fare]],".",",")))</f>
        <v>223583</v>
      </c>
      <c r="D130" s="1">
        <v>223583</v>
      </c>
    </row>
    <row r="131" spans="1:4" x14ac:dyDescent="0.25">
      <c r="A131" s="13">
        <f>IF(Tabla3[[#This Row],[Fare correción 2]]&gt;=1000,Tabla3[[#This Row],[Fare correción 2]]/10,Tabla3[[#This Row],[Fare correción 2]])</f>
        <v>6.9749999999999996</v>
      </c>
      <c r="B131">
        <f>IF(Tabla3[[#This Row],[Fare corrección]]&gt;1000,Tabla3[[#This Row],[Fare corrección]]/1000,Tabla3[[#This Row],[Fare corrección]])</f>
        <v>6.9749999999999996</v>
      </c>
      <c r="C131" s="1">
        <f>IF(ISNUMBER(Tabla3[[#This Row],[Fare]]),Tabla3[[#This Row],[Fare]],VALUE(SUBSTITUTE(Tabla3[[#This Row],[Fare]],".",",")))</f>
        <v>6975</v>
      </c>
      <c r="D131" s="1">
        <v>6975</v>
      </c>
    </row>
    <row r="132" spans="1:4" x14ac:dyDescent="0.25">
      <c r="A132" s="13">
        <f>IF(Tabla3[[#This Row],[Fare correción 2]]&gt;=1000,Tabla3[[#This Row],[Fare correción 2]]/10,Tabla3[[#This Row],[Fare correción 2]])</f>
        <v>78.957999999999998</v>
      </c>
      <c r="B132">
        <f>IF(Tabla3[[#This Row],[Fare corrección]]&gt;1000,Tabla3[[#This Row],[Fare corrección]]/1000,Tabla3[[#This Row],[Fare corrección]])</f>
        <v>78.957999999999998</v>
      </c>
      <c r="C132" s="1">
        <f>IF(ISNUMBER(Tabla3[[#This Row],[Fare]]),Tabla3[[#This Row],[Fare]],VALUE(SUBSTITUTE(Tabla3[[#This Row],[Fare]],".",",")))</f>
        <v>78958</v>
      </c>
      <c r="D132" s="1">
        <v>78958</v>
      </c>
    </row>
    <row r="133" spans="1:4" x14ac:dyDescent="0.25">
      <c r="A133" s="13">
        <f>IF(Tabla3[[#This Row],[Fare correción 2]]&gt;=1000,Tabla3[[#This Row],[Fare correción 2]]/10,Tabla3[[#This Row],[Fare correción 2]])</f>
        <v>7.05</v>
      </c>
      <c r="B133">
        <f>IF(Tabla3[[#This Row],[Fare corrección]]&gt;1000,Tabla3[[#This Row],[Fare corrección]]/1000,Tabla3[[#This Row],[Fare corrección]])</f>
        <v>7.05</v>
      </c>
      <c r="C133">
        <f>IF(ISNUMBER(Tabla3[[#This Row],[Fare]]),Tabla3[[#This Row],[Fare]],VALUE(SUBSTITUTE(Tabla3[[#This Row],[Fare]],".",",")))</f>
        <v>7.05</v>
      </c>
      <c r="D133" t="s">
        <v>1121</v>
      </c>
    </row>
    <row r="134" spans="1:4" x14ac:dyDescent="0.25">
      <c r="A134" s="13">
        <f>IF(Tabla3[[#This Row],[Fare correción 2]]&gt;=1000,Tabla3[[#This Row],[Fare correción 2]]/10,Tabla3[[#This Row],[Fare correción 2]])</f>
        <v>14.5</v>
      </c>
      <c r="B134">
        <f>IF(Tabla3[[#This Row],[Fare corrección]]&gt;1000,Tabla3[[#This Row],[Fare corrección]]/1000,Tabla3[[#This Row],[Fare corrección]])</f>
        <v>14.5</v>
      </c>
      <c r="C134">
        <f>IF(ISNUMBER(Tabla3[[#This Row],[Fare]]),Tabla3[[#This Row],[Fare]],VALUE(SUBSTITUTE(Tabla3[[#This Row],[Fare]],".",",")))</f>
        <v>14.5</v>
      </c>
      <c r="D134" t="s">
        <v>1090</v>
      </c>
    </row>
    <row r="135" spans="1:4" x14ac:dyDescent="0.25">
      <c r="A135" s="13">
        <f>IF(Tabla3[[#This Row],[Fare correción 2]]&gt;=1000,Tabla3[[#This Row],[Fare correción 2]]/10,Tabla3[[#This Row],[Fare correción 2]])</f>
        <v>26</v>
      </c>
      <c r="B135">
        <f>IF(Tabla3[[#This Row],[Fare corrección]]&gt;1000,Tabla3[[#This Row],[Fare corrección]]/1000,Tabla3[[#This Row],[Fare corrección]])</f>
        <v>26</v>
      </c>
      <c r="C135">
        <f>IF(ISNUMBER(Tabla3[[#This Row],[Fare]]),Tabla3[[#This Row],[Fare]],VALUE(SUBSTITUTE(Tabla3[[#This Row],[Fare]],".",",")))</f>
        <v>26</v>
      </c>
      <c r="D135">
        <v>26</v>
      </c>
    </row>
    <row r="136" spans="1:4" x14ac:dyDescent="0.25">
      <c r="A136" s="13">
        <f>IF(Tabla3[[#This Row],[Fare correción 2]]&gt;=1000,Tabla3[[#This Row],[Fare correción 2]]/10,Tabla3[[#This Row],[Fare correción 2]])</f>
        <v>13</v>
      </c>
      <c r="B136">
        <f>IF(Tabla3[[#This Row],[Fare corrección]]&gt;1000,Tabla3[[#This Row],[Fare corrección]]/1000,Tabla3[[#This Row],[Fare corrección]])</f>
        <v>13</v>
      </c>
      <c r="C136">
        <f>IF(ISNUMBER(Tabla3[[#This Row],[Fare]]),Tabla3[[#This Row],[Fare]],VALUE(SUBSTITUTE(Tabla3[[#This Row],[Fare]],".",",")))</f>
        <v>13</v>
      </c>
      <c r="D136">
        <v>13</v>
      </c>
    </row>
    <row r="137" spans="1:4" x14ac:dyDescent="0.25">
      <c r="A137" s="13">
        <f>IF(Tabla3[[#This Row],[Fare correción 2]]&gt;=1000,Tabla3[[#This Row],[Fare correción 2]]/10,Tabla3[[#This Row],[Fare correción 2]])</f>
        <v>150.458</v>
      </c>
      <c r="B137">
        <f>IF(Tabla3[[#This Row],[Fare corrección]]&gt;1000,Tabla3[[#This Row],[Fare corrección]]/1000,Tabla3[[#This Row],[Fare corrección]])</f>
        <v>150.458</v>
      </c>
      <c r="C137" s="1">
        <f>IF(ISNUMBER(Tabla3[[#This Row],[Fare]]),Tabla3[[#This Row],[Fare]],VALUE(SUBSTITUTE(Tabla3[[#This Row],[Fare]],".",",")))</f>
        <v>150458</v>
      </c>
      <c r="D137" s="1">
        <v>150458</v>
      </c>
    </row>
    <row r="138" spans="1:4" x14ac:dyDescent="0.25">
      <c r="A138" s="13">
        <f>IF(Tabla3[[#This Row],[Fare correción 2]]&gt;=1000,Tabla3[[#This Row],[Fare correción 2]]/10,Tabla3[[#This Row],[Fare correción 2]])</f>
        <v>262.83300000000003</v>
      </c>
      <c r="B138">
        <f>IF(Tabla3[[#This Row],[Fare corrección]]&gt;1000,Tabla3[[#This Row],[Fare corrección]]/1000,Tabla3[[#This Row],[Fare corrección]])</f>
        <v>262.83300000000003</v>
      </c>
      <c r="C138" s="1">
        <f>IF(ISNUMBER(Tabla3[[#This Row],[Fare]]),Tabla3[[#This Row],[Fare]],VALUE(SUBSTITUTE(Tabla3[[#This Row],[Fare]],".",",")))</f>
        <v>262833</v>
      </c>
      <c r="D138" s="1">
        <v>262833</v>
      </c>
    </row>
    <row r="139" spans="1:4" x14ac:dyDescent="0.25">
      <c r="A139" s="13">
        <f>IF(Tabla3[[#This Row],[Fare correción 2]]&gt;=1000,Tabla3[[#This Row],[Fare correción 2]]/10,Tabla3[[#This Row],[Fare correción 2]])</f>
        <v>53.1</v>
      </c>
      <c r="B139">
        <f>IF(Tabla3[[#This Row],[Fare corrección]]&gt;1000,Tabla3[[#This Row],[Fare corrección]]/1000,Tabla3[[#This Row],[Fare corrección]])</f>
        <v>53.1</v>
      </c>
      <c r="C139">
        <f>IF(ISNUMBER(Tabla3[[#This Row],[Fare]]),Tabla3[[#This Row],[Fare]],VALUE(SUBSTITUTE(Tabla3[[#This Row],[Fare]],".",",")))</f>
        <v>53.1</v>
      </c>
      <c r="D139" t="s">
        <v>914</v>
      </c>
    </row>
    <row r="140" spans="1:4" x14ac:dyDescent="0.25">
      <c r="A140" s="13">
        <f>IF(Tabla3[[#This Row],[Fare correción 2]]&gt;=1000,Tabla3[[#This Row],[Fare correción 2]]/10,Tabla3[[#This Row],[Fare correción 2]])</f>
        <v>92.167000000000002</v>
      </c>
      <c r="B140">
        <f>IF(Tabla3[[#This Row],[Fare corrección]]&gt;1000,Tabla3[[#This Row],[Fare corrección]]/1000,Tabla3[[#This Row],[Fare corrección]])</f>
        <v>92.167000000000002</v>
      </c>
      <c r="C140" s="1">
        <f>IF(ISNUMBER(Tabla3[[#This Row],[Fare]]),Tabla3[[#This Row],[Fare]],VALUE(SUBSTITUTE(Tabla3[[#This Row],[Fare]],".",",")))</f>
        <v>92167</v>
      </c>
      <c r="D140" s="1">
        <v>92167</v>
      </c>
    </row>
    <row r="141" spans="1:4" x14ac:dyDescent="0.25">
      <c r="A141" s="13">
        <f>IF(Tabla3[[#This Row],[Fare correción 2]]&gt;=1000,Tabla3[[#This Row],[Fare correción 2]]/10,Tabla3[[#This Row],[Fare correción 2]])</f>
        <v>79.2</v>
      </c>
      <c r="B141">
        <f>IF(Tabla3[[#This Row],[Fare corrección]]&gt;1000,Tabla3[[#This Row],[Fare corrección]]/1000,Tabla3[[#This Row],[Fare corrección]])</f>
        <v>79.2</v>
      </c>
      <c r="C141">
        <f>IF(ISNUMBER(Tabla3[[#This Row],[Fare]]),Tabla3[[#This Row],[Fare]],VALUE(SUBSTITUTE(Tabla3[[#This Row],[Fare]],".",",")))</f>
        <v>79.2</v>
      </c>
      <c r="D141" t="s">
        <v>1135</v>
      </c>
    </row>
    <row r="142" spans="1:4" x14ac:dyDescent="0.25">
      <c r="A142" s="13">
        <f>IF(Tabla3[[#This Row],[Fare correción 2]]&gt;=1000,Tabla3[[#This Row],[Fare correción 2]]/10,Tabla3[[#This Row],[Fare correción 2]])</f>
        <v>152.458</v>
      </c>
      <c r="B142">
        <f>IF(Tabla3[[#This Row],[Fare corrección]]&gt;1000,Tabla3[[#This Row],[Fare corrección]]/1000,Tabla3[[#This Row],[Fare corrección]])</f>
        <v>152.458</v>
      </c>
      <c r="C142" s="1">
        <f>IF(ISNUMBER(Tabla3[[#This Row],[Fare]]),Tabla3[[#This Row],[Fare]],VALUE(SUBSTITUTE(Tabla3[[#This Row],[Fare]],".",",")))</f>
        <v>152458</v>
      </c>
      <c r="D142" s="1">
        <v>152458</v>
      </c>
    </row>
    <row r="143" spans="1:4" x14ac:dyDescent="0.25">
      <c r="A143" s="13">
        <f>IF(Tabla3[[#This Row],[Fare correción 2]]&gt;=1000,Tabla3[[#This Row],[Fare correción 2]]/10,Tabla3[[#This Row],[Fare correción 2]])</f>
        <v>7.75</v>
      </c>
      <c r="B143">
        <f>IF(Tabla3[[#This Row],[Fare corrección]]&gt;1000,Tabla3[[#This Row],[Fare corrección]]/1000,Tabla3[[#This Row],[Fare corrección]])</f>
        <v>7.75</v>
      </c>
      <c r="C143">
        <f>IF(ISNUMBER(Tabla3[[#This Row],[Fare]]),Tabla3[[#This Row],[Fare]],VALUE(SUBSTITUTE(Tabla3[[#This Row],[Fare]],".",",")))</f>
        <v>7.75</v>
      </c>
      <c r="D143" t="s">
        <v>961</v>
      </c>
    </row>
    <row r="144" spans="1:4" x14ac:dyDescent="0.25">
      <c r="A144" s="13">
        <f>IF(Tabla3[[#This Row],[Fare correción 2]]&gt;=1000,Tabla3[[#This Row],[Fare correción 2]]/10,Tabla3[[#This Row],[Fare correción 2]])</f>
        <v>15.85</v>
      </c>
      <c r="B144">
        <f>IF(Tabla3[[#This Row],[Fare corrección]]&gt;1000,Tabla3[[#This Row],[Fare corrección]]/1000,Tabla3[[#This Row],[Fare corrección]])</f>
        <v>15.85</v>
      </c>
      <c r="C144">
        <f>IF(ISNUMBER(Tabla3[[#This Row],[Fare]]),Tabla3[[#This Row],[Fare]],VALUE(SUBSTITUTE(Tabla3[[#This Row],[Fare]],".",",")))</f>
        <v>15.85</v>
      </c>
      <c r="D144" t="s">
        <v>1051</v>
      </c>
    </row>
    <row r="145" spans="1:4" x14ac:dyDescent="0.25">
      <c r="A145" s="13">
        <f>IF(Tabla3[[#This Row],[Fare correción 2]]&gt;=1000,Tabla3[[#This Row],[Fare correción 2]]/10,Tabla3[[#This Row],[Fare correción 2]])</f>
        <v>6.75</v>
      </c>
      <c r="B145">
        <f>IF(Tabla3[[#This Row],[Fare corrección]]&gt;1000,Tabla3[[#This Row],[Fare corrección]]/1000,Tabla3[[#This Row],[Fare corrección]])</f>
        <v>6.75</v>
      </c>
      <c r="C145">
        <f>IF(ISNUMBER(Tabla3[[#This Row],[Fare]]),Tabla3[[#This Row],[Fare]],VALUE(SUBSTITUTE(Tabla3[[#This Row],[Fare]],".",",")))</f>
        <v>6.75</v>
      </c>
      <c r="D145" t="s">
        <v>1142</v>
      </c>
    </row>
    <row r="146" spans="1:4" x14ac:dyDescent="0.25">
      <c r="A146" s="13">
        <f>IF(Tabla3[[#This Row],[Fare correción 2]]&gt;=1000,Tabla3[[#This Row],[Fare correción 2]]/10,Tabla3[[#This Row],[Fare correción 2]])</f>
        <v>11.5</v>
      </c>
      <c r="B146">
        <f>IF(Tabla3[[#This Row],[Fare corrección]]&gt;1000,Tabla3[[#This Row],[Fare corrección]]/1000,Tabla3[[#This Row],[Fare corrección]])</f>
        <v>11.5</v>
      </c>
      <c r="C146">
        <f>IF(ISNUMBER(Tabla3[[#This Row],[Fare]]),Tabla3[[#This Row],[Fare]],VALUE(SUBSTITUTE(Tabla3[[#This Row],[Fare]],".",",")))</f>
        <v>11.5</v>
      </c>
      <c r="D146" t="s">
        <v>1144</v>
      </c>
    </row>
    <row r="147" spans="1:4" x14ac:dyDescent="0.25">
      <c r="A147" s="13">
        <f>IF(Tabla3[[#This Row],[Fare correción 2]]&gt;=1000,Tabla3[[#This Row],[Fare correción 2]]/10,Tabla3[[#This Row],[Fare correción 2]])</f>
        <v>36.75</v>
      </c>
      <c r="B147">
        <f>IF(Tabla3[[#This Row],[Fare corrección]]&gt;1000,Tabla3[[#This Row],[Fare corrección]]/1000,Tabla3[[#This Row],[Fare corrección]])</f>
        <v>36.75</v>
      </c>
      <c r="C147">
        <f>IF(ISNUMBER(Tabla3[[#This Row],[Fare]]),Tabla3[[#This Row],[Fare]],VALUE(SUBSTITUTE(Tabla3[[#This Row],[Fare]],".",",")))</f>
        <v>36.75</v>
      </c>
      <c r="D147" t="s">
        <v>1147</v>
      </c>
    </row>
    <row r="148" spans="1:4" x14ac:dyDescent="0.25">
      <c r="A148" s="13">
        <f>IF(Tabla3[[#This Row],[Fare correción 2]]&gt;=1000,Tabla3[[#This Row],[Fare correción 2]]/10,Tabla3[[#This Row],[Fare correción 2]])</f>
        <v>77.957999999999998</v>
      </c>
      <c r="B148">
        <f>IF(Tabla3[[#This Row],[Fare corrección]]&gt;1000,Tabla3[[#This Row],[Fare corrección]]/1000,Tabla3[[#This Row],[Fare corrección]])</f>
        <v>77.957999999999998</v>
      </c>
      <c r="C148" s="1">
        <f>IF(ISNUMBER(Tabla3[[#This Row],[Fare]]),Tabla3[[#This Row],[Fare]],VALUE(SUBSTITUTE(Tabla3[[#This Row],[Fare]],".",",")))</f>
        <v>77958</v>
      </c>
      <c r="D148" s="1">
        <v>77958</v>
      </c>
    </row>
    <row r="149" spans="1:4" x14ac:dyDescent="0.25">
      <c r="A149" s="13">
        <f>IF(Tabla3[[#This Row],[Fare correción 2]]&gt;=1000,Tabla3[[#This Row],[Fare correción 2]]/10,Tabla3[[#This Row],[Fare correción 2]])</f>
        <v>34.375</v>
      </c>
      <c r="B149">
        <f>IF(Tabla3[[#This Row],[Fare corrección]]&gt;1000,Tabla3[[#This Row],[Fare corrección]]/1000,Tabla3[[#This Row],[Fare corrección]])</f>
        <v>34.375</v>
      </c>
      <c r="C149" s="1">
        <f>IF(ISNUMBER(Tabla3[[#This Row],[Fare]]),Tabla3[[#This Row],[Fare]],VALUE(SUBSTITUTE(Tabla3[[#This Row],[Fare]],".",",")))</f>
        <v>34375</v>
      </c>
      <c r="D149" s="1">
        <v>34375</v>
      </c>
    </row>
    <row r="150" spans="1:4" x14ac:dyDescent="0.25">
      <c r="A150" s="13">
        <f>IF(Tabla3[[#This Row],[Fare correción 2]]&gt;=1000,Tabla3[[#This Row],[Fare correción 2]]/10,Tabla3[[#This Row],[Fare correción 2]])</f>
        <v>26</v>
      </c>
      <c r="B150">
        <f>IF(Tabla3[[#This Row],[Fare corrección]]&gt;1000,Tabla3[[#This Row],[Fare corrección]]/1000,Tabla3[[#This Row],[Fare corrección]])</f>
        <v>26</v>
      </c>
      <c r="C150">
        <f>IF(ISNUMBER(Tabla3[[#This Row],[Fare]]),Tabla3[[#This Row],[Fare]],VALUE(SUBSTITUTE(Tabla3[[#This Row],[Fare]],".",",")))</f>
        <v>26</v>
      </c>
      <c r="D150">
        <v>26</v>
      </c>
    </row>
    <row r="151" spans="1:4" x14ac:dyDescent="0.25">
      <c r="A151" s="13">
        <f>IF(Tabla3[[#This Row],[Fare correción 2]]&gt;=1000,Tabla3[[#This Row],[Fare correción 2]]/10,Tabla3[[#This Row],[Fare correción 2]])</f>
        <v>13</v>
      </c>
      <c r="B151">
        <f>IF(Tabla3[[#This Row],[Fare corrección]]&gt;1000,Tabla3[[#This Row],[Fare corrección]]/1000,Tabla3[[#This Row],[Fare corrección]])</f>
        <v>13</v>
      </c>
      <c r="C151">
        <f>IF(ISNUMBER(Tabla3[[#This Row],[Fare]]),Tabla3[[#This Row],[Fare]],VALUE(SUBSTITUTE(Tabla3[[#This Row],[Fare]],".",",")))</f>
        <v>13</v>
      </c>
      <c r="D151">
        <v>13</v>
      </c>
    </row>
    <row r="152" spans="1:4" x14ac:dyDescent="0.25">
      <c r="A152" s="13">
        <f>IF(Tabla3[[#This Row],[Fare correción 2]]&gt;=1000,Tabla3[[#This Row],[Fare correción 2]]/10,Tabla3[[#This Row],[Fare correción 2]])</f>
        <v>12.525</v>
      </c>
      <c r="B152">
        <f>IF(Tabla3[[#This Row],[Fare corrección]]&gt;1000,Tabla3[[#This Row],[Fare corrección]]/1000,Tabla3[[#This Row],[Fare corrección]])</f>
        <v>12.525</v>
      </c>
      <c r="C152" s="1">
        <f>IF(ISNUMBER(Tabla3[[#This Row],[Fare]]),Tabla3[[#This Row],[Fare]],VALUE(SUBSTITUTE(Tabla3[[#This Row],[Fare]],".",",")))</f>
        <v>12525</v>
      </c>
      <c r="D152" s="1">
        <v>12525</v>
      </c>
    </row>
    <row r="153" spans="1:4" x14ac:dyDescent="0.25">
      <c r="A153" s="13">
        <f>IF(Tabla3[[#This Row],[Fare correción 2]]&gt;=1000,Tabla3[[#This Row],[Fare correción 2]]/10,Tabla3[[#This Row],[Fare correción 2]])</f>
        <v>66.599999999999994</v>
      </c>
      <c r="B153">
        <f>IF(Tabla3[[#This Row],[Fare corrección]]&gt;1000,Tabla3[[#This Row],[Fare corrección]]/1000,Tabla3[[#This Row],[Fare corrección]])</f>
        <v>66.599999999999994</v>
      </c>
      <c r="C153">
        <f>IF(ISNUMBER(Tabla3[[#This Row],[Fare]]),Tabla3[[#This Row],[Fare]],VALUE(SUBSTITUTE(Tabla3[[#This Row],[Fare]],".",",")))</f>
        <v>66.599999999999994</v>
      </c>
      <c r="D153" t="s">
        <v>1157</v>
      </c>
    </row>
    <row r="154" spans="1:4" x14ac:dyDescent="0.25">
      <c r="A154" s="13">
        <f>IF(Tabla3[[#This Row],[Fare correción 2]]&gt;=1000,Tabla3[[#This Row],[Fare correción 2]]/10,Tabla3[[#This Row],[Fare correción 2]])</f>
        <v>8.0500000000000007</v>
      </c>
      <c r="B154">
        <f>IF(Tabla3[[#This Row],[Fare corrección]]&gt;1000,Tabla3[[#This Row],[Fare corrección]]/1000,Tabla3[[#This Row],[Fare corrección]])</f>
        <v>8.0500000000000007</v>
      </c>
      <c r="C154">
        <f>IF(ISNUMBER(Tabla3[[#This Row],[Fare]]),Tabla3[[#This Row],[Fare]],VALUE(SUBSTITUTE(Tabla3[[#This Row],[Fare]],".",",")))</f>
        <v>8.0500000000000007</v>
      </c>
      <c r="D154" t="s">
        <v>917</v>
      </c>
    </row>
    <row r="155" spans="1:4" x14ac:dyDescent="0.25">
      <c r="A155" s="13">
        <f>IF(Tabla3[[#This Row],[Fare correción 2]]&gt;=1000,Tabla3[[#This Row],[Fare correción 2]]/10,Tabla3[[#This Row],[Fare correción 2]])</f>
        <v>14.5</v>
      </c>
      <c r="B155">
        <f>IF(Tabla3[[#This Row],[Fare corrección]]&gt;1000,Tabla3[[#This Row],[Fare corrección]]/1000,Tabla3[[#This Row],[Fare corrección]])</f>
        <v>14.5</v>
      </c>
      <c r="C155">
        <f>IF(ISNUMBER(Tabla3[[#This Row],[Fare]]),Tabla3[[#This Row],[Fare]],VALUE(SUBSTITUTE(Tabla3[[#This Row],[Fare]],".",",")))</f>
        <v>14.5</v>
      </c>
      <c r="D155" t="s">
        <v>1090</v>
      </c>
    </row>
    <row r="156" spans="1:4" x14ac:dyDescent="0.25">
      <c r="A156" s="13">
        <f>IF(Tabla3[[#This Row],[Fare correción 2]]&gt;=1000,Tabla3[[#This Row],[Fare correción 2]]/10,Tabla3[[#This Row],[Fare correción 2]])</f>
        <v>73.125</v>
      </c>
      <c r="B156">
        <f>IF(Tabla3[[#This Row],[Fare corrección]]&gt;1000,Tabla3[[#This Row],[Fare corrección]]/1000,Tabla3[[#This Row],[Fare corrección]])</f>
        <v>73.125</v>
      </c>
      <c r="C156" s="1">
        <f>IF(ISNUMBER(Tabla3[[#This Row],[Fare]]),Tabla3[[#This Row],[Fare]],VALUE(SUBSTITUTE(Tabla3[[#This Row],[Fare]],".",",")))</f>
        <v>73125</v>
      </c>
      <c r="D156" s="1">
        <v>73125</v>
      </c>
    </row>
    <row r="157" spans="1:4" x14ac:dyDescent="0.25">
      <c r="A157" s="13">
        <f>IF(Tabla3[[#This Row],[Fare correción 2]]&gt;=1000,Tabla3[[#This Row],[Fare correción 2]]/10,Tabla3[[#This Row],[Fare correción 2]])</f>
        <v>613.79200000000003</v>
      </c>
      <c r="B157">
        <f>IF(Tabla3[[#This Row],[Fare corrección]]&gt;1000,Tabla3[[#This Row],[Fare corrección]]/1000,Tabla3[[#This Row],[Fare corrección]])</f>
        <v>613.79200000000003</v>
      </c>
      <c r="C157" s="1">
        <f>IF(ISNUMBER(Tabla3[[#This Row],[Fare]]),Tabla3[[#This Row],[Fare]],VALUE(SUBSTITUTE(Tabla3[[#This Row],[Fare]],".",",")))</f>
        <v>613792</v>
      </c>
      <c r="D157" s="1">
        <v>613792</v>
      </c>
    </row>
    <row r="158" spans="1:4" x14ac:dyDescent="0.25">
      <c r="A158" s="13">
        <f>IF(Tabla3[[#This Row],[Fare correción 2]]&gt;=1000,Tabla3[[#This Row],[Fare correción 2]]/10,Tabla3[[#This Row],[Fare correción 2]])</f>
        <v>77.332999999999998</v>
      </c>
      <c r="B158">
        <f>IF(Tabla3[[#This Row],[Fare corrección]]&gt;1000,Tabla3[[#This Row],[Fare corrección]]/1000,Tabla3[[#This Row],[Fare corrección]])</f>
        <v>77.332999999999998</v>
      </c>
      <c r="C158" s="1">
        <f>IF(ISNUMBER(Tabla3[[#This Row],[Fare]]),Tabla3[[#This Row],[Fare]],VALUE(SUBSTITUTE(Tabla3[[#This Row],[Fare]],".",",")))</f>
        <v>77333</v>
      </c>
      <c r="D158" s="1">
        <v>77333</v>
      </c>
    </row>
    <row r="159" spans="1:4" x14ac:dyDescent="0.25">
      <c r="A159" s="13">
        <f>IF(Tabla3[[#This Row],[Fare correción 2]]&gt;=1000,Tabla3[[#This Row],[Fare correción 2]]/10,Tabla3[[#This Row],[Fare correción 2]])</f>
        <v>8.0500000000000007</v>
      </c>
      <c r="B159">
        <f>IF(Tabla3[[#This Row],[Fare corrección]]&gt;1000,Tabla3[[#This Row],[Fare corrección]]/1000,Tabla3[[#This Row],[Fare corrección]])</f>
        <v>8.0500000000000007</v>
      </c>
      <c r="C159">
        <f>IF(ISNUMBER(Tabla3[[#This Row],[Fare]]),Tabla3[[#This Row],[Fare]],VALUE(SUBSTITUTE(Tabla3[[#This Row],[Fare]],".",",")))</f>
        <v>8.0500000000000007</v>
      </c>
      <c r="D159" t="s">
        <v>917</v>
      </c>
    </row>
    <row r="160" spans="1:4" x14ac:dyDescent="0.25">
      <c r="A160" s="13">
        <f>IF(Tabla3[[#This Row],[Fare correción 2]]&gt;=1000,Tabla3[[#This Row],[Fare correción 2]]/10,Tabla3[[#This Row],[Fare correción 2]])</f>
        <v>86.625</v>
      </c>
      <c r="B160">
        <f>IF(Tabla3[[#This Row],[Fare corrección]]&gt;1000,Tabla3[[#This Row],[Fare corrección]]/1000,Tabla3[[#This Row],[Fare corrección]])</f>
        <v>86.625</v>
      </c>
      <c r="C160" s="1">
        <f>IF(ISNUMBER(Tabla3[[#This Row],[Fare]]),Tabla3[[#This Row],[Fare]],VALUE(SUBSTITUTE(Tabla3[[#This Row],[Fare]],".",",")))</f>
        <v>86625</v>
      </c>
      <c r="D160" s="1">
        <v>86625</v>
      </c>
    </row>
    <row r="161" spans="1:4" x14ac:dyDescent="0.25">
      <c r="A161" s="13">
        <f>IF(Tabla3[[#This Row],[Fare correción 2]]&gt;=1000,Tabla3[[#This Row],[Fare correción 2]]/10,Tabla3[[#This Row],[Fare correción 2]])</f>
        <v>69.55</v>
      </c>
      <c r="B161">
        <f>IF(Tabla3[[#This Row],[Fare corrección]]&gt;1000,Tabla3[[#This Row],[Fare corrección]]/1000,Tabla3[[#This Row],[Fare corrección]])</f>
        <v>69.55</v>
      </c>
      <c r="C161">
        <f>IF(ISNUMBER(Tabla3[[#This Row],[Fare]]),Tabla3[[#This Row],[Fare]],VALUE(SUBSTITUTE(Tabla3[[#This Row],[Fare]],".",",")))</f>
        <v>69.55</v>
      </c>
      <c r="D161" t="s">
        <v>1175</v>
      </c>
    </row>
    <row r="162" spans="1:4" x14ac:dyDescent="0.25">
      <c r="A162" s="13">
        <f>IF(Tabla3[[#This Row],[Fare correción 2]]&gt;=1000,Tabla3[[#This Row],[Fare correción 2]]/10,Tabla3[[#This Row],[Fare correción 2]])</f>
        <v>16.100000000000001</v>
      </c>
      <c r="B162">
        <f>IF(Tabla3[[#This Row],[Fare corrección]]&gt;1000,Tabla3[[#This Row],[Fare corrección]]/1000,Tabla3[[#This Row],[Fare corrección]])</f>
        <v>16.100000000000001</v>
      </c>
      <c r="C162">
        <f>IF(ISNUMBER(Tabla3[[#This Row],[Fare]]),Tabla3[[#This Row],[Fare]],VALUE(SUBSTITUTE(Tabla3[[#This Row],[Fare]],".",",")))</f>
        <v>16.100000000000001</v>
      </c>
      <c r="D162" t="s">
        <v>1177</v>
      </c>
    </row>
    <row r="163" spans="1:4" x14ac:dyDescent="0.25">
      <c r="A163" s="13">
        <f>IF(Tabla3[[#This Row],[Fare correción 2]]&gt;=1000,Tabla3[[#This Row],[Fare correción 2]]/10,Tabla3[[#This Row],[Fare correción 2]])</f>
        <v>15.75</v>
      </c>
      <c r="B163">
        <f>IF(Tabla3[[#This Row],[Fare corrección]]&gt;1000,Tabla3[[#This Row],[Fare corrección]]/1000,Tabla3[[#This Row],[Fare corrección]])</f>
        <v>15.75</v>
      </c>
      <c r="C163">
        <f>IF(ISNUMBER(Tabla3[[#This Row],[Fare]]),Tabla3[[#This Row],[Fare]],VALUE(SUBSTITUTE(Tabla3[[#This Row],[Fare]],".",",")))</f>
        <v>15.75</v>
      </c>
      <c r="D163" t="s">
        <v>1180</v>
      </c>
    </row>
    <row r="164" spans="1:4" x14ac:dyDescent="0.25">
      <c r="A164" s="13">
        <f>IF(Tabla3[[#This Row],[Fare correción 2]]&gt;=1000,Tabla3[[#This Row],[Fare correción 2]]/10,Tabla3[[#This Row],[Fare correción 2]])</f>
        <v>7.7750000000000004</v>
      </c>
      <c r="B164">
        <f>IF(Tabla3[[#This Row],[Fare corrección]]&gt;1000,Tabla3[[#This Row],[Fare corrección]]/1000,Tabla3[[#This Row],[Fare corrección]])</f>
        <v>7.7750000000000004</v>
      </c>
      <c r="C164" s="1">
        <f>IF(ISNUMBER(Tabla3[[#This Row],[Fare]]),Tabla3[[#This Row],[Fare]],VALUE(SUBSTITUTE(Tabla3[[#This Row],[Fare]],".",",")))</f>
        <v>7775</v>
      </c>
      <c r="D164" s="1">
        <v>7775</v>
      </c>
    </row>
    <row r="165" spans="1:4" x14ac:dyDescent="0.25">
      <c r="A165" s="13">
        <f>IF(Tabla3[[#This Row],[Fare correción 2]]&gt;=1000,Tabla3[[#This Row],[Fare correción 2]]/10,Tabla3[[#This Row],[Fare correción 2]])</f>
        <v>86.625</v>
      </c>
      <c r="B165">
        <f>IF(Tabla3[[#This Row],[Fare corrección]]&gt;1000,Tabla3[[#This Row],[Fare corrección]]/1000,Tabla3[[#This Row],[Fare corrección]])</f>
        <v>86.625</v>
      </c>
      <c r="C165" s="1">
        <f>IF(ISNUMBER(Tabla3[[#This Row],[Fare]]),Tabla3[[#This Row],[Fare]],VALUE(SUBSTITUTE(Tabla3[[#This Row],[Fare]],".",",")))</f>
        <v>86625</v>
      </c>
      <c r="D165" s="1">
        <v>86625</v>
      </c>
    </row>
    <row r="166" spans="1:4" x14ac:dyDescent="0.25">
      <c r="A166" s="13">
        <f>IF(Tabla3[[#This Row],[Fare correción 2]]&gt;=1000,Tabla3[[#This Row],[Fare correción 2]]/10,Tabla3[[#This Row],[Fare correción 2]])</f>
        <v>396.875</v>
      </c>
      <c r="B166">
        <f>IF(Tabla3[[#This Row],[Fare corrección]]&gt;1000,Tabla3[[#This Row],[Fare corrección]]/1000,Tabla3[[#This Row],[Fare corrección]])</f>
        <v>396.875</v>
      </c>
      <c r="C166" s="1">
        <f>IF(ISNUMBER(Tabla3[[#This Row],[Fare]]),Tabla3[[#This Row],[Fare]],VALUE(SUBSTITUTE(Tabla3[[#This Row],[Fare]],".",",")))</f>
        <v>396875</v>
      </c>
      <c r="D166" s="1">
        <v>396875</v>
      </c>
    </row>
    <row r="167" spans="1:4" x14ac:dyDescent="0.25">
      <c r="A167" s="13">
        <f>IF(Tabla3[[#This Row],[Fare correción 2]]&gt;=1000,Tabla3[[#This Row],[Fare correción 2]]/10,Tabla3[[#This Row],[Fare correción 2]])</f>
        <v>20.524999999999999</v>
      </c>
      <c r="B167">
        <f>IF(Tabla3[[#This Row],[Fare corrección]]&gt;1000,Tabla3[[#This Row],[Fare corrección]]/1000,Tabla3[[#This Row],[Fare corrección]])</f>
        <v>20.524999999999999</v>
      </c>
      <c r="C167" s="1">
        <f>IF(ISNUMBER(Tabla3[[#This Row],[Fare]]),Tabla3[[#This Row],[Fare]],VALUE(SUBSTITUTE(Tabla3[[#This Row],[Fare]],".",",")))</f>
        <v>20525</v>
      </c>
      <c r="D167" s="1">
        <v>20525</v>
      </c>
    </row>
    <row r="168" spans="1:4" x14ac:dyDescent="0.25">
      <c r="A168" s="13">
        <f>IF(Tabla3[[#This Row],[Fare correción 2]]&gt;=1000,Tabla3[[#This Row],[Fare correción 2]]/10,Tabla3[[#This Row],[Fare correción 2]])</f>
        <v>55</v>
      </c>
      <c r="B168">
        <f>IF(Tabla3[[#This Row],[Fare corrección]]&gt;1000,Tabla3[[#This Row],[Fare corrección]]/1000,Tabla3[[#This Row],[Fare corrección]])</f>
        <v>55</v>
      </c>
      <c r="C168">
        <f>IF(ISNUMBER(Tabla3[[#This Row],[Fare]]),Tabla3[[#This Row],[Fare]],VALUE(SUBSTITUTE(Tabla3[[#This Row],[Fare]],".",",")))</f>
        <v>55</v>
      </c>
      <c r="D168">
        <v>55</v>
      </c>
    </row>
    <row r="169" spans="1:4" x14ac:dyDescent="0.25">
      <c r="A169" s="13">
        <f>IF(Tabla3[[#This Row],[Fare correción 2]]&gt;=1000,Tabla3[[#This Row],[Fare correción 2]]/10,Tabla3[[#This Row],[Fare correción 2]])</f>
        <v>27.9</v>
      </c>
      <c r="B169">
        <f>IF(Tabla3[[#This Row],[Fare corrección]]&gt;1000,Tabla3[[#This Row],[Fare corrección]]/1000,Tabla3[[#This Row],[Fare corrección]])</f>
        <v>27.9</v>
      </c>
      <c r="C169">
        <f>IF(ISNUMBER(Tabla3[[#This Row],[Fare]]),Tabla3[[#This Row],[Fare]],VALUE(SUBSTITUTE(Tabla3[[#This Row],[Fare]],".",",")))</f>
        <v>27.9</v>
      </c>
      <c r="D169" t="s">
        <v>1015</v>
      </c>
    </row>
    <row r="170" spans="1:4" x14ac:dyDescent="0.25">
      <c r="A170" s="13">
        <f>IF(Tabla3[[#This Row],[Fare correción 2]]&gt;=1000,Tabla3[[#This Row],[Fare correción 2]]/10,Tabla3[[#This Row],[Fare correción 2]])</f>
        <v>25.925000000000001</v>
      </c>
      <c r="B170">
        <f>IF(Tabla3[[#This Row],[Fare corrección]]&gt;1000,Tabla3[[#This Row],[Fare corrección]]/1000,Tabla3[[#This Row],[Fare corrección]])</f>
        <v>25.925000000000001</v>
      </c>
      <c r="C170" s="1">
        <f>IF(ISNUMBER(Tabla3[[#This Row],[Fare]]),Tabla3[[#This Row],[Fare]],VALUE(SUBSTITUTE(Tabla3[[#This Row],[Fare]],".",",")))</f>
        <v>25925</v>
      </c>
      <c r="D170" s="1">
        <v>25925</v>
      </c>
    </row>
    <row r="171" spans="1:4" x14ac:dyDescent="0.25">
      <c r="A171" s="13">
        <f>IF(Tabla3[[#This Row],[Fare correción 2]]&gt;=1000,Tabla3[[#This Row],[Fare correción 2]]/10,Tabla3[[#This Row],[Fare correción 2]])</f>
        <v>564.95799999999997</v>
      </c>
      <c r="B171">
        <f>IF(Tabla3[[#This Row],[Fare corrección]]&gt;1000,Tabla3[[#This Row],[Fare corrección]]/1000,Tabla3[[#This Row],[Fare corrección]])</f>
        <v>564.95799999999997</v>
      </c>
      <c r="C171" s="1">
        <f>IF(ISNUMBER(Tabla3[[#This Row],[Fare]]),Tabla3[[#This Row],[Fare]],VALUE(SUBSTITUTE(Tabla3[[#This Row],[Fare]],".",",")))</f>
        <v>564958</v>
      </c>
      <c r="D171" s="1">
        <v>564958</v>
      </c>
    </row>
    <row r="172" spans="1:4" x14ac:dyDescent="0.25">
      <c r="A172" s="13">
        <f>IF(Tabla3[[#This Row],[Fare correción 2]]&gt;=1000,Tabla3[[#This Row],[Fare correción 2]]/10,Tabla3[[#This Row],[Fare correción 2]])</f>
        <v>33.5</v>
      </c>
      <c r="B172">
        <f>IF(Tabla3[[#This Row],[Fare corrección]]&gt;1000,Tabla3[[#This Row],[Fare corrección]]/1000,Tabla3[[#This Row],[Fare corrección]])</f>
        <v>33.5</v>
      </c>
      <c r="C172">
        <f>IF(ISNUMBER(Tabla3[[#This Row],[Fare]]),Tabla3[[#This Row],[Fare]],VALUE(SUBSTITUTE(Tabla3[[#This Row],[Fare]],".",",")))</f>
        <v>33.5</v>
      </c>
      <c r="D172" t="s">
        <v>1192</v>
      </c>
    </row>
    <row r="173" spans="1:4" x14ac:dyDescent="0.25">
      <c r="A173" s="13">
        <f>IF(Tabla3[[#This Row],[Fare correción 2]]&gt;=1000,Tabla3[[#This Row],[Fare correción 2]]/10,Tabla3[[#This Row],[Fare correción 2]])</f>
        <v>29.125</v>
      </c>
      <c r="B173">
        <f>IF(Tabla3[[#This Row],[Fare corrección]]&gt;1000,Tabla3[[#This Row],[Fare corrección]]/1000,Tabla3[[#This Row],[Fare corrección]])</f>
        <v>29.125</v>
      </c>
      <c r="C173" s="1">
        <f>IF(ISNUMBER(Tabla3[[#This Row],[Fare]]),Tabla3[[#This Row],[Fare]],VALUE(SUBSTITUTE(Tabla3[[#This Row],[Fare]],".",",")))</f>
        <v>29125</v>
      </c>
      <c r="D173" s="1">
        <v>29125</v>
      </c>
    </row>
    <row r="174" spans="1:4" x14ac:dyDescent="0.25">
      <c r="A174" s="13">
        <f>IF(Tabla3[[#This Row],[Fare correción 2]]&gt;=1000,Tabla3[[#This Row],[Fare correción 2]]/10,Tabla3[[#This Row],[Fare correción 2]])</f>
        <v>111.333</v>
      </c>
      <c r="B174">
        <f>IF(Tabla3[[#This Row],[Fare corrección]]&gt;1000,Tabla3[[#This Row],[Fare corrección]]/1000,Tabla3[[#This Row],[Fare corrección]])</f>
        <v>111.333</v>
      </c>
      <c r="C174" s="1">
        <f>IF(ISNUMBER(Tabla3[[#This Row],[Fare]]),Tabla3[[#This Row],[Fare]],VALUE(SUBSTITUTE(Tabla3[[#This Row],[Fare]],".",",")))</f>
        <v>111333</v>
      </c>
      <c r="D174" s="1">
        <v>111333</v>
      </c>
    </row>
    <row r="175" spans="1:4" x14ac:dyDescent="0.25">
      <c r="A175" s="13">
        <f>IF(Tabla3[[#This Row],[Fare correción 2]]&gt;=1000,Tabla3[[#This Row],[Fare correción 2]]/10,Tabla3[[#This Row],[Fare correción 2]])</f>
        <v>7.9249999999999998</v>
      </c>
      <c r="B175">
        <f>IF(Tabla3[[#This Row],[Fare corrección]]&gt;1000,Tabla3[[#This Row],[Fare corrección]]/1000,Tabla3[[#This Row],[Fare corrección]])</f>
        <v>7.9249999999999998</v>
      </c>
      <c r="C175" s="1">
        <f>IF(ISNUMBER(Tabla3[[#This Row],[Fare]]),Tabla3[[#This Row],[Fare]],VALUE(SUBSTITUTE(Tabla3[[#This Row],[Fare]],".",",")))</f>
        <v>7925</v>
      </c>
      <c r="D175" s="1">
        <v>7925</v>
      </c>
    </row>
    <row r="176" spans="1:4" x14ac:dyDescent="0.25">
      <c r="A176" s="13">
        <f>IF(Tabla3[[#This Row],[Fare correción 2]]&gt;=1000,Tabla3[[#This Row],[Fare correción 2]]/10,Tabla3[[#This Row],[Fare correción 2]])</f>
        <v>306.95800000000003</v>
      </c>
      <c r="B176">
        <f>IF(Tabla3[[#This Row],[Fare corrección]]&gt;1000,Tabla3[[#This Row],[Fare corrección]]/1000,Tabla3[[#This Row],[Fare corrección]])</f>
        <v>306.95800000000003</v>
      </c>
      <c r="C176" s="1">
        <f>IF(ISNUMBER(Tabla3[[#This Row],[Fare]]),Tabla3[[#This Row],[Fare]],VALUE(SUBSTITUTE(Tabla3[[#This Row],[Fare]],".",",")))</f>
        <v>306958</v>
      </c>
      <c r="D176" s="1">
        <v>306958</v>
      </c>
    </row>
    <row r="177" spans="1:4" x14ac:dyDescent="0.25">
      <c r="A177" s="13">
        <f>IF(Tabla3[[#This Row],[Fare correción 2]]&gt;=1000,Tabla3[[#This Row],[Fare correción 2]]/10,Tabla3[[#This Row],[Fare correción 2]])</f>
        <v>78.542000000000002</v>
      </c>
      <c r="B177">
        <f>IF(Tabla3[[#This Row],[Fare corrección]]&gt;1000,Tabla3[[#This Row],[Fare corrección]]/1000,Tabla3[[#This Row],[Fare corrección]])</f>
        <v>78.542000000000002</v>
      </c>
      <c r="C177" s="1">
        <f>IF(ISNUMBER(Tabla3[[#This Row],[Fare]]),Tabla3[[#This Row],[Fare]],VALUE(SUBSTITUTE(Tabla3[[#This Row],[Fare]],".",",")))</f>
        <v>78542</v>
      </c>
      <c r="D177" s="1">
        <v>78542</v>
      </c>
    </row>
    <row r="178" spans="1:4" x14ac:dyDescent="0.25">
      <c r="A178" s="13">
        <f>IF(Tabla3[[#This Row],[Fare correción 2]]&gt;=1000,Tabla3[[#This Row],[Fare correción 2]]/10,Tabla3[[#This Row],[Fare correción 2]])</f>
        <v>254.667</v>
      </c>
      <c r="B178">
        <f>IF(Tabla3[[#This Row],[Fare corrección]]&gt;1000,Tabla3[[#This Row],[Fare corrección]]/1000,Tabla3[[#This Row],[Fare corrección]])</f>
        <v>254.667</v>
      </c>
      <c r="C178" s="1">
        <f>IF(ISNUMBER(Tabla3[[#This Row],[Fare]]),Tabla3[[#This Row],[Fare]],VALUE(SUBSTITUTE(Tabla3[[#This Row],[Fare]],".",",")))</f>
        <v>254667</v>
      </c>
      <c r="D178" s="1">
        <v>254667</v>
      </c>
    </row>
    <row r="179" spans="1:4" x14ac:dyDescent="0.25">
      <c r="A179" s="13">
        <f>IF(Tabla3[[#This Row],[Fare correción 2]]&gt;=1000,Tabla3[[#This Row],[Fare correción 2]]/10,Tabla3[[#This Row],[Fare correción 2]])</f>
        <v>287.125</v>
      </c>
      <c r="B179">
        <f>IF(Tabla3[[#This Row],[Fare corrección]]&gt;1000,Tabla3[[#This Row],[Fare corrección]]/1000,Tabla3[[#This Row],[Fare corrección]])</f>
        <v>287.125</v>
      </c>
      <c r="C179" s="1">
        <f>IF(ISNUMBER(Tabla3[[#This Row],[Fare]]),Tabla3[[#This Row],[Fare]],VALUE(SUBSTITUTE(Tabla3[[#This Row],[Fare]],".",",")))</f>
        <v>287125</v>
      </c>
      <c r="D179" s="1">
        <v>287125</v>
      </c>
    </row>
    <row r="180" spans="1:4" x14ac:dyDescent="0.25">
      <c r="A180" s="13">
        <f>IF(Tabla3[[#This Row],[Fare correción 2]]&gt;=1000,Tabla3[[#This Row],[Fare correción 2]]/10,Tabla3[[#This Row],[Fare correción 2]])</f>
        <v>13</v>
      </c>
      <c r="B180">
        <f>IF(Tabla3[[#This Row],[Fare corrección]]&gt;1000,Tabla3[[#This Row],[Fare corrección]]/1000,Tabla3[[#This Row],[Fare corrección]])</f>
        <v>13</v>
      </c>
      <c r="C180">
        <f>IF(ISNUMBER(Tabla3[[#This Row],[Fare]]),Tabla3[[#This Row],[Fare]],VALUE(SUBSTITUTE(Tabla3[[#This Row],[Fare]],".",",")))</f>
        <v>13</v>
      </c>
      <c r="D180">
        <v>13</v>
      </c>
    </row>
    <row r="181" spans="1:4" x14ac:dyDescent="0.25">
      <c r="A181" s="13">
        <f>IF(Tabla3[[#This Row],[Fare correción 2]]&gt;=1000,Tabla3[[#This Row],[Fare correción 2]]/10,Tabla3[[#This Row],[Fare correción 2]])</f>
        <v>0</v>
      </c>
      <c r="B181">
        <f>IF(Tabla3[[#This Row],[Fare corrección]]&gt;1000,Tabla3[[#This Row],[Fare corrección]]/1000,Tabla3[[#This Row],[Fare corrección]])</f>
        <v>0</v>
      </c>
      <c r="C181">
        <f>IF(ISNUMBER(Tabla3[[#This Row],[Fare]]),Tabla3[[#This Row],[Fare]],VALUE(SUBSTITUTE(Tabla3[[#This Row],[Fare]],".",",")))</f>
        <v>0</v>
      </c>
      <c r="D181">
        <v>0</v>
      </c>
    </row>
    <row r="182" spans="1:4" x14ac:dyDescent="0.25">
      <c r="A182" s="13">
        <f>IF(Tabla3[[#This Row],[Fare correción 2]]&gt;=1000,Tabla3[[#This Row],[Fare correción 2]]/10,Tabla3[[#This Row],[Fare correción 2]])</f>
        <v>69.55</v>
      </c>
      <c r="B182">
        <f>IF(Tabla3[[#This Row],[Fare corrección]]&gt;1000,Tabla3[[#This Row],[Fare corrección]]/1000,Tabla3[[#This Row],[Fare corrección]])</f>
        <v>69.55</v>
      </c>
      <c r="C182">
        <f>IF(ISNUMBER(Tabla3[[#This Row],[Fare]]),Tabla3[[#This Row],[Fare]],VALUE(SUBSTITUTE(Tabla3[[#This Row],[Fare]],".",",")))</f>
        <v>69.55</v>
      </c>
      <c r="D182" t="s">
        <v>1175</v>
      </c>
    </row>
    <row r="183" spans="1:4" x14ac:dyDescent="0.25">
      <c r="A183" s="13">
        <f>IF(Tabla3[[#This Row],[Fare correción 2]]&gt;=1000,Tabla3[[#This Row],[Fare correción 2]]/10,Tabla3[[#This Row],[Fare correción 2]])</f>
        <v>15.05</v>
      </c>
      <c r="B183">
        <f>IF(Tabla3[[#This Row],[Fare corrección]]&gt;1000,Tabla3[[#This Row],[Fare corrección]]/1000,Tabla3[[#This Row],[Fare corrección]])</f>
        <v>15.05</v>
      </c>
      <c r="C183">
        <f>IF(ISNUMBER(Tabla3[[#This Row],[Fare]]),Tabla3[[#This Row],[Fare]],VALUE(SUBSTITUTE(Tabla3[[#This Row],[Fare]],".",",")))</f>
        <v>15.05</v>
      </c>
      <c r="D183" t="s">
        <v>1211</v>
      </c>
    </row>
    <row r="184" spans="1:4" x14ac:dyDescent="0.25">
      <c r="A184" s="13">
        <f>IF(Tabla3[[#This Row],[Fare correción 2]]&gt;=1000,Tabla3[[#This Row],[Fare correción 2]]/10,Tabla3[[#This Row],[Fare correción 2]])</f>
        <v>313.875</v>
      </c>
      <c r="B184">
        <f>IF(Tabla3[[#This Row],[Fare corrección]]&gt;1000,Tabla3[[#This Row],[Fare corrección]]/1000,Tabla3[[#This Row],[Fare corrección]])</f>
        <v>313.875</v>
      </c>
      <c r="C184" s="1">
        <f>IF(ISNUMBER(Tabla3[[#This Row],[Fare]]),Tabla3[[#This Row],[Fare]],VALUE(SUBSTITUTE(Tabla3[[#This Row],[Fare]],".",",")))</f>
        <v>313875</v>
      </c>
      <c r="D184" s="1">
        <v>313875</v>
      </c>
    </row>
    <row r="185" spans="1:4" x14ac:dyDescent="0.25">
      <c r="A185" s="13">
        <f>IF(Tabla3[[#This Row],[Fare correción 2]]&gt;=1000,Tabla3[[#This Row],[Fare correción 2]]/10,Tabla3[[#This Row],[Fare correción 2]])</f>
        <v>39</v>
      </c>
      <c r="B185">
        <f>IF(Tabla3[[#This Row],[Fare corrección]]&gt;1000,Tabla3[[#This Row],[Fare corrección]]/1000,Tabla3[[#This Row],[Fare corrección]])</f>
        <v>39</v>
      </c>
      <c r="C185">
        <f>IF(ISNUMBER(Tabla3[[#This Row],[Fare]]),Tabla3[[#This Row],[Fare]],VALUE(SUBSTITUTE(Tabla3[[#This Row],[Fare]],".",",")))</f>
        <v>39</v>
      </c>
      <c r="D185">
        <v>39</v>
      </c>
    </row>
    <row r="186" spans="1:4" x14ac:dyDescent="0.25">
      <c r="A186" s="13">
        <f>IF(Tabla3[[#This Row],[Fare correción 2]]&gt;=1000,Tabla3[[#This Row],[Fare correción 2]]/10,Tabla3[[#This Row],[Fare correción 2]])</f>
        <v>22.024999999999999</v>
      </c>
      <c r="B186">
        <f>IF(Tabla3[[#This Row],[Fare corrección]]&gt;1000,Tabla3[[#This Row],[Fare corrección]]/1000,Tabla3[[#This Row],[Fare corrección]])</f>
        <v>22.024999999999999</v>
      </c>
      <c r="C186" s="1">
        <f>IF(ISNUMBER(Tabla3[[#This Row],[Fare]]),Tabla3[[#This Row],[Fare]],VALUE(SUBSTITUTE(Tabla3[[#This Row],[Fare]],".",",")))</f>
        <v>22025</v>
      </c>
      <c r="D186" s="1">
        <v>22025</v>
      </c>
    </row>
    <row r="187" spans="1:4" x14ac:dyDescent="0.25">
      <c r="A187" s="13">
        <f>IF(Tabla3[[#This Row],[Fare correción 2]]&gt;=1000,Tabla3[[#This Row],[Fare correción 2]]/10,Tabla3[[#This Row],[Fare correción 2]])</f>
        <v>50</v>
      </c>
      <c r="B187">
        <f>IF(Tabla3[[#This Row],[Fare corrección]]&gt;1000,Tabla3[[#This Row],[Fare corrección]]/1000,Tabla3[[#This Row],[Fare corrección]])</f>
        <v>50</v>
      </c>
      <c r="C187">
        <f>IF(ISNUMBER(Tabla3[[#This Row],[Fare]]),Tabla3[[#This Row],[Fare]],VALUE(SUBSTITUTE(Tabla3[[#This Row],[Fare]],".",",")))</f>
        <v>50</v>
      </c>
      <c r="D187">
        <v>50</v>
      </c>
    </row>
    <row r="188" spans="1:4" x14ac:dyDescent="0.25">
      <c r="A188" s="13">
        <f>IF(Tabla3[[#This Row],[Fare correción 2]]&gt;=1000,Tabla3[[#This Row],[Fare correción 2]]/10,Tabla3[[#This Row],[Fare correción 2]])</f>
        <v>15.5</v>
      </c>
      <c r="B188">
        <f>IF(Tabla3[[#This Row],[Fare corrección]]&gt;1000,Tabla3[[#This Row],[Fare corrección]]/1000,Tabla3[[#This Row],[Fare corrección]])</f>
        <v>15.5</v>
      </c>
      <c r="C188">
        <f>IF(ISNUMBER(Tabla3[[#This Row],[Fare]]),Tabla3[[#This Row],[Fare]],VALUE(SUBSTITUTE(Tabla3[[#This Row],[Fare]],".",",")))</f>
        <v>15.5</v>
      </c>
      <c r="D188" t="s">
        <v>982</v>
      </c>
    </row>
    <row r="189" spans="1:4" x14ac:dyDescent="0.25">
      <c r="A189" s="13">
        <f>IF(Tabla3[[#This Row],[Fare correción 2]]&gt;=1000,Tabla3[[#This Row],[Fare correción 2]]/10,Tabla3[[#This Row],[Fare correción 2]])</f>
        <v>26.55</v>
      </c>
      <c r="B189">
        <f>IF(Tabla3[[#This Row],[Fare corrección]]&gt;1000,Tabla3[[#This Row],[Fare corrección]]/1000,Tabla3[[#This Row],[Fare corrección]])</f>
        <v>26.55</v>
      </c>
      <c r="C189">
        <f>IF(ISNUMBER(Tabla3[[#This Row],[Fare]]),Tabla3[[#This Row],[Fare]],VALUE(SUBSTITUTE(Tabla3[[#This Row],[Fare]],".",",")))</f>
        <v>26.55</v>
      </c>
      <c r="D189" t="s">
        <v>930</v>
      </c>
    </row>
    <row r="190" spans="1:4" x14ac:dyDescent="0.25">
      <c r="A190" s="13">
        <f>IF(Tabla3[[#This Row],[Fare correción 2]]&gt;=1000,Tabla3[[#This Row],[Fare correción 2]]/10,Tabla3[[#This Row],[Fare correción 2]])</f>
        <v>15.5</v>
      </c>
      <c r="B190">
        <f>IF(Tabla3[[#This Row],[Fare corrección]]&gt;1000,Tabla3[[#This Row],[Fare corrección]]/1000,Tabla3[[#This Row],[Fare corrección]])</f>
        <v>15.5</v>
      </c>
      <c r="C190">
        <f>IF(ISNUMBER(Tabla3[[#This Row],[Fare]]),Tabla3[[#This Row],[Fare]],VALUE(SUBSTITUTE(Tabla3[[#This Row],[Fare]],".",",")))</f>
        <v>15.5</v>
      </c>
      <c r="D190" t="s">
        <v>982</v>
      </c>
    </row>
    <row r="191" spans="1:4" x14ac:dyDescent="0.25">
      <c r="A191" s="13">
        <f>IF(Tabla3[[#This Row],[Fare correción 2]]&gt;=1000,Tabla3[[#This Row],[Fare correción 2]]/10,Tabla3[[#This Row],[Fare correción 2]])</f>
        <v>78.957999999999998</v>
      </c>
      <c r="B191">
        <f>IF(Tabla3[[#This Row],[Fare corrección]]&gt;1000,Tabla3[[#This Row],[Fare corrección]]/1000,Tabla3[[#This Row],[Fare corrección]])</f>
        <v>78.957999999999998</v>
      </c>
      <c r="C191" s="1">
        <f>IF(ISNUMBER(Tabla3[[#This Row],[Fare]]),Tabla3[[#This Row],[Fare]],VALUE(SUBSTITUTE(Tabla3[[#This Row],[Fare]],".",",")))</f>
        <v>78958</v>
      </c>
      <c r="D191" s="1">
        <v>78958</v>
      </c>
    </row>
    <row r="192" spans="1:4" x14ac:dyDescent="0.25">
      <c r="A192" s="13">
        <f>IF(Tabla3[[#This Row],[Fare correción 2]]&gt;=1000,Tabla3[[#This Row],[Fare correción 2]]/10,Tabla3[[#This Row],[Fare correción 2]])</f>
        <v>13</v>
      </c>
      <c r="B192">
        <f>IF(Tabla3[[#This Row],[Fare corrección]]&gt;1000,Tabla3[[#This Row],[Fare corrección]]/1000,Tabla3[[#This Row],[Fare corrección]])</f>
        <v>13</v>
      </c>
      <c r="C192">
        <f>IF(ISNUMBER(Tabla3[[#This Row],[Fare]]),Tabla3[[#This Row],[Fare]],VALUE(SUBSTITUTE(Tabla3[[#This Row],[Fare]],".",",")))</f>
        <v>13</v>
      </c>
      <c r="D192">
        <v>13</v>
      </c>
    </row>
    <row r="193" spans="1:4" x14ac:dyDescent="0.25">
      <c r="A193" s="13">
        <f>IF(Tabla3[[#This Row],[Fare correción 2]]&gt;=1000,Tabla3[[#This Row],[Fare correción 2]]/10,Tabla3[[#This Row],[Fare correción 2]])</f>
        <v>13</v>
      </c>
      <c r="B193">
        <f>IF(Tabla3[[#This Row],[Fare corrección]]&gt;1000,Tabla3[[#This Row],[Fare corrección]]/1000,Tabla3[[#This Row],[Fare corrección]])</f>
        <v>13</v>
      </c>
      <c r="C193">
        <f>IF(ISNUMBER(Tabla3[[#This Row],[Fare]]),Tabla3[[#This Row],[Fare]],VALUE(SUBSTITUTE(Tabla3[[#This Row],[Fare]],".",",")))</f>
        <v>13</v>
      </c>
      <c r="D193">
        <v>13</v>
      </c>
    </row>
    <row r="194" spans="1:4" x14ac:dyDescent="0.25">
      <c r="A194" s="13">
        <f>IF(Tabla3[[#This Row],[Fare correción 2]]&gt;=1000,Tabla3[[#This Row],[Fare correción 2]]/10,Tabla3[[#This Row],[Fare correción 2]])</f>
        <v>78.542000000000002</v>
      </c>
      <c r="B194">
        <f>IF(Tabla3[[#This Row],[Fare corrección]]&gt;1000,Tabla3[[#This Row],[Fare corrección]]/1000,Tabla3[[#This Row],[Fare corrección]])</f>
        <v>78.542000000000002</v>
      </c>
      <c r="C194" s="1">
        <f>IF(ISNUMBER(Tabla3[[#This Row],[Fare]]),Tabla3[[#This Row],[Fare]],VALUE(SUBSTITUTE(Tabla3[[#This Row],[Fare]],".",",")))</f>
        <v>78542</v>
      </c>
      <c r="D194" s="1">
        <v>78542</v>
      </c>
    </row>
    <row r="195" spans="1:4" x14ac:dyDescent="0.25">
      <c r="A195" s="13">
        <f>IF(Tabla3[[#This Row],[Fare correción 2]]&gt;=1000,Tabla3[[#This Row],[Fare correción 2]]/10,Tabla3[[#This Row],[Fare correción 2]])</f>
        <v>26</v>
      </c>
      <c r="B195">
        <f>IF(Tabla3[[#This Row],[Fare corrección]]&gt;1000,Tabla3[[#This Row],[Fare corrección]]/1000,Tabla3[[#This Row],[Fare corrección]])</f>
        <v>26</v>
      </c>
      <c r="C195">
        <f>IF(ISNUMBER(Tabla3[[#This Row],[Fare]]),Tabla3[[#This Row],[Fare]],VALUE(SUBSTITUTE(Tabla3[[#This Row],[Fare]],".",",")))</f>
        <v>26</v>
      </c>
      <c r="D195">
        <v>26</v>
      </c>
    </row>
    <row r="196" spans="1:4" x14ac:dyDescent="0.25">
      <c r="A196" s="13">
        <f>IF(Tabla3[[#This Row],[Fare correción 2]]&gt;=1000,Tabla3[[#This Row],[Fare correción 2]]/10,Tabla3[[#This Row],[Fare correción 2]])</f>
        <v>277.20800000000003</v>
      </c>
      <c r="B196">
        <f>IF(Tabla3[[#This Row],[Fare corrección]]&gt;1000,Tabla3[[#This Row],[Fare corrección]]/1000,Tabla3[[#This Row],[Fare corrección]])</f>
        <v>277.20800000000003</v>
      </c>
      <c r="C196" s="1">
        <f>IF(ISNUMBER(Tabla3[[#This Row],[Fare]]),Tabla3[[#This Row],[Fare]],VALUE(SUBSTITUTE(Tabla3[[#This Row],[Fare]],".",",")))</f>
        <v>277208</v>
      </c>
      <c r="D196" s="1">
        <v>277208</v>
      </c>
    </row>
    <row r="197" spans="1:4" x14ac:dyDescent="0.25">
      <c r="A197" s="13">
        <f>IF(Tabla3[[#This Row],[Fare correción 2]]&gt;=1000,Tabla3[[#This Row],[Fare correción 2]]/10,Tabla3[[#This Row],[Fare correción 2]])</f>
        <v>146.52080000000001</v>
      </c>
      <c r="B197">
        <f>IF(Tabla3[[#This Row],[Fare corrección]]&gt;1000,Tabla3[[#This Row],[Fare corrección]]/1000,Tabla3[[#This Row],[Fare corrección]])</f>
        <v>1465.2080000000001</v>
      </c>
      <c r="C197" s="1">
        <f>IF(ISNUMBER(Tabla3[[#This Row],[Fare]]),Tabla3[[#This Row],[Fare]],VALUE(SUBSTITUTE(Tabla3[[#This Row],[Fare]],".",",")))</f>
        <v>1465208</v>
      </c>
      <c r="D197" s="1">
        <v>1465208</v>
      </c>
    </row>
    <row r="198" spans="1:4" x14ac:dyDescent="0.25">
      <c r="A198" s="13">
        <f>IF(Tabla3[[#This Row],[Fare correción 2]]&gt;=1000,Tabla3[[#This Row],[Fare correción 2]]/10,Tabla3[[#This Row],[Fare correción 2]])</f>
        <v>7.75</v>
      </c>
      <c r="B198">
        <f>IF(Tabla3[[#This Row],[Fare corrección]]&gt;1000,Tabla3[[#This Row],[Fare corrección]]/1000,Tabla3[[#This Row],[Fare corrección]])</f>
        <v>7.75</v>
      </c>
      <c r="C198">
        <f>IF(ISNUMBER(Tabla3[[#This Row],[Fare]]),Tabla3[[#This Row],[Fare]],VALUE(SUBSTITUTE(Tabla3[[#This Row],[Fare]],".",",")))</f>
        <v>7.75</v>
      </c>
      <c r="D198" t="s">
        <v>961</v>
      </c>
    </row>
    <row r="199" spans="1:4" x14ac:dyDescent="0.25">
      <c r="A199" s="13">
        <f>IF(Tabla3[[#This Row],[Fare correción 2]]&gt;=1000,Tabla3[[#This Row],[Fare correción 2]]/10,Tabla3[[#This Row],[Fare correción 2]])</f>
        <v>84.042000000000002</v>
      </c>
      <c r="B199">
        <f>IF(Tabla3[[#This Row],[Fare corrección]]&gt;1000,Tabla3[[#This Row],[Fare corrección]]/1000,Tabla3[[#This Row],[Fare corrección]])</f>
        <v>84.042000000000002</v>
      </c>
      <c r="C199" s="1">
        <f>IF(ISNUMBER(Tabla3[[#This Row],[Fare]]),Tabla3[[#This Row],[Fare]],VALUE(SUBSTITUTE(Tabla3[[#This Row],[Fare]],".",",")))</f>
        <v>84042</v>
      </c>
      <c r="D199" s="1">
        <v>84042</v>
      </c>
    </row>
    <row r="200" spans="1:4" x14ac:dyDescent="0.25">
      <c r="A200" s="13">
        <f>IF(Tabla3[[#This Row],[Fare correción 2]]&gt;=1000,Tabla3[[#This Row],[Fare correción 2]]/10,Tabla3[[#This Row],[Fare correción 2]])</f>
        <v>7.75</v>
      </c>
      <c r="B200">
        <f>IF(Tabla3[[#This Row],[Fare corrección]]&gt;1000,Tabla3[[#This Row],[Fare corrección]]/1000,Tabla3[[#This Row],[Fare corrección]])</f>
        <v>7.75</v>
      </c>
      <c r="C200">
        <f>IF(ISNUMBER(Tabla3[[#This Row],[Fare]]),Tabla3[[#This Row],[Fare]],VALUE(SUBSTITUTE(Tabla3[[#This Row],[Fare]],".",",")))</f>
        <v>7.75</v>
      </c>
      <c r="D200" t="s">
        <v>961</v>
      </c>
    </row>
    <row r="201" spans="1:4" x14ac:dyDescent="0.25">
      <c r="A201" s="13">
        <f>IF(Tabla3[[#This Row],[Fare correción 2]]&gt;=1000,Tabla3[[#This Row],[Fare correción 2]]/10,Tabla3[[#This Row],[Fare correción 2]])</f>
        <v>13</v>
      </c>
      <c r="B201">
        <f>IF(Tabla3[[#This Row],[Fare corrección]]&gt;1000,Tabla3[[#This Row],[Fare corrección]]/1000,Tabla3[[#This Row],[Fare corrección]])</f>
        <v>13</v>
      </c>
      <c r="C201">
        <f>IF(ISNUMBER(Tabla3[[#This Row],[Fare]]),Tabla3[[#This Row],[Fare]],VALUE(SUBSTITUTE(Tabla3[[#This Row],[Fare]],".",",")))</f>
        <v>13</v>
      </c>
      <c r="D201">
        <v>13</v>
      </c>
    </row>
    <row r="202" spans="1:4" x14ac:dyDescent="0.25">
      <c r="A202" s="13">
        <f>IF(Tabla3[[#This Row],[Fare correción 2]]&gt;=1000,Tabla3[[#This Row],[Fare correción 2]]/10,Tabla3[[#This Row],[Fare correción 2]])</f>
        <v>9.5</v>
      </c>
      <c r="B202">
        <f>IF(Tabla3[[#This Row],[Fare corrección]]&gt;1000,Tabla3[[#This Row],[Fare corrección]]/1000,Tabla3[[#This Row],[Fare corrección]])</f>
        <v>9.5</v>
      </c>
      <c r="C202">
        <f>IF(ISNUMBER(Tabla3[[#This Row],[Fare]]),Tabla3[[#This Row],[Fare]],VALUE(SUBSTITUTE(Tabla3[[#This Row],[Fare]],".",",")))</f>
        <v>9.5</v>
      </c>
      <c r="D202" t="s">
        <v>1044</v>
      </c>
    </row>
    <row r="203" spans="1:4" x14ac:dyDescent="0.25">
      <c r="A203" s="13">
        <f>IF(Tabla3[[#This Row],[Fare correción 2]]&gt;=1000,Tabla3[[#This Row],[Fare correción 2]]/10,Tabla3[[#This Row],[Fare correción 2]])</f>
        <v>69.55</v>
      </c>
      <c r="B203">
        <f>IF(Tabla3[[#This Row],[Fare corrección]]&gt;1000,Tabla3[[#This Row],[Fare corrección]]/1000,Tabla3[[#This Row],[Fare corrección]])</f>
        <v>69.55</v>
      </c>
      <c r="C203">
        <f>IF(ISNUMBER(Tabla3[[#This Row],[Fare]]),Tabla3[[#This Row],[Fare]],VALUE(SUBSTITUTE(Tabla3[[#This Row],[Fare]],".",",")))</f>
        <v>69.55</v>
      </c>
      <c r="D203" t="s">
        <v>1175</v>
      </c>
    </row>
    <row r="204" spans="1:4" x14ac:dyDescent="0.25">
      <c r="A204" s="13">
        <f>IF(Tabla3[[#This Row],[Fare correción 2]]&gt;=1000,Tabla3[[#This Row],[Fare correción 2]]/10,Tabla3[[#This Row],[Fare correción 2]])</f>
        <v>64.957999999999998</v>
      </c>
      <c r="B204">
        <f>IF(Tabla3[[#This Row],[Fare corrección]]&gt;1000,Tabla3[[#This Row],[Fare corrección]]/1000,Tabla3[[#This Row],[Fare corrección]])</f>
        <v>64.957999999999998</v>
      </c>
      <c r="C204" s="1">
        <f>IF(ISNUMBER(Tabla3[[#This Row],[Fare]]),Tabla3[[#This Row],[Fare]],VALUE(SUBSTITUTE(Tabla3[[#This Row],[Fare]],".",",")))</f>
        <v>64958</v>
      </c>
      <c r="D204" s="1">
        <v>64958</v>
      </c>
    </row>
    <row r="205" spans="1:4" x14ac:dyDescent="0.25">
      <c r="A205" s="13">
        <f>IF(Tabla3[[#This Row],[Fare correción 2]]&gt;=1000,Tabla3[[#This Row],[Fare correción 2]]/10,Tabla3[[#This Row],[Fare correción 2]])</f>
        <v>7.2249999999999996</v>
      </c>
      <c r="B205">
        <f>IF(Tabla3[[#This Row],[Fare corrección]]&gt;1000,Tabla3[[#This Row],[Fare corrección]]/1000,Tabla3[[#This Row],[Fare corrección]])</f>
        <v>7.2249999999999996</v>
      </c>
      <c r="C205" s="1">
        <f>IF(ISNUMBER(Tabla3[[#This Row],[Fare]]),Tabla3[[#This Row],[Fare]],VALUE(SUBSTITUTE(Tabla3[[#This Row],[Fare]],".",",")))</f>
        <v>7225</v>
      </c>
      <c r="D205" s="1">
        <v>7225</v>
      </c>
    </row>
    <row r="206" spans="1:4" x14ac:dyDescent="0.25">
      <c r="A206" s="13">
        <f>IF(Tabla3[[#This Row],[Fare correción 2]]&gt;=1000,Tabla3[[#This Row],[Fare correción 2]]/10,Tabla3[[#This Row],[Fare correción 2]])</f>
        <v>8.0500000000000007</v>
      </c>
      <c r="B206">
        <f>IF(Tabla3[[#This Row],[Fare corrección]]&gt;1000,Tabla3[[#This Row],[Fare corrección]]/1000,Tabla3[[#This Row],[Fare corrección]])</f>
        <v>8.0500000000000007</v>
      </c>
      <c r="C206">
        <f>IF(ISNUMBER(Tabla3[[#This Row],[Fare]]),Tabla3[[#This Row],[Fare]],VALUE(SUBSTITUTE(Tabla3[[#This Row],[Fare]],".",",")))</f>
        <v>8.0500000000000007</v>
      </c>
      <c r="D206" t="s">
        <v>917</v>
      </c>
    </row>
    <row r="207" spans="1:4" x14ac:dyDescent="0.25">
      <c r="A207" s="13">
        <f>IF(Tabla3[[#This Row],[Fare correción 2]]&gt;=1000,Tabla3[[#This Row],[Fare correción 2]]/10,Tabla3[[#This Row],[Fare correción 2]])</f>
        <v>104.625</v>
      </c>
      <c r="B207">
        <f>IF(Tabla3[[#This Row],[Fare corrección]]&gt;1000,Tabla3[[#This Row],[Fare corrección]]/1000,Tabla3[[#This Row],[Fare corrección]])</f>
        <v>104.625</v>
      </c>
      <c r="C207" s="1">
        <f>IF(ISNUMBER(Tabla3[[#This Row],[Fare]]),Tabla3[[#This Row],[Fare]],VALUE(SUBSTITUTE(Tabla3[[#This Row],[Fare]],".",",")))</f>
        <v>104625</v>
      </c>
      <c r="D207" s="1">
        <v>104625</v>
      </c>
    </row>
    <row r="208" spans="1:4" x14ac:dyDescent="0.25">
      <c r="A208" s="13">
        <f>IF(Tabla3[[#This Row],[Fare correción 2]]&gt;=1000,Tabla3[[#This Row],[Fare correción 2]]/10,Tabla3[[#This Row],[Fare correción 2]])</f>
        <v>15.85</v>
      </c>
      <c r="B208">
        <f>IF(Tabla3[[#This Row],[Fare corrección]]&gt;1000,Tabla3[[#This Row],[Fare corrección]]/1000,Tabla3[[#This Row],[Fare corrección]])</f>
        <v>15.85</v>
      </c>
      <c r="C208">
        <f>IF(ISNUMBER(Tabla3[[#This Row],[Fare]]),Tabla3[[#This Row],[Fare]],VALUE(SUBSTITUTE(Tabla3[[#This Row],[Fare]],".",",")))</f>
        <v>15.85</v>
      </c>
      <c r="D208" t="s">
        <v>1051</v>
      </c>
    </row>
    <row r="209" spans="1:4" x14ac:dyDescent="0.25">
      <c r="A209" s="13">
        <f>IF(Tabla3[[#This Row],[Fare correción 2]]&gt;=1000,Tabla3[[#This Row],[Fare correción 2]]/10,Tabla3[[#This Row],[Fare correción 2]])</f>
        <v>187.875</v>
      </c>
      <c r="B209">
        <f>IF(Tabla3[[#This Row],[Fare corrección]]&gt;1000,Tabla3[[#This Row],[Fare corrección]]/1000,Tabla3[[#This Row],[Fare corrección]])</f>
        <v>187.875</v>
      </c>
      <c r="C209" s="1">
        <f>IF(ISNUMBER(Tabla3[[#This Row],[Fare]]),Tabla3[[#This Row],[Fare]],VALUE(SUBSTITUTE(Tabla3[[#This Row],[Fare]],".",",")))</f>
        <v>187875</v>
      </c>
      <c r="D209" s="1">
        <v>187875</v>
      </c>
    </row>
    <row r="210" spans="1:4" x14ac:dyDescent="0.25">
      <c r="A210" s="13">
        <f>IF(Tabla3[[#This Row],[Fare correción 2]]&gt;=1000,Tabla3[[#This Row],[Fare correción 2]]/10,Tabla3[[#This Row],[Fare correción 2]])</f>
        <v>7.75</v>
      </c>
      <c r="B210">
        <f>IF(Tabla3[[#This Row],[Fare corrección]]&gt;1000,Tabla3[[#This Row],[Fare corrección]]/1000,Tabla3[[#This Row],[Fare corrección]])</f>
        <v>7.75</v>
      </c>
      <c r="C210">
        <f>IF(ISNUMBER(Tabla3[[#This Row],[Fare]]),Tabla3[[#This Row],[Fare]],VALUE(SUBSTITUTE(Tabla3[[#This Row],[Fare]],".",",")))</f>
        <v>7.75</v>
      </c>
      <c r="D210" t="s">
        <v>961</v>
      </c>
    </row>
    <row r="211" spans="1:4" x14ac:dyDescent="0.25">
      <c r="A211" s="13">
        <f>IF(Tabla3[[#This Row],[Fare correción 2]]&gt;=1000,Tabla3[[#This Row],[Fare correción 2]]/10,Tabla3[[#This Row],[Fare correción 2]])</f>
        <v>31</v>
      </c>
      <c r="B211">
        <f>IF(Tabla3[[#This Row],[Fare corrección]]&gt;1000,Tabla3[[#This Row],[Fare corrección]]/1000,Tabla3[[#This Row],[Fare corrección]])</f>
        <v>31</v>
      </c>
      <c r="C211">
        <f>IF(ISNUMBER(Tabla3[[#This Row],[Fare]]),Tabla3[[#This Row],[Fare]],VALUE(SUBSTITUTE(Tabla3[[#This Row],[Fare]],".",",")))</f>
        <v>31</v>
      </c>
      <c r="D211">
        <v>31</v>
      </c>
    </row>
    <row r="212" spans="1:4" x14ac:dyDescent="0.25">
      <c r="A212" s="13">
        <f>IF(Tabla3[[#This Row],[Fare correción 2]]&gt;=1000,Tabla3[[#This Row],[Fare correción 2]]/10,Tabla3[[#This Row],[Fare correción 2]])</f>
        <v>7.05</v>
      </c>
      <c r="B212">
        <f>IF(Tabla3[[#This Row],[Fare corrección]]&gt;1000,Tabla3[[#This Row],[Fare corrección]]/1000,Tabla3[[#This Row],[Fare corrección]])</f>
        <v>7.05</v>
      </c>
      <c r="C212">
        <f>IF(ISNUMBER(Tabla3[[#This Row],[Fare]]),Tabla3[[#This Row],[Fare]],VALUE(SUBSTITUTE(Tabla3[[#This Row],[Fare]],".",",")))</f>
        <v>7.05</v>
      </c>
      <c r="D212" t="s">
        <v>1121</v>
      </c>
    </row>
    <row r="213" spans="1:4" x14ac:dyDescent="0.25">
      <c r="A213" s="13">
        <f>IF(Tabla3[[#This Row],[Fare correción 2]]&gt;=1000,Tabla3[[#This Row],[Fare correción 2]]/10,Tabla3[[#This Row],[Fare correción 2]])</f>
        <v>21</v>
      </c>
      <c r="B213">
        <f>IF(Tabla3[[#This Row],[Fare corrección]]&gt;1000,Tabla3[[#This Row],[Fare corrección]]/1000,Tabla3[[#This Row],[Fare corrección]])</f>
        <v>21</v>
      </c>
      <c r="C213">
        <f>IF(ISNUMBER(Tabla3[[#This Row],[Fare]]),Tabla3[[#This Row],[Fare]],VALUE(SUBSTITUTE(Tabla3[[#This Row],[Fare]],".",",")))</f>
        <v>21</v>
      </c>
      <c r="D213">
        <v>21</v>
      </c>
    </row>
    <row r="214" spans="1:4" x14ac:dyDescent="0.25">
      <c r="A214" s="13">
        <f>IF(Tabla3[[#This Row],[Fare correción 2]]&gt;=1000,Tabla3[[#This Row],[Fare correción 2]]/10,Tabla3[[#This Row],[Fare correción 2]])</f>
        <v>7.25</v>
      </c>
      <c r="B214">
        <f>IF(Tabla3[[#This Row],[Fare corrección]]&gt;1000,Tabla3[[#This Row],[Fare corrección]]/1000,Tabla3[[#This Row],[Fare corrección]])</f>
        <v>7.25</v>
      </c>
      <c r="C214">
        <f>IF(ISNUMBER(Tabla3[[#This Row],[Fare]]),Tabla3[[#This Row],[Fare]],VALUE(SUBSTITUTE(Tabla3[[#This Row],[Fare]],".",",")))</f>
        <v>7.25</v>
      </c>
      <c r="D214" t="s">
        <v>904</v>
      </c>
    </row>
    <row r="215" spans="1:4" x14ac:dyDescent="0.25">
      <c r="A215" s="13">
        <f>IF(Tabla3[[#This Row],[Fare correción 2]]&gt;=1000,Tabla3[[#This Row],[Fare correción 2]]/10,Tabla3[[#This Row],[Fare correción 2]])</f>
        <v>13</v>
      </c>
      <c r="B215">
        <f>IF(Tabla3[[#This Row],[Fare corrección]]&gt;1000,Tabla3[[#This Row],[Fare corrección]]/1000,Tabla3[[#This Row],[Fare corrección]])</f>
        <v>13</v>
      </c>
      <c r="C215">
        <f>IF(ISNUMBER(Tabla3[[#This Row],[Fare]]),Tabla3[[#This Row],[Fare]],VALUE(SUBSTITUTE(Tabla3[[#This Row],[Fare]],".",",")))</f>
        <v>13</v>
      </c>
      <c r="D215">
        <v>13</v>
      </c>
    </row>
    <row r="216" spans="1:4" x14ac:dyDescent="0.25">
      <c r="A216" s="13">
        <f>IF(Tabla3[[#This Row],[Fare correción 2]]&gt;=1000,Tabla3[[#This Row],[Fare correción 2]]/10,Tabla3[[#This Row],[Fare correción 2]])</f>
        <v>7.75</v>
      </c>
      <c r="B216">
        <f>IF(Tabla3[[#This Row],[Fare corrección]]&gt;1000,Tabla3[[#This Row],[Fare corrección]]/1000,Tabla3[[#This Row],[Fare corrección]])</f>
        <v>7.75</v>
      </c>
      <c r="C216">
        <f>IF(ISNUMBER(Tabla3[[#This Row],[Fare]]),Tabla3[[#This Row],[Fare]],VALUE(SUBSTITUTE(Tabla3[[#This Row],[Fare]],".",",")))</f>
        <v>7.75</v>
      </c>
      <c r="D216" t="s">
        <v>961</v>
      </c>
    </row>
    <row r="217" spans="1:4" x14ac:dyDescent="0.25">
      <c r="A217" s="13">
        <f>IF(Tabla3[[#This Row],[Fare correción 2]]&gt;=1000,Tabla3[[#This Row],[Fare correción 2]]/10,Tabla3[[#This Row],[Fare correción 2]])</f>
        <v>113.27500000000001</v>
      </c>
      <c r="B217">
        <f>IF(Tabla3[[#This Row],[Fare corrección]]&gt;1000,Tabla3[[#This Row],[Fare corrección]]/1000,Tabla3[[#This Row],[Fare corrección]])</f>
        <v>113.27500000000001</v>
      </c>
      <c r="C217" s="1">
        <f>IF(ISNUMBER(Tabla3[[#This Row],[Fare]]),Tabla3[[#This Row],[Fare]],VALUE(SUBSTITUTE(Tabla3[[#This Row],[Fare]],".",",")))</f>
        <v>113275</v>
      </c>
      <c r="D217" s="1">
        <v>113275</v>
      </c>
    </row>
    <row r="218" spans="1:4" x14ac:dyDescent="0.25">
      <c r="A218" s="13">
        <f>IF(Tabla3[[#This Row],[Fare correción 2]]&gt;=1000,Tabla3[[#This Row],[Fare correción 2]]/10,Tabla3[[#This Row],[Fare correción 2]])</f>
        <v>7.9249999999999998</v>
      </c>
      <c r="B218">
        <f>IF(Tabla3[[#This Row],[Fare corrección]]&gt;1000,Tabla3[[#This Row],[Fare corrección]]/1000,Tabla3[[#This Row],[Fare corrección]])</f>
        <v>7.9249999999999998</v>
      </c>
      <c r="C218" s="1">
        <f>IF(ISNUMBER(Tabla3[[#This Row],[Fare]]),Tabla3[[#This Row],[Fare]],VALUE(SUBSTITUTE(Tabla3[[#This Row],[Fare]],".",",")))</f>
        <v>7925</v>
      </c>
      <c r="D218" s="1">
        <v>7925</v>
      </c>
    </row>
    <row r="219" spans="1:4" x14ac:dyDescent="0.25">
      <c r="A219" s="13">
        <f>IF(Tabla3[[#This Row],[Fare correción 2]]&gt;=1000,Tabla3[[#This Row],[Fare correción 2]]/10,Tabla3[[#This Row],[Fare correción 2]])</f>
        <v>27</v>
      </c>
      <c r="B219">
        <f>IF(Tabla3[[#This Row],[Fare corrección]]&gt;1000,Tabla3[[#This Row],[Fare corrección]]/1000,Tabla3[[#This Row],[Fare corrección]])</f>
        <v>27</v>
      </c>
      <c r="C219">
        <f>IF(ISNUMBER(Tabla3[[#This Row],[Fare]]),Tabla3[[#This Row],[Fare]],VALUE(SUBSTITUTE(Tabla3[[#This Row],[Fare]],".",",")))</f>
        <v>27</v>
      </c>
      <c r="D219">
        <v>27</v>
      </c>
    </row>
    <row r="220" spans="1:4" x14ac:dyDescent="0.25">
      <c r="A220" s="13">
        <f>IF(Tabla3[[#This Row],[Fare correción 2]]&gt;=1000,Tabla3[[#This Row],[Fare correción 2]]/10,Tabla3[[#This Row],[Fare correción 2]])</f>
        <v>762.91700000000003</v>
      </c>
      <c r="B220">
        <f>IF(Tabla3[[#This Row],[Fare corrección]]&gt;1000,Tabla3[[#This Row],[Fare corrección]]/1000,Tabla3[[#This Row],[Fare corrección]])</f>
        <v>762.91700000000003</v>
      </c>
      <c r="C220" s="1">
        <f>IF(ISNUMBER(Tabla3[[#This Row],[Fare]]),Tabla3[[#This Row],[Fare]],VALUE(SUBSTITUTE(Tabla3[[#This Row],[Fare]],".",",")))</f>
        <v>762917</v>
      </c>
      <c r="D220" s="1">
        <v>762917</v>
      </c>
    </row>
    <row r="221" spans="1:4" x14ac:dyDescent="0.25">
      <c r="A221" s="13">
        <f>IF(Tabla3[[#This Row],[Fare correción 2]]&gt;=1000,Tabla3[[#This Row],[Fare correción 2]]/10,Tabla3[[#This Row],[Fare correción 2]])</f>
        <v>10.5</v>
      </c>
      <c r="B221">
        <f>IF(Tabla3[[#This Row],[Fare corrección]]&gt;1000,Tabla3[[#This Row],[Fare corrección]]/1000,Tabla3[[#This Row],[Fare corrección]])</f>
        <v>10.5</v>
      </c>
      <c r="C221">
        <f>IF(ISNUMBER(Tabla3[[#This Row],[Fare]]),Tabla3[[#This Row],[Fare]],VALUE(SUBSTITUTE(Tabla3[[#This Row],[Fare]],".",",")))</f>
        <v>10.5</v>
      </c>
      <c r="D221" t="s">
        <v>964</v>
      </c>
    </row>
    <row r="222" spans="1:4" x14ac:dyDescent="0.25">
      <c r="A222" s="13">
        <f>IF(Tabla3[[#This Row],[Fare correción 2]]&gt;=1000,Tabla3[[#This Row],[Fare correción 2]]/10,Tabla3[[#This Row],[Fare correción 2]])</f>
        <v>8.0500000000000007</v>
      </c>
      <c r="B222">
        <f>IF(Tabla3[[#This Row],[Fare corrección]]&gt;1000,Tabla3[[#This Row],[Fare corrección]]/1000,Tabla3[[#This Row],[Fare corrección]])</f>
        <v>8.0500000000000007</v>
      </c>
      <c r="C222">
        <f>IF(ISNUMBER(Tabla3[[#This Row],[Fare]]),Tabla3[[#This Row],[Fare]],VALUE(SUBSTITUTE(Tabla3[[#This Row],[Fare]],".",",")))</f>
        <v>8.0500000000000007</v>
      </c>
      <c r="D222" t="s">
        <v>917</v>
      </c>
    </row>
    <row r="223" spans="1:4" x14ac:dyDescent="0.25">
      <c r="A223" s="13">
        <f>IF(Tabla3[[#This Row],[Fare correción 2]]&gt;=1000,Tabla3[[#This Row],[Fare correción 2]]/10,Tabla3[[#This Row],[Fare correción 2]])</f>
        <v>13</v>
      </c>
      <c r="B223">
        <f>IF(Tabla3[[#This Row],[Fare corrección]]&gt;1000,Tabla3[[#This Row],[Fare corrección]]/1000,Tabla3[[#This Row],[Fare corrección]])</f>
        <v>13</v>
      </c>
      <c r="C223">
        <f>IF(ISNUMBER(Tabla3[[#This Row],[Fare]]),Tabla3[[#This Row],[Fare]],VALUE(SUBSTITUTE(Tabla3[[#This Row],[Fare]],".",",")))</f>
        <v>13</v>
      </c>
      <c r="D223">
        <v>13</v>
      </c>
    </row>
    <row r="224" spans="1:4" x14ac:dyDescent="0.25">
      <c r="A224" s="13">
        <f>IF(Tabla3[[#This Row],[Fare correción 2]]&gt;=1000,Tabla3[[#This Row],[Fare correción 2]]/10,Tabla3[[#This Row],[Fare correción 2]])</f>
        <v>8.0500000000000007</v>
      </c>
      <c r="B224">
        <f>IF(Tabla3[[#This Row],[Fare corrección]]&gt;1000,Tabla3[[#This Row],[Fare corrección]]/1000,Tabla3[[#This Row],[Fare corrección]])</f>
        <v>8.0500000000000007</v>
      </c>
      <c r="C224">
        <f>IF(ISNUMBER(Tabla3[[#This Row],[Fare]]),Tabla3[[#This Row],[Fare]],VALUE(SUBSTITUTE(Tabla3[[#This Row],[Fare]],".",",")))</f>
        <v>8.0500000000000007</v>
      </c>
      <c r="D224" t="s">
        <v>917</v>
      </c>
    </row>
    <row r="225" spans="1:4" x14ac:dyDescent="0.25">
      <c r="A225" s="13">
        <f>IF(Tabla3[[#This Row],[Fare correción 2]]&gt;=1000,Tabla3[[#This Row],[Fare correción 2]]/10,Tabla3[[#This Row],[Fare correción 2]])</f>
        <v>78.957999999999998</v>
      </c>
      <c r="B225">
        <f>IF(Tabla3[[#This Row],[Fare corrección]]&gt;1000,Tabla3[[#This Row],[Fare corrección]]/1000,Tabla3[[#This Row],[Fare corrección]])</f>
        <v>78.957999999999998</v>
      </c>
      <c r="C225" s="1">
        <f>IF(ISNUMBER(Tabla3[[#This Row],[Fare]]),Tabla3[[#This Row],[Fare]],VALUE(SUBSTITUTE(Tabla3[[#This Row],[Fare]],".",",")))</f>
        <v>78958</v>
      </c>
      <c r="D225" s="1">
        <v>78958</v>
      </c>
    </row>
    <row r="226" spans="1:4" x14ac:dyDescent="0.25">
      <c r="A226" s="13">
        <f>IF(Tabla3[[#This Row],[Fare correción 2]]&gt;=1000,Tabla3[[#This Row],[Fare correción 2]]/10,Tabla3[[#This Row],[Fare correción 2]])</f>
        <v>90</v>
      </c>
      <c r="B226">
        <f>IF(Tabla3[[#This Row],[Fare corrección]]&gt;1000,Tabla3[[#This Row],[Fare corrección]]/1000,Tabla3[[#This Row],[Fare corrección]])</f>
        <v>90</v>
      </c>
      <c r="C226">
        <f>IF(ISNUMBER(Tabla3[[#This Row],[Fare]]),Tabla3[[#This Row],[Fare]],VALUE(SUBSTITUTE(Tabla3[[#This Row],[Fare]],".",",")))</f>
        <v>90</v>
      </c>
      <c r="D226">
        <v>90</v>
      </c>
    </row>
    <row r="227" spans="1:4" x14ac:dyDescent="0.25">
      <c r="A227" s="13">
        <f>IF(Tabla3[[#This Row],[Fare correción 2]]&gt;=1000,Tabla3[[#This Row],[Fare correción 2]]/10,Tabla3[[#This Row],[Fare correción 2]])</f>
        <v>9.35</v>
      </c>
      <c r="B227">
        <f>IF(Tabla3[[#This Row],[Fare corrección]]&gt;1000,Tabla3[[#This Row],[Fare corrección]]/1000,Tabla3[[#This Row],[Fare corrección]])</f>
        <v>9.35</v>
      </c>
      <c r="C227">
        <f>IF(ISNUMBER(Tabla3[[#This Row],[Fare]]),Tabla3[[#This Row],[Fare]],VALUE(SUBSTITUTE(Tabla3[[#This Row],[Fare]],".",",")))</f>
        <v>9.35</v>
      </c>
      <c r="D227" t="s">
        <v>1274</v>
      </c>
    </row>
    <row r="228" spans="1:4" x14ac:dyDescent="0.25">
      <c r="A228" s="13">
        <f>IF(Tabla3[[#This Row],[Fare correción 2]]&gt;=1000,Tabla3[[#This Row],[Fare correción 2]]/10,Tabla3[[#This Row],[Fare correción 2]])</f>
        <v>10.5</v>
      </c>
      <c r="B228">
        <f>IF(Tabla3[[#This Row],[Fare corrección]]&gt;1000,Tabla3[[#This Row],[Fare corrección]]/1000,Tabla3[[#This Row],[Fare corrección]])</f>
        <v>10.5</v>
      </c>
      <c r="C228">
        <f>IF(ISNUMBER(Tabla3[[#This Row],[Fare]]),Tabla3[[#This Row],[Fare]],VALUE(SUBSTITUTE(Tabla3[[#This Row],[Fare]],".",",")))</f>
        <v>10.5</v>
      </c>
      <c r="D228" t="s">
        <v>964</v>
      </c>
    </row>
    <row r="229" spans="1:4" x14ac:dyDescent="0.25">
      <c r="A229" s="13">
        <f>IF(Tabla3[[#This Row],[Fare correción 2]]&gt;=1000,Tabla3[[#This Row],[Fare correción 2]]/10,Tabla3[[#This Row],[Fare correción 2]])</f>
        <v>7.25</v>
      </c>
      <c r="B229">
        <f>IF(Tabla3[[#This Row],[Fare corrección]]&gt;1000,Tabla3[[#This Row],[Fare corrección]]/1000,Tabla3[[#This Row],[Fare corrección]])</f>
        <v>7.25</v>
      </c>
      <c r="C229">
        <f>IF(ISNUMBER(Tabla3[[#This Row],[Fare]]),Tabla3[[#This Row],[Fare]],VALUE(SUBSTITUTE(Tabla3[[#This Row],[Fare]],".",",")))</f>
        <v>7.25</v>
      </c>
      <c r="D229" t="s">
        <v>904</v>
      </c>
    </row>
    <row r="230" spans="1:4" x14ac:dyDescent="0.25">
      <c r="A230" s="13">
        <f>IF(Tabla3[[#This Row],[Fare correción 2]]&gt;=1000,Tabla3[[#This Row],[Fare correción 2]]/10,Tabla3[[#This Row],[Fare correción 2]])</f>
        <v>13</v>
      </c>
      <c r="B230">
        <f>IF(Tabla3[[#This Row],[Fare corrección]]&gt;1000,Tabla3[[#This Row],[Fare corrección]]/1000,Tabla3[[#This Row],[Fare corrección]])</f>
        <v>13</v>
      </c>
      <c r="C230">
        <f>IF(ISNUMBER(Tabla3[[#This Row],[Fare]]),Tabla3[[#This Row],[Fare]],VALUE(SUBSTITUTE(Tabla3[[#This Row],[Fare]],".",",")))</f>
        <v>13</v>
      </c>
      <c r="D230">
        <v>13</v>
      </c>
    </row>
    <row r="231" spans="1:4" x14ac:dyDescent="0.25">
      <c r="A231" s="13">
        <f>IF(Tabla3[[#This Row],[Fare correción 2]]&gt;=1000,Tabla3[[#This Row],[Fare correción 2]]/10,Tabla3[[#This Row],[Fare correción 2]])</f>
        <v>254.667</v>
      </c>
      <c r="B231">
        <f>IF(Tabla3[[#This Row],[Fare corrección]]&gt;1000,Tabla3[[#This Row],[Fare corrección]]/1000,Tabla3[[#This Row],[Fare corrección]])</f>
        <v>254.667</v>
      </c>
      <c r="C231" s="1">
        <f>IF(ISNUMBER(Tabla3[[#This Row],[Fare]]),Tabla3[[#This Row],[Fare]],VALUE(SUBSTITUTE(Tabla3[[#This Row],[Fare]],".",",")))</f>
        <v>254667</v>
      </c>
      <c r="D231" s="1">
        <v>254667</v>
      </c>
    </row>
    <row r="232" spans="1:4" x14ac:dyDescent="0.25">
      <c r="A232" s="13">
        <f>IF(Tabla3[[#This Row],[Fare correción 2]]&gt;=1000,Tabla3[[#This Row],[Fare correción 2]]/10,Tabla3[[#This Row],[Fare correción 2]])</f>
        <v>83.474999999999994</v>
      </c>
      <c r="B232">
        <f>IF(Tabla3[[#This Row],[Fare corrección]]&gt;1000,Tabla3[[#This Row],[Fare corrección]]/1000,Tabla3[[#This Row],[Fare corrección]])</f>
        <v>83.474999999999994</v>
      </c>
      <c r="C232" s="1">
        <f>IF(ISNUMBER(Tabla3[[#This Row],[Fare]]),Tabla3[[#This Row],[Fare]],VALUE(SUBSTITUTE(Tabla3[[#This Row],[Fare]],".",",")))</f>
        <v>83475</v>
      </c>
      <c r="D232" s="1">
        <v>83475</v>
      </c>
    </row>
    <row r="233" spans="1:4" x14ac:dyDescent="0.25">
      <c r="A233" s="13">
        <f>IF(Tabla3[[#This Row],[Fare correción 2]]&gt;=1000,Tabla3[[#This Row],[Fare correción 2]]/10,Tabla3[[#This Row],[Fare correción 2]])</f>
        <v>7.7750000000000004</v>
      </c>
      <c r="B233">
        <f>IF(Tabla3[[#This Row],[Fare corrección]]&gt;1000,Tabla3[[#This Row],[Fare corrección]]/1000,Tabla3[[#This Row],[Fare corrección]])</f>
        <v>7.7750000000000004</v>
      </c>
      <c r="C233" s="1">
        <f>IF(ISNUMBER(Tabla3[[#This Row],[Fare]]),Tabla3[[#This Row],[Fare]],VALUE(SUBSTITUTE(Tabla3[[#This Row],[Fare]],".",",")))</f>
        <v>7775</v>
      </c>
      <c r="D233" s="1">
        <v>7775</v>
      </c>
    </row>
    <row r="234" spans="1:4" x14ac:dyDescent="0.25">
      <c r="A234" s="13">
        <f>IF(Tabla3[[#This Row],[Fare correción 2]]&gt;=1000,Tabla3[[#This Row],[Fare correción 2]]/10,Tabla3[[#This Row],[Fare correción 2]])</f>
        <v>13.5</v>
      </c>
      <c r="B234">
        <f>IF(Tabla3[[#This Row],[Fare corrección]]&gt;1000,Tabla3[[#This Row],[Fare corrección]]/1000,Tabla3[[#This Row],[Fare corrección]])</f>
        <v>13.5</v>
      </c>
      <c r="C234">
        <f>IF(ISNUMBER(Tabla3[[#This Row],[Fare]]),Tabla3[[#This Row],[Fare]],VALUE(SUBSTITUTE(Tabla3[[#This Row],[Fare]],".",",")))</f>
        <v>13.5</v>
      </c>
      <c r="D234" t="s">
        <v>1285</v>
      </c>
    </row>
    <row r="235" spans="1:4" x14ac:dyDescent="0.25">
      <c r="A235" s="13">
        <f>IF(Tabla3[[#This Row],[Fare correción 2]]&gt;=1000,Tabla3[[#This Row],[Fare correción 2]]/10,Tabla3[[#This Row],[Fare correción 2]])</f>
        <v>313.875</v>
      </c>
      <c r="B235">
        <f>IF(Tabla3[[#This Row],[Fare corrección]]&gt;1000,Tabla3[[#This Row],[Fare corrección]]/1000,Tabla3[[#This Row],[Fare corrección]])</f>
        <v>313.875</v>
      </c>
      <c r="C235" s="1">
        <f>IF(ISNUMBER(Tabla3[[#This Row],[Fare]]),Tabla3[[#This Row],[Fare]],VALUE(SUBSTITUTE(Tabla3[[#This Row],[Fare]],".",",")))</f>
        <v>313875</v>
      </c>
      <c r="D235" s="1">
        <v>313875</v>
      </c>
    </row>
    <row r="236" spans="1:4" x14ac:dyDescent="0.25">
      <c r="A236" s="13">
        <f>IF(Tabla3[[#This Row],[Fare correción 2]]&gt;=1000,Tabla3[[#This Row],[Fare correción 2]]/10,Tabla3[[#This Row],[Fare correción 2]])</f>
        <v>10.5</v>
      </c>
      <c r="B236">
        <f>IF(Tabla3[[#This Row],[Fare corrección]]&gt;1000,Tabla3[[#This Row],[Fare corrección]]/1000,Tabla3[[#This Row],[Fare corrección]])</f>
        <v>10.5</v>
      </c>
      <c r="C236">
        <f>IF(ISNUMBER(Tabla3[[#This Row],[Fare]]),Tabla3[[#This Row],[Fare]],VALUE(SUBSTITUTE(Tabla3[[#This Row],[Fare]],".",",")))</f>
        <v>10.5</v>
      </c>
      <c r="D236" t="s">
        <v>964</v>
      </c>
    </row>
    <row r="237" spans="1:4" x14ac:dyDescent="0.25">
      <c r="A237" s="13">
        <f>IF(Tabla3[[#This Row],[Fare correción 2]]&gt;=1000,Tabla3[[#This Row],[Fare correción 2]]/10,Tabla3[[#This Row],[Fare correción 2]])</f>
        <v>7.55</v>
      </c>
      <c r="B237">
        <f>IF(Tabla3[[#This Row],[Fare corrección]]&gt;1000,Tabla3[[#This Row],[Fare corrección]]/1000,Tabla3[[#This Row],[Fare corrección]])</f>
        <v>7.55</v>
      </c>
      <c r="C237">
        <f>IF(ISNUMBER(Tabla3[[#This Row],[Fare]]),Tabla3[[#This Row],[Fare]],VALUE(SUBSTITUTE(Tabla3[[#This Row],[Fare]],".",",")))</f>
        <v>7.55</v>
      </c>
      <c r="D237" t="s">
        <v>1291</v>
      </c>
    </row>
    <row r="238" spans="1:4" x14ac:dyDescent="0.25">
      <c r="A238" s="13">
        <f>IF(Tabla3[[#This Row],[Fare correción 2]]&gt;=1000,Tabla3[[#This Row],[Fare correción 2]]/10,Tabla3[[#This Row],[Fare correción 2]])</f>
        <v>26</v>
      </c>
      <c r="B238">
        <f>IF(Tabla3[[#This Row],[Fare corrección]]&gt;1000,Tabla3[[#This Row],[Fare corrección]]/1000,Tabla3[[#This Row],[Fare corrección]])</f>
        <v>26</v>
      </c>
      <c r="C238">
        <f>IF(ISNUMBER(Tabla3[[#This Row],[Fare]]),Tabla3[[#This Row],[Fare]],VALUE(SUBSTITUTE(Tabla3[[#This Row],[Fare]],".",",")))</f>
        <v>26</v>
      </c>
      <c r="D238">
        <v>26</v>
      </c>
    </row>
    <row r="239" spans="1:4" x14ac:dyDescent="0.25">
      <c r="A239" s="13">
        <f>IF(Tabla3[[#This Row],[Fare correción 2]]&gt;=1000,Tabla3[[#This Row],[Fare correción 2]]/10,Tabla3[[#This Row],[Fare correción 2]])</f>
        <v>26.25</v>
      </c>
      <c r="B239">
        <f>IF(Tabla3[[#This Row],[Fare corrección]]&gt;1000,Tabla3[[#This Row],[Fare corrección]]/1000,Tabla3[[#This Row],[Fare corrección]])</f>
        <v>26.25</v>
      </c>
      <c r="C239">
        <f>IF(ISNUMBER(Tabla3[[#This Row],[Fare]]),Tabla3[[#This Row],[Fare]],VALUE(SUBSTITUTE(Tabla3[[#This Row],[Fare]],".",",")))</f>
        <v>26.25</v>
      </c>
      <c r="D239" t="s">
        <v>1295</v>
      </c>
    </row>
    <row r="240" spans="1:4" x14ac:dyDescent="0.25">
      <c r="A240" s="13">
        <f>IF(Tabla3[[#This Row],[Fare correción 2]]&gt;=1000,Tabla3[[#This Row],[Fare correción 2]]/10,Tabla3[[#This Row],[Fare correción 2]])</f>
        <v>10.5</v>
      </c>
      <c r="B240">
        <f>IF(Tabla3[[#This Row],[Fare corrección]]&gt;1000,Tabla3[[#This Row],[Fare corrección]]/1000,Tabla3[[#This Row],[Fare corrección]])</f>
        <v>10.5</v>
      </c>
      <c r="C240">
        <f>IF(ISNUMBER(Tabla3[[#This Row],[Fare]]),Tabla3[[#This Row],[Fare]],VALUE(SUBSTITUTE(Tabla3[[#This Row],[Fare]],".",",")))</f>
        <v>10.5</v>
      </c>
      <c r="D240" t="s">
        <v>964</v>
      </c>
    </row>
    <row r="241" spans="1:4" x14ac:dyDescent="0.25">
      <c r="A241" s="13">
        <f>IF(Tabla3[[#This Row],[Fare correción 2]]&gt;=1000,Tabla3[[#This Row],[Fare correción 2]]/10,Tabla3[[#This Row],[Fare correción 2]])</f>
        <v>12.275</v>
      </c>
      <c r="B241">
        <f>IF(Tabla3[[#This Row],[Fare corrección]]&gt;1000,Tabla3[[#This Row],[Fare corrección]]/1000,Tabla3[[#This Row],[Fare corrección]])</f>
        <v>12.275</v>
      </c>
      <c r="C241" s="1">
        <f>IF(ISNUMBER(Tabla3[[#This Row],[Fare]]),Tabla3[[#This Row],[Fare]],VALUE(SUBSTITUTE(Tabla3[[#This Row],[Fare]],".",",")))</f>
        <v>12275</v>
      </c>
      <c r="D241" s="1">
        <v>12275</v>
      </c>
    </row>
    <row r="242" spans="1:4" x14ac:dyDescent="0.25">
      <c r="A242" s="13">
        <f>IF(Tabla3[[#This Row],[Fare correción 2]]&gt;=1000,Tabla3[[#This Row],[Fare correción 2]]/10,Tabla3[[#This Row],[Fare correción 2]])</f>
        <v>144.542</v>
      </c>
      <c r="B242">
        <f>IF(Tabla3[[#This Row],[Fare corrección]]&gt;1000,Tabla3[[#This Row],[Fare corrección]]/1000,Tabla3[[#This Row],[Fare corrección]])</f>
        <v>144.542</v>
      </c>
      <c r="C242" s="1">
        <f>IF(ISNUMBER(Tabla3[[#This Row],[Fare]]),Tabla3[[#This Row],[Fare]],VALUE(SUBSTITUTE(Tabla3[[#This Row],[Fare]],".",",")))</f>
        <v>144542</v>
      </c>
      <c r="D242" s="1">
        <v>144542</v>
      </c>
    </row>
    <row r="243" spans="1:4" x14ac:dyDescent="0.25">
      <c r="A243" s="13">
        <f>IF(Tabla3[[#This Row],[Fare correción 2]]&gt;=1000,Tabla3[[#This Row],[Fare correción 2]]/10,Tabla3[[#This Row],[Fare correción 2]])</f>
        <v>15.5</v>
      </c>
      <c r="B243">
        <f>IF(Tabla3[[#This Row],[Fare corrección]]&gt;1000,Tabla3[[#This Row],[Fare corrección]]/1000,Tabla3[[#This Row],[Fare corrección]])</f>
        <v>15.5</v>
      </c>
      <c r="C243">
        <f>IF(ISNUMBER(Tabla3[[#This Row],[Fare]]),Tabla3[[#This Row],[Fare]],VALUE(SUBSTITUTE(Tabla3[[#This Row],[Fare]],".",",")))</f>
        <v>15.5</v>
      </c>
      <c r="D243" t="s">
        <v>982</v>
      </c>
    </row>
    <row r="244" spans="1:4" x14ac:dyDescent="0.25">
      <c r="A244" s="13">
        <f>IF(Tabla3[[#This Row],[Fare correción 2]]&gt;=1000,Tabla3[[#This Row],[Fare correción 2]]/10,Tabla3[[#This Row],[Fare correción 2]])</f>
        <v>10.5</v>
      </c>
      <c r="B244">
        <f>IF(Tabla3[[#This Row],[Fare corrección]]&gt;1000,Tabla3[[#This Row],[Fare corrección]]/1000,Tabla3[[#This Row],[Fare corrección]])</f>
        <v>10.5</v>
      </c>
      <c r="C244">
        <f>IF(ISNUMBER(Tabla3[[#This Row],[Fare]]),Tabla3[[#This Row],[Fare]],VALUE(SUBSTITUTE(Tabla3[[#This Row],[Fare]],".",",")))</f>
        <v>10.5</v>
      </c>
      <c r="D244" t="s">
        <v>964</v>
      </c>
    </row>
    <row r="245" spans="1:4" x14ac:dyDescent="0.25">
      <c r="A245" s="13">
        <f>IF(Tabla3[[#This Row],[Fare correción 2]]&gt;=1000,Tabla3[[#This Row],[Fare correción 2]]/10,Tabla3[[#This Row],[Fare correción 2]])</f>
        <v>7.125</v>
      </c>
      <c r="B245">
        <f>IF(Tabla3[[#This Row],[Fare corrección]]&gt;1000,Tabla3[[#This Row],[Fare corrección]]/1000,Tabla3[[#This Row],[Fare corrección]])</f>
        <v>7.125</v>
      </c>
      <c r="C245" s="1">
        <f>IF(ISNUMBER(Tabla3[[#This Row],[Fare]]),Tabla3[[#This Row],[Fare]],VALUE(SUBSTITUTE(Tabla3[[#This Row],[Fare]],".",",")))</f>
        <v>7125</v>
      </c>
      <c r="D245" s="1">
        <v>7125</v>
      </c>
    </row>
    <row r="246" spans="1:4" x14ac:dyDescent="0.25">
      <c r="A246" s="13">
        <f>IF(Tabla3[[#This Row],[Fare correción 2]]&gt;=1000,Tabla3[[#This Row],[Fare correción 2]]/10,Tabla3[[#This Row],[Fare correción 2]])</f>
        <v>7.2249999999999996</v>
      </c>
      <c r="B246">
        <f>IF(Tabla3[[#This Row],[Fare corrección]]&gt;1000,Tabla3[[#This Row],[Fare corrección]]/1000,Tabla3[[#This Row],[Fare corrección]])</f>
        <v>7.2249999999999996</v>
      </c>
      <c r="C246" s="1">
        <f>IF(ISNUMBER(Tabla3[[#This Row],[Fare]]),Tabla3[[#This Row],[Fare]],VALUE(SUBSTITUTE(Tabla3[[#This Row],[Fare]],".",",")))</f>
        <v>7225</v>
      </c>
      <c r="D246" s="1">
        <v>7225</v>
      </c>
    </row>
    <row r="247" spans="1:4" x14ac:dyDescent="0.25">
      <c r="A247" s="13">
        <f>IF(Tabla3[[#This Row],[Fare correción 2]]&gt;=1000,Tabla3[[#This Row],[Fare correción 2]]/10,Tabla3[[#This Row],[Fare correción 2]])</f>
        <v>90</v>
      </c>
      <c r="B247">
        <f>IF(Tabla3[[#This Row],[Fare corrección]]&gt;1000,Tabla3[[#This Row],[Fare corrección]]/1000,Tabla3[[#This Row],[Fare corrección]])</f>
        <v>90</v>
      </c>
      <c r="C247">
        <f>IF(ISNUMBER(Tabla3[[#This Row],[Fare]]),Tabla3[[#This Row],[Fare]],VALUE(SUBSTITUTE(Tabla3[[#This Row],[Fare]],".",",")))</f>
        <v>90</v>
      </c>
      <c r="D247">
        <v>90</v>
      </c>
    </row>
    <row r="248" spans="1:4" x14ac:dyDescent="0.25">
      <c r="A248" s="13">
        <f>IF(Tabla3[[#This Row],[Fare correción 2]]&gt;=1000,Tabla3[[#This Row],[Fare correción 2]]/10,Tabla3[[#This Row],[Fare correción 2]])</f>
        <v>7.7750000000000004</v>
      </c>
      <c r="B248">
        <f>IF(Tabla3[[#This Row],[Fare corrección]]&gt;1000,Tabla3[[#This Row],[Fare corrección]]/1000,Tabla3[[#This Row],[Fare corrección]])</f>
        <v>7.7750000000000004</v>
      </c>
      <c r="C248" s="1">
        <f>IF(ISNUMBER(Tabla3[[#This Row],[Fare]]),Tabla3[[#This Row],[Fare]],VALUE(SUBSTITUTE(Tabla3[[#This Row],[Fare]],".",",")))</f>
        <v>7775</v>
      </c>
      <c r="D248" s="1">
        <v>7775</v>
      </c>
    </row>
    <row r="249" spans="1:4" x14ac:dyDescent="0.25">
      <c r="A249" s="13">
        <f>IF(Tabla3[[#This Row],[Fare correción 2]]&gt;=1000,Tabla3[[#This Row],[Fare correción 2]]/10,Tabla3[[#This Row],[Fare correción 2]])</f>
        <v>14.5</v>
      </c>
      <c r="B249">
        <f>IF(Tabla3[[#This Row],[Fare corrección]]&gt;1000,Tabla3[[#This Row],[Fare corrección]]/1000,Tabla3[[#This Row],[Fare corrección]])</f>
        <v>14.5</v>
      </c>
      <c r="C249">
        <f>IF(ISNUMBER(Tabla3[[#This Row],[Fare]]),Tabla3[[#This Row],[Fare]],VALUE(SUBSTITUTE(Tabla3[[#This Row],[Fare]],".",",")))</f>
        <v>14.5</v>
      </c>
      <c r="D249" t="s">
        <v>1090</v>
      </c>
    </row>
    <row r="250" spans="1:4" x14ac:dyDescent="0.25">
      <c r="A250" s="13">
        <f>IF(Tabla3[[#This Row],[Fare correción 2]]&gt;=1000,Tabla3[[#This Row],[Fare correción 2]]/10,Tabla3[[#This Row],[Fare correción 2]])</f>
        <v>525.54200000000003</v>
      </c>
      <c r="B250">
        <f>IF(Tabla3[[#This Row],[Fare corrección]]&gt;1000,Tabla3[[#This Row],[Fare corrección]]/1000,Tabla3[[#This Row],[Fare corrección]])</f>
        <v>525.54200000000003</v>
      </c>
      <c r="C250" s="1">
        <f>IF(ISNUMBER(Tabla3[[#This Row],[Fare]]),Tabla3[[#This Row],[Fare]],VALUE(SUBSTITUTE(Tabla3[[#This Row],[Fare]],".",",")))</f>
        <v>525542</v>
      </c>
      <c r="D250" s="1">
        <v>525542</v>
      </c>
    </row>
    <row r="251" spans="1:4" x14ac:dyDescent="0.25">
      <c r="A251" s="13">
        <f>IF(Tabla3[[#This Row],[Fare correción 2]]&gt;=1000,Tabla3[[#This Row],[Fare correción 2]]/10,Tabla3[[#This Row],[Fare correción 2]])</f>
        <v>26</v>
      </c>
      <c r="B251">
        <f>IF(Tabla3[[#This Row],[Fare corrección]]&gt;1000,Tabla3[[#This Row],[Fare corrección]]/1000,Tabla3[[#This Row],[Fare corrección]])</f>
        <v>26</v>
      </c>
      <c r="C251">
        <f>IF(ISNUMBER(Tabla3[[#This Row],[Fare]]),Tabla3[[#This Row],[Fare]],VALUE(SUBSTITUTE(Tabla3[[#This Row],[Fare]],".",",")))</f>
        <v>26</v>
      </c>
      <c r="D251">
        <v>26</v>
      </c>
    </row>
    <row r="252" spans="1:4" x14ac:dyDescent="0.25">
      <c r="A252" s="13">
        <f>IF(Tabla3[[#This Row],[Fare correción 2]]&gt;=1000,Tabla3[[#This Row],[Fare correción 2]]/10,Tabla3[[#This Row],[Fare correción 2]])</f>
        <v>7.25</v>
      </c>
      <c r="B252">
        <f>IF(Tabla3[[#This Row],[Fare corrección]]&gt;1000,Tabla3[[#This Row],[Fare corrección]]/1000,Tabla3[[#This Row],[Fare corrección]])</f>
        <v>7.25</v>
      </c>
      <c r="C252">
        <f>IF(ISNUMBER(Tabla3[[#This Row],[Fare]]),Tabla3[[#This Row],[Fare]],VALUE(SUBSTITUTE(Tabla3[[#This Row],[Fare]],".",",")))</f>
        <v>7.25</v>
      </c>
      <c r="D252" t="s">
        <v>904</v>
      </c>
    </row>
    <row r="253" spans="1:4" x14ac:dyDescent="0.25">
      <c r="A253" s="13">
        <f>IF(Tabla3[[#This Row],[Fare correción 2]]&gt;=1000,Tabla3[[#This Row],[Fare correción 2]]/10,Tabla3[[#This Row],[Fare correción 2]])</f>
        <v>104.625</v>
      </c>
      <c r="B253">
        <f>IF(Tabla3[[#This Row],[Fare corrección]]&gt;1000,Tabla3[[#This Row],[Fare corrección]]/1000,Tabla3[[#This Row],[Fare corrección]])</f>
        <v>104.625</v>
      </c>
      <c r="C253" s="1">
        <f>IF(ISNUMBER(Tabla3[[#This Row],[Fare]]),Tabla3[[#This Row],[Fare]],VALUE(SUBSTITUTE(Tabla3[[#This Row],[Fare]],".",",")))</f>
        <v>104625</v>
      </c>
      <c r="D253" s="1">
        <v>104625</v>
      </c>
    </row>
    <row r="254" spans="1:4" x14ac:dyDescent="0.25">
      <c r="A254" s="13">
        <f>IF(Tabla3[[#This Row],[Fare correción 2]]&gt;=1000,Tabla3[[#This Row],[Fare correción 2]]/10,Tabla3[[#This Row],[Fare correción 2]])</f>
        <v>26.55</v>
      </c>
      <c r="B254">
        <f>IF(Tabla3[[#This Row],[Fare corrección]]&gt;1000,Tabla3[[#This Row],[Fare corrección]]/1000,Tabla3[[#This Row],[Fare corrección]])</f>
        <v>26.55</v>
      </c>
      <c r="C254">
        <f>IF(ISNUMBER(Tabla3[[#This Row],[Fare]]),Tabla3[[#This Row],[Fare]],VALUE(SUBSTITUTE(Tabla3[[#This Row],[Fare]],".",",")))</f>
        <v>26.55</v>
      </c>
      <c r="D254" t="s">
        <v>930</v>
      </c>
    </row>
    <row r="255" spans="1:4" x14ac:dyDescent="0.25">
      <c r="A255" s="13">
        <f>IF(Tabla3[[#This Row],[Fare correción 2]]&gt;=1000,Tabla3[[#This Row],[Fare correción 2]]/10,Tabla3[[#This Row],[Fare correción 2]])</f>
        <v>16.100000000000001</v>
      </c>
      <c r="B255">
        <f>IF(Tabla3[[#This Row],[Fare corrección]]&gt;1000,Tabla3[[#This Row],[Fare corrección]]/1000,Tabla3[[#This Row],[Fare corrección]])</f>
        <v>16.100000000000001</v>
      </c>
      <c r="C255">
        <f>IF(ISNUMBER(Tabla3[[#This Row],[Fare]]),Tabla3[[#This Row],[Fare]],VALUE(SUBSTITUTE(Tabla3[[#This Row],[Fare]],".",",")))</f>
        <v>16.100000000000001</v>
      </c>
      <c r="D255" t="s">
        <v>1177</v>
      </c>
    </row>
    <row r="256" spans="1:4" x14ac:dyDescent="0.25">
      <c r="A256" s="13">
        <f>IF(Tabla3[[#This Row],[Fare correción 2]]&gt;=1000,Tabla3[[#This Row],[Fare correción 2]]/10,Tabla3[[#This Row],[Fare correción 2]])</f>
        <v>202.125</v>
      </c>
      <c r="B256">
        <f>IF(Tabla3[[#This Row],[Fare corrección]]&gt;1000,Tabla3[[#This Row],[Fare corrección]]/1000,Tabla3[[#This Row],[Fare corrección]])</f>
        <v>202.125</v>
      </c>
      <c r="C256" s="1">
        <f>IF(ISNUMBER(Tabla3[[#This Row],[Fare]]),Tabla3[[#This Row],[Fare]],VALUE(SUBSTITUTE(Tabla3[[#This Row],[Fare]],".",",")))</f>
        <v>202125</v>
      </c>
      <c r="D256" s="1">
        <v>202125</v>
      </c>
    </row>
    <row r="257" spans="1:4" x14ac:dyDescent="0.25">
      <c r="A257" s="13">
        <f>IF(Tabla3[[#This Row],[Fare correción 2]]&gt;=1000,Tabla3[[#This Row],[Fare correción 2]]/10,Tabla3[[#This Row],[Fare correción 2]])</f>
        <v>152.458</v>
      </c>
      <c r="B257">
        <f>IF(Tabla3[[#This Row],[Fare corrección]]&gt;1000,Tabla3[[#This Row],[Fare corrección]]/1000,Tabla3[[#This Row],[Fare corrección]])</f>
        <v>152.458</v>
      </c>
      <c r="C257" s="1">
        <f>IF(ISNUMBER(Tabla3[[#This Row],[Fare]]),Tabla3[[#This Row],[Fare]],VALUE(SUBSTITUTE(Tabla3[[#This Row],[Fare]],".",",")))</f>
        <v>152458</v>
      </c>
      <c r="D257" s="1">
        <v>152458</v>
      </c>
    </row>
    <row r="258" spans="1:4" x14ac:dyDescent="0.25">
      <c r="A258" s="13">
        <f>IF(Tabla3[[#This Row],[Fare correción 2]]&gt;=1000,Tabla3[[#This Row],[Fare correción 2]]/10,Tabla3[[#This Row],[Fare correción 2]])</f>
        <v>79.2</v>
      </c>
      <c r="B258">
        <f>IF(Tabla3[[#This Row],[Fare corrección]]&gt;1000,Tabla3[[#This Row],[Fare corrección]]/1000,Tabla3[[#This Row],[Fare corrección]])</f>
        <v>79.2</v>
      </c>
      <c r="C258">
        <f>IF(ISNUMBER(Tabla3[[#This Row],[Fare]]),Tabla3[[#This Row],[Fare]],VALUE(SUBSTITUTE(Tabla3[[#This Row],[Fare]],".",",")))</f>
        <v>79.2</v>
      </c>
      <c r="D258" t="s">
        <v>1135</v>
      </c>
    </row>
    <row r="259" spans="1:4" x14ac:dyDescent="0.25">
      <c r="A259" s="13">
        <f>IF(Tabla3[[#This Row],[Fare correción 2]]&gt;=1000,Tabla3[[#This Row],[Fare correción 2]]/10,Tabla3[[#This Row],[Fare correción 2]])</f>
        <v>86.5</v>
      </c>
      <c r="B259">
        <f>IF(Tabla3[[#This Row],[Fare corrección]]&gt;1000,Tabla3[[#This Row],[Fare corrección]]/1000,Tabla3[[#This Row],[Fare corrección]])</f>
        <v>86.5</v>
      </c>
      <c r="C259">
        <f>IF(ISNUMBER(Tabla3[[#This Row],[Fare]]),Tabla3[[#This Row],[Fare]],VALUE(SUBSTITUTE(Tabla3[[#This Row],[Fare]],".",",")))</f>
        <v>86.5</v>
      </c>
      <c r="D259" t="s">
        <v>1324</v>
      </c>
    </row>
    <row r="260" spans="1:4" x14ac:dyDescent="0.25">
      <c r="A260" s="13">
        <f>IF(Tabla3[[#This Row],[Fare correción 2]]&gt;=1000,Tabla3[[#This Row],[Fare correción 2]]/10,Tabla3[[#This Row],[Fare correción 2]])</f>
        <v>512.32920000000001</v>
      </c>
      <c r="B260">
        <f>IF(Tabla3[[#This Row],[Fare corrección]]&gt;1000,Tabla3[[#This Row],[Fare corrección]]/1000,Tabla3[[#This Row],[Fare corrección]])</f>
        <v>5123.2920000000004</v>
      </c>
      <c r="C260" s="1">
        <f>IF(ISNUMBER(Tabla3[[#This Row],[Fare]]),Tabla3[[#This Row],[Fare]],VALUE(SUBSTITUTE(Tabla3[[#This Row],[Fare]],".",",")))</f>
        <v>5123292</v>
      </c>
      <c r="D260" s="1">
        <v>5123292</v>
      </c>
    </row>
    <row r="261" spans="1:4" x14ac:dyDescent="0.25">
      <c r="A261" s="13">
        <f>IF(Tabla3[[#This Row],[Fare correción 2]]&gt;=1000,Tabla3[[#This Row],[Fare correción 2]]/10,Tabla3[[#This Row],[Fare correción 2]])</f>
        <v>26</v>
      </c>
      <c r="B261">
        <f>IF(Tabla3[[#This Row],[Fare corrección]]&gt;1000,Tabla3[[#This Row],[Fare corrección]]/1000,Tabla3[[#This Row],[Fare corrección]])</f>
        <v>26</v>
      </c>
      <c r="C261">
        <f>IF(ISNUMBER(Tabla3[[#This Row],[Fare]]),Tabla3[[#This Row],[Fare]],VALUE(SUBSTITUTE(Tabla3[[#This Row],[Fare]],".",",")))</f>
        <v>26</v>
      </c>
      <c r="D261">
        <v>26</v>
      </c>
    </row>
    <row r="262" spans="1:4" x14ac:dyDescent="0.25">
      <c r="A262" s="13">
        <f>IF(Tabla3[[#This Row],[Fare correción 2]]&gt;=1000,Tabla3[[#This Row],[Fare correción 2]]/10,Tabla3[[#This Row],[Fare correción 2]])</f>
        <v>7.75</v>
      </c>
      <c r="B262">
        <f>IF(Tabla3[[#This Row],[Fare corrección]]&gt;1000,Tabla3[[#This Row],[Fare corrección]]/1000,Tabla3[[#This Row],[Fare corrección]])</f>
        <v>7.75</v>
      </c>
      <c r="C262">
        <f>IF(ISNUMBER(Tabla3[[#This Row],[Fare]]),Tabla3[[#This Row],[Fare]],VALUE(SUBSTITUTE(Tabla3[[#This Row],[Fare]],".",",")))</f>
        <v>7.75</v>
      </c>
      <c r="D262" t="s">
        <v>961</v>
      </c>
    </row>
    <row r="263" spans="1:4" x14ac:dyDescent="0.25">
      <c r="A263" s="13">
        <f>IF(Tabla3[[#This Row],[Fare correción 2]]&gt;=1000,Tabla3[[#This Row],[Fare correción 2]]/10,Tabla3[[#This Row],[Fare correción 2]])</f>
        <v>313.875</v>
      </c>
      <c r="B263">
        <f>IF(Tabla3[[#This Row],[Fare corrección]]&gt;1000,Tabla3[[#This Row],[Fare corrección]]/1000,Tabla3[[#This Row],[Fare corrección]])</f>
        <v>313.875</v>
      </c>
      <c r="C263" s="1">
        <f>IF(ISNUMBER(Tabla3[[#This Row],[Fare]]),Tabla3[[#This Row],[Fare]],VALUE(SUBSTITUTE(Tabla3[[#This Row],[Fare]],".",",")))</f>
        <v>313875</v>
      </c>
      <c r="D263" s="1">
        <v>313875</v>
      </c>
    </row>
    <row r="264" spans="1:4" x14ac:dyDescent="0.25">
      <c r="A264" s="13">
        <f>IF(Tabla3[[#This Row],[Fare correción 2]]&gt;=1000,Tabla3[[#This Row],[Fare correción 2]]/10,Tabla3[[#This Row],[Fare correción 2]])</f>
        <v>79.650000000000006</v>
      </c>
      <c r="B264">
        <f>IF(Tabla3[[#This Row],[Fare corrección]]&gt;1000,Tabla3[[#This Row],[Fare corrección]]/1000,Tabla3[[#This Row],[Fare corrección]])</f>
        <v>79.650000000000006</v>
      </c>
      <c r="C264">
        <f>IF(ISNUMBER(Tabla3[[#This Row],[Fare]]),Tabla3[[#This Row],[Fare]],VALUE(SUBSTITUTE(Tabla3[[#This Row],[Fare]],".",",")))</f>
        <v>79.650000000000006</v>
      </c>
      <c r="D264" t="s">
        <v>1332</v>
      </c>
    </row>
    <row r="265" spans="1:4" x14ac:dyDescent="0.25">
      <c r="A265" s="13">
        <f>IF(Tabla3[[#This Row],[Fare correción 2]]&gt;=1000,Tabla3[[#This Row],[Fare correción 2]]/10,Tabla3[[#This Row],[Fare correción 2]])</f>
        <v>0</v>
      </c>
      <c r="B265">
        <f>IF(Tabla3[[#This Row],[Fare corrección]]&gt;1000,Tabla3[[#This Row],[Fare corrección]]/1000,Tabla3[[#This Row],[Fare corrección]])</f>
        <v>0</v>
      </c>
      <c r="C265">
        <f>IF(ISNUMBER(Tabla3[[#This Row],[Fare]]),Tabla3[[#This Row],[Fare]],VALUE(SUBSTITUTE(Tabla3[[#This Row],[Fare]],".",",")))</f>
        <v>0</v>
      </c>
      <c r="D265">
        <v>0</v>
      </c>
    </row>
    <row r="266" spans="1:4" x14ac:dyDescent="0.25">
      <c r="A266" s="13">
        <f>IF(Tabla3[[#This Row],[Fare correción 2]]&gt;=1000,Tabla3[[#This Row],[Fare correción 2]]/10,Tabla3[[#This Row],[Fare correción 2]])</f>
        <v>7.75</v>
      </c>
      <c r="B266">
        <f>IF(Tabla3[[#This Row],[Fare corrección]]&gt;1000,Tabla3[[#This Row],[Fare corrección]]/1000,Tabla3[[#This Row],[Fare corrección]])</f>
        <v>7.75</v>
      </c>
      <c r="C266">
        <f>IF(ISNUMBER(Tabla3[[#This Row],[Fare]]),Tabla3[[#This Row],[Fare]],VALUE(SUBSTITUTE(Tabla3[[#This Row],[Fare]],".",",")))</f>
        <v>7.75</v>
      </c>
      <c r="D266" t="s">
        <v>961</v>
      </c>
    </row>
    <row r="267" spans="1:4" x14ac:dyDescent="0.25">
      <c r="A267" s="13">
        <f>IF(Tabla3[[#This Row],[Fare correción 2]]&gt;=1000,Tabla3[[#This Row],[Fare correción 2]]/10,Tabla3[[#This Row],[Fare correción 2]])</f>
        <v>10.5</v>
      </c>
      <c r="B267">
        <f>IF(Tabla3[[#This Row],[Fare corrección]]&gt;1000,Tabla3[[#This Row],[Fare corrección]]/1000,Tabla3[[#This Row],[Fare corrección]])</f>
        <v>10.5</v>
      </c>
      <c r="C267">
        <f>IF(ISNUMBER(Tabla3[[#This Row],[Fare]]),Tabla3[[#This Row],[Fare]],VALUE(SUBSTITUTE(Tabla3[[#This Row],[Fare]],".",",")))</f>
        <v>10.5</v>
      </c>
      <c r="D267" t="s">
        <v>964</v>
      </c>
    </row>
    <row r="268" spans="1:4" x14ac:dyDescent="0.25">
      <c r="A268" s="13">
        <f>IF(Tabla3[[#This Row],[Fare correción 2]]&gt;=1000,Tabla3[[#This Row],[Fare correción 2]]/10,Tabla3[[#This Row],[Fare correción 2]])</f>
        <v>396.875</v>
      </c>
      <c r="B268">
        <f>IF(Tabla3[[#This Row],[Fare corrección]]&gt;1000,Tabla3[[#This Row],[Fare corrección]]/1000,Tabla3[[#This Row],[Fare corrección]])</f>
        <v>396.875</v>
      </c>
      <c r="C268" s="1">
        <f>IF(ISNUMBER(Tabla3[[#This Row],[Fare]]),Tabla3[[#This Row],[Fare]],VALUE(SUBSTITUTE(Tabla3[[#This Row],[Fare]],".",",")))</f>
        <v>396875</v>
      </c>
      <c r="D268" s="1">
        <v>396875</v>
      </c>
    </row>
    <row r="269" spans="1:4" x14ac:dyDescent="0.25">
      <c r="A269" s="13">
        <f>IF(Tabla3[[#This Row],[Fare correción 2]]&gt;=1000,Tabla3[[#This Row],[Fare correción 2]]/10,Tabla3[[#This Row],[Fare correción 2]])</f>
        <v>7.7750000000000004</v>
      </c>
      <c r="B269">
        <f>IF(Tabla3[[#This Row],[Fare corrección]]&gt;1000,Tabla3[[#This Row],[Fare corrección]]/1000,Tabla3[[#This Row],[Fare corrección]])</f>
        <v>7.7750000000000004</v>
      </c>
      <c r="C269" s="1">
        <f>IF(ISNUMBER(Tabla3[[#This Row],[Fare]]),Tabla3[[#This Row],[Fare]],VALUE(SUBSTITUTE(Tabla3[[#This Row],[Fare]],".",",")))</f>
        <v>7775</v>
      </c>
      <c r="D269" s="1">
        <v>7775</v>
      </c>
    </row>
    <row r="270" spans="1:4" x14ac:dyDescent="0.25">
      <c r="A270" s="13">
        <f>IF(Tabla3[[#This Row],[Fare correción 2]]&gt;=1000,Tabla3[[#This Row],[Fare correción 2]]/10,Tabla3[[#This Row],[Fare correción 2]])</f>
        <v>153.46250000000001</v>
      </c>
      <c r="B270">
        <f>IF(Tabla3[[#This Row],[Fare corrección]]&gt;1000,Tabla3[[#This Row],[Fare corrección]]/1000,Tabla3[[#This Row],[Fare corrección]])</f>
        <v>1534.625</v>
      </c>
      <c r="C270" s="1">
        <f>IF(ISNUMBER(Tabla3[[#This Row],[Fare]]),Tabla3[[#This Row],[Fare]],VALUE(SUBSTITUTE(Tabla3[[#This Row],[Fare]],".",",")))</f>
        <v>1534625</v>
      </c>
      <c r="D270" s="1">
        <v>1534625</v>
      </c>
    </row>
    <row r="271" spans="1:4" x14ac:dyDescent="0.25">
      <c r="A271" s="13">
        <f>IF(Tabla3[[#This Row],[Fare correción 2]]&gt;=1000,Tabla3[[#This Row],[Fare correción 2]]/10,Tabla3[[#This Row],[Fare correción 2]])</f>
        <v>135.63330000000002</v>
      </c>
      <c r="B271">
        <f>IF(Tabla3[[#This Row],[Fare corrección]]&gt;1000,Tabla3[[#This Row],[Fare corrección]]/1000,Tabla3[[#This Row],[Fare corrección]])</f>
        <v>1356.3330000000001</v>
      </c>
      <c r="C271" s="1">
        <f>IF(ISNUMBER(Tabla3[[#This Row],[Fare]]),Tabla3[[#This Row],[Fare]],VALUE(SUBSTITUTE(Tabla3[[#This Row],[Fare]],".",",")))</f>
        <v>1356333</v>
      </c>
      <c r="D271" s="1">
        <v>1356333</v>
      </c>
    </row>
    <row r="272" spans="1:4" x14ac:dyDescent="0.25">
      <c r="A272" s="13">
        <f>IF(Tabla3[[#This Row],[Fare correción 2]]&gt;=1000,Tabla3[[#This Row],[Fare correción 2]]/10,Tabla3[[#This Row],[Fare correción 2]])</f>
        <v>31</v>
      </c>
      <c r="B272">
        <f>IF(Tabla3[[#This Row],[Fare corrección]]&gt;1000,Tabla3[[#This Row],[Fare corrección]]/1000,Tabla3[[#This Row],[Fare corrección]])</f>
        <v>31</v>
      </c>
      <c r="C272">
        <f>IF(ISNUMBER(Tabla3[[#This Row],[Fare]]),Tabla3[[#This Row],[Fare]],VALUE(SUBSTITUTE(Tabla3[[#This Row],[Fare]],".",",")))</f>
        <v>31</v>
      </c>
      <c r="D272">
        <v>31</v>
      </c>
    </row>
    <row r="273" spans="1:4" x14ac:dyDescent="0.25">
      <c r="A273" s="13">
        <f>IF(Tabla3[[#This Row],[Fare correción 2]]&gt;=1000,Tabla3[[#This Row],[Fare correción 2]]/10,Tabla3[[#This Row],[Fare correción 2]])</f>
        <v>0</v>
      </c>
      <c r="B273">
        <f>IF(Tabla3[[#This Row],[Fare corrección]]&gt;1000,Tabla3[[#This Row],[Fare corrección]]/1000,Tabla3[[#This Row],[Fare corrección]])</f>
        <v>0</v>
      </c>
      <c r="C273">
        <f>IF(ISNUMBER(Tabla3[[#This Row],[Fare]]),Tabla3[[#This Row],[Fare]],VALUE(SUBSTITUTE(Tabla3[[#This Row],[Fare]],".",",")))</f>
        <v>0</v>
      </c>
      <c r="D273">
        <v>0</v>
      </c>
    </row>
    <row r="274" spans="1:4" x14ac:dyDescent="0.25">
      <c r="A274" s="13">
        <f>IF(Tabla3[[#This Row],[Fare correción 2]]&gt;=1000,Tabla3[[#This Row],[Fare correción 2]]/10,Tabla3[[#This Row],[Fare correción 2]])</f>
        <v>19.5</v>
      </c>
      <c r="B274">
        <f>IF(Tabla3[[#This Row],[Fare corrección]]&gt;1000,Tabla3[[#This Row],[Fare corrección]]/1000,Tabla3[[#This Row],[Fare corrección]])</f>
        <v>19.5</v>
      </c>
      <c r="C274">
        <f>IF(ISNUMBER(Tabla3[[#This Row],[Fare]]),Tabla3[[#This Row],[Fare]],VALUE(SUBSTITUTE(Tabla3[[#This Row],[Fare]],".",",")))</f>
        <v>19.5</v>
      </c>
      <c r="D274" t="s">
        <v>1350</v>
      </c>
    </row>
    <row r="275" spans="1:4" x14ac:dyDescent="0.25">
      <c r="A275" s="13">
        <f>IF(Tabla3[[#This Row],[Fare correción 2]]&gt;=1000,Tabla3[[#This Row],[Fare correción 2]]/10,Tabla3[[#This Row],[Fare correción 2]])</f>
        <v>29.7</v>
      </c>
      <c r="B275">
        <f>IF(Tabla3[[#This Row],[Fare corrección]]&gt;1000,Tabla3[[#This Row],[Fare corrección]]/1000,Tabla3[[#This Row],[Fare corrección]])</f>
        <v>29.7</v>
      </c>
      <c r="C275">
        <f>IF(ISNUMBER(Tabla3[[#This Row],[Fare]]),Tabla3[[#This Row],[Fare]],VALUE(SUBSTITUTE(Tabla3[[#This Row],[Fare]],".",",")))</f>
        <v>29.7</v>
      </c>
      <c r="D275" t="s">
        <v>1353</v>
      </c>
    </row>
    <row r="276" spans="1:4" x14ac:dyDescent="0.25">
      <c r="A276" s="13">
        <f>IF(Tabla3[[#This Row],[Fare correción 2]]&gt;=1000,Tabla3[[#This Row],[Fare correción 2]]/10,Tabla3[[#This Row],[Fare correción 2]])</f>
        <v>7.75</v>
      </c>
      <c r="B276">
        <f>IF(Tabla3[[#This Row],[Fare corrección]]&gt;1000,Tabla3[[#This Row],[Fare corrección]]/1000,Tabla3[[#This Row],[Fare corrección]])</f>
        <v>7.75</v>
      </c>
      <c r="C276">
        <f>IF(ISNUMBER(Tabla3[[#This Row],[Fare]]),Tabla3[[#This Row],[Fare]],VALUE(SUBSTITUTE(Tabla3[[#This Row],[Fare]],".",",")))</f>
        <v>7.75</v>
      </c>
      <c r="D276" t="s">
        <v>961</v>
      </c>
    </row>
    <row r="277" spans="1:4" x14ac:dyDescent="0.25">
      <c r="A277" s="13">
        <f>IF(Tabla3[[#This Row],[Fare correción 2]]&gt;=1000,Tabla3[[#This Row],[Fare correción 2]]/10,Tabla3[[#This Row],[Fare correción 2]])</f>
        <v>779.58299999999997</v>
      </c>
      <c r="B277">
        <f>IF(Tabla3[[#This Row],[Fare corrección]]&gt;1000,Tabla3[[#This Row],[Fare corrección]]/1000,Tabla3[[#This Row],[Fare corrección]])</f>
        <v>779.58299999999997</v>
      </c>
      <c r="C277" s="1">
        <f>IF(ISNUMBER(Tabla3[[#This Row],[Fare]]),Tabla3[[#This Row],[Fare]],VALUE(SUBSTITUTE(Tabla3[[#This Row],[Fare]],".",",")))</f>
        <v>779583</v>
      </c>
      <c r="D277" s="1">
        <v>779583</v>
      </c>
    </row>
    <row r="278" spans="1:4" x14ac:dyDescent="0.25">
      <c r="A278" s="13">
        <f>IF(Tabla3[[#This Row],[Fare correción 2]]&gt;=1000,Tabla3[[#This Row],[Fare correción 2]]/10,Tabla3[[#This Row],[Fare correción 2]])</f>
        <v>7.75</v>
      </c>
      <c r="B278">
        <f>IF(Tabla3[[#This Row],[Fare corrección]]&gt;1000,Tabla3[[#This Row],[Fare corrección]]/1000,Tabla3[[#This Row],[Fare corrección]])</f>
        <v>7.75</v>
      </c>
      <c r="C278">
        <f>IF(ISNUMBER(Tabla3[[#This Row],[Fare]]),Tabla3[[#This Row],[Fare]],VALUE(SUBSTITUTE(Tabla3[[#This Row],[Fare]],".",",")))</f>
        <v>7.75</v>
      </c>
      <c r="D278" t="s">
        <v>961</v>
      </c>
    </row>
    <row r="279" spans="1:4" x14ac:dyDescent="0.25">
      <c r="A279" s="13">
        <f>IF(Tabla3[[#This Row],[Fare correción 2]]&gt;=1000,Tabla3[[#This Row],[Fare correción 2]]/10,Tabla3[[#This Row],[Fare correción 2]])</f>
        <v>0</v>
      </c>
      <c r="B279">
        <f>IF(Tabla3[[#This Row],[Fare corrección]]&gt;1000,Tabla3[[#This Row],[Fare corrección]]/1000,Tabla3[[#This Row],[Fare corrección]])</f>
        <v>0</v>
      </c>
      <c r="C279">
        <f>IF(ISNUMBER(Tabla3[[#This Row],[Fare]]),Tabla3[[#This Row],[Fare]],VALUE(SUBSTITUTE(Tabla3[[#This Row],[Fare]],".",",")))</f>
        <v>0</v>
      </c>
      <c r="D279">
        <v>0</v>
      </c>
    </row>
    <row r="280" spans="1:4" x14ac:dyDescent="0.25">
      <c r="A280" s="13">
        <f>IF(Tabla3[[#This Row],[Fare correción 2]]&gt;=1000,Tabla3[[#This Row],[Fare correción 2]]/10,Tabla3[[#This Row],[Fare correción 2]])</f>
        <v>29.125</v>
      </c>
      <c r="B280">
        <f>IF(Tabla3[[#This Row],[Fare corrección]]&gt;1000,Tabla3[[#This Row],[Fare corrección]]/1000,Tabla3[[#This Row],[Fare corrección]])</f>
        <v>29.125</v>
      </c>
      <c r="C280" s="1">
        <f>IF(ISNUMBER(Tabla3[[#This Row],[Fare]]),Tabla3[[#This Row],[Fare]],VALUE(SUBSTITUTE(Tabla3[[#This Row],[Fare]],".",",")))</f>
        <v>29125</v>
      </c>
      <c r="D280" s="1">
        <v>29125</v>
      </c>
    </row>
    <row r="281" spans="1:4" x14ac:dyDescent="0.25">
      <c r="A281" s="13">
        <f>IF(Tabla3[[#This Row],[Fare correción 2]]&gt;=1000,Tabla3[[#This Row],[Fare correción 2]]/10,Tabla3[[#This Row],[Fare correción 2]])</f>
        <v>20.25</v>
      </c>
      <c r="B281">
        <f>IF(Tabla3[[#This Row],[Fare corrección]]&gt;1000,Tabla3[[#This Row],[Fare corrección]]/1000,Tabla3[[#This Row],[Fare corrección]])</f>
        <v>20.25</v>
      </c>
      <c r="C281">
        <f>IF(ISNUMBER(Tabla3[[#This Row],[Fare]]),Tabla3[[#This Row],[Fare]],VALUE(SUBSTITUTE(Tabla3[[#This Row],[Fare]],".",",")))</f>
        <v>20.25</v>
      </c>
      <c r="D281" t="s">
        <v>1363</v>
      </c>
    </row>
    <row r="282" spans="1:4" x14ac:dyDescent="0.25">
      <c r="A282" s="13">
        <f>IF(Tabla3[[#This Row],[Fare correción 2]]&gt;=1000,Tabla3[[#This Row],[Fare correción 2]]/10,Tabla3[[#This Row],[Fare correción 2]])</f>
        <v>7.75</v>
      </c>
      <c r="B282">
        <f>IF(Tabla3[[#This Row],[Fare corrección]]&gt;1000,Tabla3[[#This Row],[Fare corrección]]/1000,Tabla3[[#This Row],[Fare corrección]])</f>
        <v>7.75</v>
      </c>
      <c r="C282">
        <f>IF(ISNUMBER(Tabla3[[#This Row],[Fare]]),Tabla3[[#This Row],[Fare]],VALUE(SUBSTITUTE(Tabla3[[#This Row],[Fare]],".",",")))</f>
        <v>7.75</v>
      </c>
      <c r="D282" t="s">
        <v>961</v>
      </c>
    </row>
    <row r="283" spans="1:4" x14ac:dyDescent="0.25">
      <c r="A283" s="13">
        <f>IF(Tabla3[[#This Row],[Fare correción 2]]&gt;=1000,Tabla3[[#This Row],[Fare correción 2]]/10,Tabla3[[#This Row],[Fare correción 2]])</f>
        <v>78.542000000000002</v>
      </c>
      <c r="B283">
        <f>IF(Tabla3[[#This Row],[Fare corrección]]&gt;1000,Tabla3[[#This Row],[Fare corrección]]/1000,Tabla3[[#This Row],[Fare corrección]])</f>
        <v>78.542000000000002</v>
      </c>
      <c r="C283" s="1">
        <f>IF(ISNUMBER(Tabla3[[#This Row],[Fare]]),Tabla3[[#This Row],[Fare]],VALUE(SUBSTITUTE(Tabla3[[#This Row],[Fare]],".",",")))</f>
        <v>78542</v>
      </c>
      <c r="D283" s="1">
        <v>78542</v>
      </c>
    </row>
    <row r="284" spans="1:4" x14ac:dyDescent="0.25">
      <c r="A284" s="13">
        <f>IF(Tabla3[[#This Row],[Fare correción 2]]&gt;=1000,Tabla3[[#This Row],[Fare correción 2]]/10,Tabla3[[#This Row],[Fare correción 2]])</f>
        <v>9.5</v>
      </c>
      <c r="B284">
        <f>IF(Tabla3[[#This Row],[Fare corrección]]&gt;1000,Tabla3[[#This Row],[Fare corrección]]/1000,Tabla3[[#This Row],[Fare corrección]])</f>
        <v>9.5</v>
      </c>
      <c r="C284">
        <f>IF(ISNUMBER(Tabla3[[#This Row],[Fare]]),Tabla3[[#This Row],[Fare]],VALUE(SUBSTITUTE(Tabla3[[#This Row],[Fare]],".",",")))</f>
        <v>9.5</v>
      </c>
      <c r="D284" t="s">
        <v>1044</v>
      </c>
    </row>
    <row r="285" spans="1:4" x14ac:dyDescent="0.25">
      <c r="A285" s="13">
        <f>IF(Tabla3[[#This Row],[Fare correción 2]]&gt;=1000,Tabla3[[#This Row],[Fare correción 2]]/10,Tabla3[[#This Row],[Fare correción 2]])</f>
        <v>8.0500000000000007</v>
      </c>
      <c r="B285">
        <f>IF(Tabla3[[#This Row],[Fare corrección]]&gt;1000,Tabla3[[#This Row],[Fare corrección]]/1000,Tabla3[[#This Row],[Fare corrección]])</f>
        <v>8.0500000000000007</v>
      </c>
      <c r="C285">
        <f>IF(ISNUMBER(Tabla3[[#This Row],[Fare]]),Tabla3[[#This Row],[Fare]],VALUE(SUBSTITUTE(Tabla3[[#This Row],[Fare]],".",",")))</f>
        <v>8.0500000000000007</v>
      </c>
      <c r="D285" t="s">
        <v>917</v>
      </c>
    </row>
    <row r="286" spans="1:4" x14ac:dyDescent="0.25">
      <c r="A286" s="13">
        <f>IF(Tabla3[[#This Row],[Fare correción 2]]&gt;=1000,Tabla3[[#This Row],[Fare correción 2]]/10,Tabla3[[#This Row],[Fare correción 2]])</f>
        <v>26</v>
      </c>
      <c r="B286">
        <f>IF(Tabla3[[#This Row],[Fare corrección]]&gt;1000,Tabla3[[#This Row],[Fare corrección]]/1000,Tabla3[[#This Row],[Fare corrección]])</f>
        <v>26</v>
      </c>
      <c r="C286">
        <f>IF(ISNUMBER(Tabla3[[#This Row],[Fare]]),Tabla3[[#This Row],[Fare]],VALUE(SUBSTITUTE(Tabla3[[#This Row],[Fare]],".",",")))</f>
        <v>26</v>
      </c>
      <c r="D286">
        <v>26</v>
      </c>
    </row>
    <row r="287" spans="1:4" x14ac:dyDescent="0.25">
      <c r="A287" s="13">
        <f>IF(Tabla3[[#This Row],[Fare correción 2]]&gt;=1000,Tabla3[[#This Row],[Fare correción 2]]/10,Tabla3[[#This Row],[Fare correción 2]])</f>
        <v>86.625</v>
      </c>
      <c r="B287">
        <f>IF(Tabla3[[#This Row],[Fare corrección]]&gt;1000,Tabla3[[#This Row],[Fare corrección]]/1000,Tabla3[[#This Row],[Fare corrección]])</f>
        <v>86.625</v>
      </c>
      <c r="C287" s="1">
        <f>IF(ISNUMBER(Tabla3[[#This Row],[Fare]]),Tabla3[[#This Row],[Fare]],VALUE(SUBSTITUTE(Tabla3[[#This Row],[Fare]],".",",")))</f>
        <v>86625</v>
      </c>
      <c r="D287" s="1">
        <v>86625</v>
      </c>
    </row>
    <row r="288" spans="1:4" x14ac:dyDescent="0.25">
      <c r="A288" s="13">
        <f>IF(Tabla3[[#This Row],[Fare correción 2]]&gt;=1000,Tabla3[[#This Row],[Fare correción 2]]/10,Tabla3[[#This Row],[Fare correción 2]])</f>
        <v>9.5</v>
      </c>
      <c r="B288">
        <f>IF(Tabla3[[#This Row],[Fare corrección]]&gt;1000,Tabla3[[#This Row],[Fare corrección]]/1000,Tabla3[[#This Row],[Fare corrección]])</f>
        <v>9.5</v>
      </c>
      <c r="C288">
        <f>IF(ISNUMBER(Tabla3[[#This Row],[Fare]]),Tabla3[[#This Row],[Fare]],VALUE(SUBSTITUTE(Tabla3[[#This Row],[Fare]],".",",")))</f>
        <v>9.5</v>
      </c>
      <c r="D288" t="s">
        <v>1044</v>
      </c>
    </row>
    <row r="289" spans="1:4" x14ac:dyDescent="0.25">
      <c r="A289" s="13">
        <f>IF(Tabla3[[#This Row],[Fare correción 2]]&gt;=1000,Tabla3[[#This Row],[Fare correción 2]]/10,Tabla3[[#This Row],[Fare correción 2]])</f>
        <v>78.957999999999998</v>
      </c>
      <c r="B289">
        <f>IF(Tabla3[[#This Row],[Fare corrección]]&gt;1000,Tabla3[[#This Row],[Fare corrección]]/1000,Tabla3[[#This Row],[Fare corrección]])</f>
        <v>78.957999999999998</v>
      </c>
      <c r="C289" s="1">
        <f>IF(ISNUMBER(Tabla3[[#This Row],[Fare]]),Tabla3[[#This Row],[Fare]],VALUE(SUBSTITUTE(Tabla3[[#This Row],[Fare]],".",",")))</f>
        <v>78958</v>
      </c>
      <c r="D289" s="1">
        <v>78958</v>
      </c>
    </row>
    <row r="290" spans="1:4" x14ac:dyDescent="0.25">
      <c r="A290" s="13">
        <f>IF(Tabla3[[#This Row],[Fare correción 2]]&gt;=1000,Tabla3[[#This Row],[Fare correción 2]]/10,Tabla3[[#This Row],[Fare correción 2]])</f>
        <v>13</v>
      </c>
      <c r="B290">
        <f>IF(Tabla3[[#This Row],[Fare corrección]]&gt;1000,Tabla3[[#This Row],[Fare corrección]]/1000,Tabla3[[#This Row],[Fare corrección]])</f>
        <v>13</v>
      </c>
      <c r="C290">
        <f>IF(ISNUMBER(Tabla3[[#This Row],[Fare]]),Tabla3[[#This Row],[Fare]],VALUE(SUBSTITUTE(Tabla3[[#This Row],[Fare]],".",",")))</f>
        <v>13</v>
      </c>
      <c r="D290">
        <v>13</v>
      </c>
    </row>
    <row r="291" spans="1:4" x14ac:dyDescent="0.25">
      <c r="A291" s="13">
        <f>IF(Tabla3[[#This Row],[Fare correción 2]]&gt;=1000,Tabla3[[#This Row],[Fare correción 2]]/10,Tabla3[[#This Row],[Fare correción 2]])</f>
        <v>7.75</v>
      </c>
      <c r="B291">
        <f>IF(Tabla3[[#This Row],[Fare corrección]]&gt;1000,Tabla3[[#This Row],[Fare corrección]]/1000,Tabla3[[#This Row],[Fare corrección]])</f>
        <v>7.75</v>
      </c>
      <c r="C291">
        <f>IF(ISNUMBER(Tabla3[[#This Row],[Fare]]),Tabla3[[#This Row],[Fare]],VALUE(SUBSTITUTE(Tabla3[[#This Row],[Fare]],".",",")))</f>
        <v>7.75</v>
      </c>
      <c r="D291" t="s">
        <v>961</v>
      </c>
    </row>
    <row r="292" spans="1:4" x14ac:dyDescent="0.25">
      <c r="A292" s="13">
        <f>IF(Tabla3[[#This Row],[Fare correción 2]]&gt;=1000,Tabla3[[#This Row],[Fare correción 2]]/10,Tabla3[[#This Row],[Fare correción 2]])</f>
        <v>78.849999999999994</v>
      </c>
      <c r="B292">
        <f>IF(Tabla3[[#This Row],[Fare corrección]]&gt;1000,Tabla3[[#This Row],[Fare corrección]]/1000,Tabla3[[#This Row],[Fare corrección]])</f>
        <v>78.849999999999994</v>
      </c>
      <c r="C292">
        <f>IF(ISNUMBER(Tabla3[[#This Row],[Fare]]),Tabla3[[#This Row],[Fare]],VALUE(SUBSTITUTE(Tabla3[[#This Row],[Fare]],".",",")))</f>
        <v>78.849999999999994</v>
      </c>
      <c r="D292" t="s">
        <v>1377</v>
      </c>
    </row>
    <row r="293" spans="1:4" x14ac:dyDescent="0.25">
      <c r="A293" s="13">
        <f>IF(Tabla3[[#This Row],[Fare correción 2]]&gt;=1000,Tabla3[[#This Row],[Fare correción 2]]/10,Tabla3[[#This Row],[Fare correción 2]])</f>
        <v>910.79200000000003</v>
      </c>
      <c r="B293">
        <f>IF(Tabla3[[#This Row],[Fare corrección]]&gt;1000,Tabla3[[#This Row],[Fare corrección]]/1000,Tabla3[[#This Row],[Fare corrección]])</f>
        <v>910.79200000000003</v>
      </c>
      <c r="C293" s="1">
        <f>IF(ISNUMBER(Tabla3[[#This Row],[Fare]]),Tabla3[[#This Row],[Fare]],VALUE(SUBSTITUTE(Tabla3[[#This Row],[Fare]],".",",")))</f>
        <v>910792</v>
      </c>
      <c r="D293" s="1">
        <v>910792</v>
      </c>
    </row>
    <row r="294" spans="1:4" x14ac:dyDescent="0.25">
      <c r="A294" s="13">
        <f>IF(Tabla3[[#This Row],[Fare correción 2]]&gt;=1000,Tabla3[[#This Row],[Fare correción 2]]/10,Tabla3[[#This Row],[Fare correción 2]])</f>
        <v>12.875</v>
      </c>
      <c r="B294">
        <f>IF(Tabla3[[#This Row],[Fare corrección]]&gt;1000,Tabla3[[#This Row],[Fare corrección]]/1000,Tabla3[[#This Row],[Fare corrección]])</f>
        <v>12.875</v>
      </c>
      <c r="C294" s="1">
        <f>IF(ISNUMBER(Tabla3[[#This Row],[Fare]]),Tabla3[[#This Row],[Fare]],VALUE(SUBSTITUTE(Tabla3[[#This Row],[Fare]],".",",")))</f>
        <v>12875</v>
      </c>
      <c r="D294" s="1">
        <v>12875</v>
      </c>
    </row>
    <row r="295" spans="1:4" x14ac:dyDescent="0.25">
      <c r="A295" s="13">
        <f>IF(Tabla3[[#This Row],[Fare correción 2]]&gt;=1000,Tabla3[[#This Row],[Fare correción 2]]/10,Tabla3[[#This Row],[Fare correción 2]])</f>
        <v>8.85</v>
      </c>
      <c r="B295">
        <f>IF(Tabla3[[#This Row],[Fare corrección]]&gt;1000,Tabla3[[#This Row],[Fare corrección]]/1000,Tabla3[[#This Row],[Fare corrección]])</f>
        <v>8.85</v>
      </c>
      <c r="C295">
        <f>IF(ISNUMBER(Tabla3[[#This Row],[Fare]]),Tabla3[[#This Row],[Fare]],VALUE(SUBSTITUTE(Tabla3[[#This Row],[Fare]],".",",")))</f>
        <v>8.85</v>
      </c>
      <c r="D295" t="s">
        <v>1384</v>
      </c>
    </row>
    <row r="296" spans="1:4" x14ac:dyDescent="0.25">
      <c r="A296" s="13">
        <f>IF(Tabla3[[#This Row],[Fare correción 2]]&gt;=1000,Tabla3[[#This Row],[Fare correción 2]]/10,Tabla3[[#This Row],[Fare correción 2]])</f>
        <v>78.957999999999998</v>
      </c>
      <c r="B296">
        <f>IF(Tabla3[[#This Row],[Fare corrección]]&gt;1000,Tabla3[[#This Row],[Fare corrección]]/1000,Tabla3[[#This Row],[Fare corrección]])</f>
        <v>78.957999999999998</v>
      </c>
      <c r="C296" s="1">
        <f>IF(ISNUMBER(Tabla3[[#This Row],[Fare]]),Tabla3[[#This Row],[Fare]],VALUE(SUBSTITUTE(Tabla3[[#This Row],[Fare]],".",",")))</f>
        <v>78958</v>
      </c>
      <c r="D296" s="1">
        <v>78958</v>
      </c>
    </row>
    <row r="297" spans="1:4" x14ac:dyDescent="0.25">
      <c r="A297" s="13">
        <f>IF(Tabla3[[#This Row],[Fare correción 2]]&gt;=1000,Tabla3[[#This Row],[Fare correción 2]]/10,Tabla3[[#This Row],[Fare correción 2]])</f>
        <v>277.20800000000003</v>
      </c>
      <c r="B297">
        <f>IF(Tabla3[[#This Row],[Fare corrección]]&gt;1000,Tabla3[[#This Row],[Fare corrección]]/1000,Tabla3[[#This Row],[Fare corrección]])</f>
        <v>277.20800000000003</v>
      </c>
      <c r="C297" s="1">
        <f>IF(ISNUMBER(Tabla3[[#This Row],[Fare]]),Tabla3[[#This Row],[Fare]],VALUE(SUBSTITUTE(Tabla3[[#This Row],[Fare]],".",",")))</f>
        <v>277208</v>
      </c>
      <c r="D297" s="1">
        <v>277208</v>
      </c>
    </row>
    <row r="298" spans="1:4" x14ac:dyDescent="0.25">
      <c r="A298" s="13">
        <f>IF(Tabla3[[#This Row],[Fare correción 2]]&gt;=1000,Tabla3[[#This Row],[Fare correción 2]]/10,Tabla3[[#This Row],[Fare correción 2]])</f>
        <v>72.292000000000002</v>
      </c>
      <c r="B298">
        <f>IF(Tabla3[[#This Row],[Fare corrección]]&gt;1000,Tabla3[[#This Row],[Fare corrección]]/1000,Tabla3[[#This Row],[Fare corrección]])</f>
        <v>72.292000000000002</v>
      </c>
      <c r="C298" s="1">
        <f>IF(ISNUMBER(Tabla3[[#This Row],[Fare]]),Tabla3[[#This Row],[Fare]],VALUE(SUBSTITUTE(Tabla3[[#This Row],[Fare]],".",",")))</f>
        <v>72292</v>
      </c>
      <c r="D298" s="1">
        <v>72292</v>
      </c>
    </row>
    <row r="299" spans="1:4" x14ac:dyDescent="0.25">
      <c r="A299" s="13">
        <f>IF(Tabla3[[#This Row],[Fare correción 2]]&gt;=1000,Tabla3[[#This Row],[Fare correción 2]]/10,Tabla3[[#This Row],[Fare correción 2]])</f>
        <v>151.55000000000001</v>
      </c>
      <c r="B299">
        <f>IF(Tabla3[[#This Row],[Fare corrección]]&gt;1000,Tabla3[[#This Row],[Fare corrección]]/1000,Tabla3[[#This Row],[Fare corrección]])</f>
        <v>151.55000000000001</v>
      </c>
      <c r="C299">
        <f>IF(ISNUMBER(Tabla3[[#This Row],[Fare]]),Tabla3[[#This Row],[Fare]],VALUE(SUBSTITUTE(Tabla3[[#This Row],[Fare]],".",",")))</f>
        <v>151.55000000000001</v>
      </c>
      <c r="D299" t="s">
        <v>1391</v>
      </c>
    </row>
    <row r="300" spans="1:4" x14ac:dyDescent="0.25">
      <c r="A300" s="13">
        <f>IF(Tabla3[[#This Row],[Fare correción 2]]&gt;=1000,Tabla3[[#This Row],[Fare correción 2]]/10,Tabla3[[#This Row],[Fare correción 2]])</f>
        <v>30.5</v>
      </c>
      <c r="B300">
        <f>IF(Tabla3[[#This Row],[Fare corrección]]&gt;1000,Tabla3[[#This Row],[Fare corrección]]/1000,Tabla3[[#This Row],[Fare corrección]])</f>
        <v>30.5</v>
      </c>
      <c r="C300">
        <f>IF(ISNUMBER(Tabla3[[#This Row],[Fare]]),Tabla3[[#This Row],[Fare]],VALUE(SUBSTITUTE(Tabla3[[#This Row],[Fare]],".",",")))</f>
        <v>30.5</v>
      </c>
      <c r="D300" t="s">
        <v>1394</v>
      </c>
    </row>
    <row r="301" spans="1:4" x14ac:dyDescent="0.25">
      <c r="A301" s="13">
        <f>IF(Tabla3[[#This Row],[Fare correción 2]]&gt;=1000,Tabla3[[#This Row],[Fare correción 2]]/10,Tabla3[[#This Row],[Fare correción 2]])</f>
        <v>247.52080000000001</v>
      </c>
      <c r="B301">
        <f>IF(Tabla3[[#This Row],[Fare corrección]]&gt;1000,Tabla3[[#This Row],[Fare corrección]]/1000,Tabla3[[#This Row],[Fare corrección]])</f>
        <v>2475.2080000000001</v>
      </c>
      <c r="C301" s="1">
        <f>IF(ISNUMBER(Tabla3[[#This Row],[Fare]]),Tabla3[[#This Row],[Fare]],VALUE(SUBSTITUTE(Tabla3[[#This Row],[Fare]],".",",")))</f>
        <v>2475208</v>
      </c>
      <c r="D301" s="1">
        <v>2475208</v>
      </c>
    </row>
    <row r="302" spans="1:4" x14ac:dyDescent="0.25">
      <c r="A302" s="13">
        <f>IF(Tabla3[[#This Row],[Fare correción 2]]&gt;=1000,Tabla3[[#This Row],[Fare correción 2]]/10,Tabla3[[#This Row],[Fare correción 2]])</f>
        <v>7.75</v>
      </c>
      <c r="B302">
        <f>IF(Tabla3[[#This Row],[Fare corrección]]&gt;1000,Tabla3[[#This Row],[Fare corrección]]/1000,Tabla3[[#This Row],[Fare corrección]])</f>
        <v>7.75</v>
      </c>
      <c r="C302">
        <f>IF(ISNUMBER(Tabla3[[#This Row],[Fare]]),Tabla3[[#This Row],[Fare]],VALUE(SUBSTITUTE(Tabla3[[#This Row],[Fare]],".",",")))</f>
        <v>7.75</v>
      </c>
      <c r="D302" t="s">
        <v>961</v>
      </c>
    </row>
    <row r="303" spans="1:4" x14ac:dyDescent="0.25">
      <c r="A303" s="13">
        <f>IF(Tabla3[[#This Row],[Fare correción 2]]&gt;=1000,Tabla3[[#This Row],[Fare correción 2]]/10,Tabla3[[#This Row],[Fare correción 2]])</f>
        <v>23.25</v>
      </c>
      <c r="B303">
        <f>IF(Tabla3[[#This Row],[Fare corrección]]&gt;1000,Tabla3[[#This Row],[Fare corrección]]/1000,Tabla3[[#This Row],[Fare corrección]])</f>
        <v>23.25</v>
      </c>
      <c r="C303">
        <f>IF(ISNUMBER(Tabla3[[#This Row],[Fare]]),Tabla3[[#This Row],[Fare]],VALUE(SUBSTITUTE(Tabla3[[#This Row],[Fare]],".",",")))</f>
        <v>23.25</v>
      </c>
      <c r="D303" t="s">
        <v>1399</v>
      </c>
    </row>
    <row r="304" spans="1:4" x14ac:dyDescent="0.25">
      <c r="A304" s="13">
        <f>IF(Tabla3[[#This Row],[Fare correción 2]]&gt;=1000,Tabla3[[#This Row],[Fare correción 2]]/10,Tabla3[[#This Row],[Fare correción 2]])</f>
        <v>0</v>
      </c>
      <c r="B304">
        <f>IF(Tabla3[[#This Row],[Fare corrección]]&gt;1000,Tabla3[[#This Row],[Fare corrección]]/1000,Tabla3[[#This Row],[Fare corrección]])</f>
        <v>0</v>
      </c>
      <c r="C304">
        <f>IF(ISNUMBER(Tabla3[[#This Row],[Fare]]),Tabla3[[#This Row],[Fare]],VALUE(SUBSTITUTE(Tabla3[[#This Row],[Fare]],".",",")))</f>
        <v>0</v>
      </c>
      <c r="D304">
        <v>0</v>
      </c>
    </row>
    <row r="305" spans="1:4" x14ac:dyDescent="0.25">
      <c r="A305" s="13">
        <f>IF(Tabla3[[#This Row],[Fare correción 2]]&gt;=1000,Tabla3[[#This Row],[Fare correción 2]]/10,Tabla3[[#This Row],[Fare correción 2]])</f>
        <v>12.35</v>
      </c>
      <c r="B305">
        <f>IF(Tabla3[[#This Row],[Fare corrección]]&gt;1000,Tabla3[[#This Row],[Fare corrección]]/1000,Tabla3[[#This Row],[Fare corrección]])</f>
        <v>12.35</v>
      </c>
      <c r="C305">
        <f>IF(ISNUMBER(Tabla3[[#This Row],[Fare]]),Tabla3[[#This Row],[Fare]],VALUE(SUBSTITUTE(Tabla3[[#This Row],[Fare]],".",",")))</f>
        <v>12.35</v>
      </c>
      <c r="D305" t="s">
        <v>1402</v>
      </c>
    </row>
    <row r="306" spans="1:4" x14ac:dyDescent="0.25">
      <c r="A306" s="13">
        <f>IF(Tabla3[[#This Row],[Fare correción 2]]&gt;=1000,Tabla3[[#This Row],[Fare correción 2]]/10,Tabla3[[#This Row],[Fare correción 2]])</f>
        <v>8.0500000000000007</v>
      </c>
      <c r="B306">
        <f>IF(Tabla3[[#This Row],[Fare corrección]]&gt;1000,Tabla3[[#This Row],[Fare corrección]]/1000,Tabla3[[#This Row],[Fare corrección]])</f>
        <v>8.0500000000000007</v>
      </c>
      <c r="C306">
        <f>IF(ISNUMBER(Tabla3[[#This Row],[Fare]]),Tabla3[[#This Row],[Fare]],VALUE(SUBSTITUTE(Tabla3[[#This Row],[Fare]],".",",")))</f>
        <v>8.0500000000000007</v>
      </c>
      <c r="D306" t="s">
        <v>917</v>
      </c>
    </row>
    <row r="307" spans="1:4" x14ac:dyDescent="0.25">
      <c r="A307" s="13">
        <f>IF(Tabla3[[#This Row],[Fare correción 2]]&gt;=1000,Tabla3[[#This Row],[Fare correción 2]]/10,Tabla3[[#This Row],[Fare correción 2]])</f>
        <v>151.55000000000001</v>
      </c>
      <c r="B307">
        <f>IF(Tabla3[[#This Row],[Fare corrección]]&gt;1000,Tabla3[[#This Row],[Fare corrección]]/1000,Tabla3[[#This Row],[Fare corrección]])</f>
        <v>151.55000000000001</v>
      </c>
      <c r="C307">
        <f>IF(ISNUMBER(Tabla3[[#This Row],[Fare]]),Tabla3[[#This Row],[Fare]],VALUE(SUBSTITUTE(Tabla3[[#This Row],[Fare]],".",",")))</f>
        <v>151.55000000000001</v>
      </c>
      <c r="D307" t="s">
        <v>1391</v>
      </c>
    </row>
    <row r="308" spans="1:4" x14ac:dyDescent="0.25">
      <c r="A308" s="13">
        <f>IF(Tabla3[[#This Row],[Fare correción 2]]&gt;=1000,Tabla3[[#This Row],[Fare correción 2]]/10,Tabla3[[#This Row],[Fare correción 2]])</f>
        <v>110.88330000000001</v>
      </c>
      <c r="B308">
        <f>IF(Tabla3[[#This Row],[Fare corrección]]&gt;1000,Tabla3[[#This Row],[Fare corrección]]/1000,Tabla3[[#This Row],[Fare corrección]])</f>
        <v>1108.8330000000001</v>
      </c>
      <c r="C308" s="1">
        <f>IF(ISNUMBER(Tabla3[[#This Row],[Fare]]),Tabla3[[#This Row],[Fare]],VALUE(SUBSTITUTE(Tabla3[[#This Row],[Fare]],".",",")))</f>
        <v>1108833</v>
      </c>
      <c r="D308" s="1">
        <v>1108833</v>
      </c>
    </row>
    <row r="309" spans="1:4" x14ac:dyDescent="0.25">
      <c r="A309" s="13">
        <f>IF(Tabla3[[#This Row],[Fare correción 2]]&gt;=1000,Tabla3[[#This Row],[Fare correción 2]]/10,Tabla3[[#This Row],[Fare correción 2]])</f>
        <v>108.9</v>
      </c>
      <c r="B309">
        <f>IF(Tabla3[[#This Row],[Fare corrección]]&gt;1000,Tabla3[[#This Row],[Fare corrección]]/1000,Tabla3[[#This Row],[Fare corrección]])</f>
        <v>108.9</v>
      </c>
      <c r="C309">
        <f>IF(ISNUMBER(Tabla3[[#This Row],[Fare]]),Tabla3[[#This Row],[Fare]],VALUE(SUBSTITUTE(Tabla3[[#This Row],[Fare]],".",",")))</f>
        <v>108.9</v>
      </c>
      <c r="D309" t="s">
        <v>1410</v>
      </c>
    </row>
    <row r="310" spans="1:4" x14ac:dyDescent="0.25">
      <c r="A310" s="13">
        <f>IF(Tabla3[[#This Row],[Fare correción 2]]&gt;=1000,Tabla3[[#This Row],[Fare correción 2]]/10,Tabla3[[#This Row],[Fare correción 2]])</f>
        <v>24</v>
      </c>
      <c r="B310">
        <f>IF(Tabla3[[#This Row],[Fare corrección]]&gt;1000,Tabla3[[#This Row],[Fare corrección]]/1000,Tabla3[[#This Row],[Fare corrección]])</f>
        <v>24</v>
      </c>
      <c r="C310">
        <f>IF(ISNUMBER(Tabla3[[#This Row],[Fare]]),Tabla3[[#This Row],[Fare]],VALUE(SUBSTITUTE(Tabla3[[#This Row],[Fare]],".",",")))</f>
        <v>24</v>
      </c>
      <c r="D310">
        <v>24</v>
      </c>
    </row>
    <row r="311" spans="1:4" x14ac:dyDescent="0.25">
      <c r="A311" s="13">
        <f>IF(Tabla3[[#This Row],[Fare correción 2]]&gt;=1000,Tabla3[[#This Row],[Fare correción 2]]/10,Tabla3[[#This Row],[Fare correción 2]])</f>
        <v>569.29200000000003</v>
      </c>
      <c r="B311">
        <f>IF(Tabla3[[#This Row],[Fare corrección]]&gt;1000,Tabla3[[#This Row],[Fare corrección]]/1000,Tabla3[[#This Row],[Fare corrección]])</f>
        <v>569.29200000000003</v>
      </c>
      <c r="C311" s="1">
        <f>IF(ISNUMBER(Tabla3[[#This Row],[Fare]]),Tabla3[[#This Row],[Fare]],VALUE(SUBSTITUTE(Tabla3[[#This Row],[Fare]],".",",")))</f>
        <v>569292</v>
      </c>
      <c r="D311" s="1">
        <v>569292</v>
      </c>
    </row>
    <row r="312" spans="1:4" x14ac:dyDescent="0.25">
      <c r="A312" s="13">
        <f>IF(Tabla3[[#This Row],[Fare correción 2]]&gt;=1000,Tabla3[[#This Row],[Fare correción 2]]/10,Tabla3[[#This Row],[Fare correción 2]])</f>
        <v>831.58299999999997</v>
      </c>
      <c r="B312">
        <f>IF(Tabla3[[#This Row],[Fare corrección]]&gt;1000,Tabla3[[#This Row],[Fare corrección]]/1000,Tabla3[[#This Row],[Fare corrección]])</f>
        <v>831.58299999999997</v>
      </c>
      <c r="C312" s="1">
        <f>IF(ISNUMBER(Tabla3[[#This Row],[Fare]]),Tabla3[[#This Row],[Fare]],VALUE(SUBSTITUTE(Tabla3[[#This Row],[Fare]],".",",")))</f>
        <v>831583</v>
      </c>
      <c r="D312" s="1">
        <v>831583</v>
      </c>
    </row>
    <row r="313" spans="1:4" x14ac:dyDescent="0.25">
      <c r="A313" s="13">
        <f>IF(Tabla3[[#This Row],[Fare correción 2]]&gt;=1000,Tabla3[[#This Row],[Fare correción 2]]/10,Tabla3[[#This Row],[Fare correción 2]])</f>
        <v>262.375</v>
      </c>
      <c r="B313">
        <f>IF(Tabla3[[#This Row],[Fare corrección]]&gt;1000,Tabla3[[#This Row],[Fare corrección]]/1000,Tabla3[[#This Row],[Fare corrección]])</f>
        <v>262.375</v>
      </c>
      <c r="C313" s="1">
        <f>IF(ISNUMBER(Tabla3[[#This Row],[Fare]]),Tabla3[[#This Row],[Fare]],VALUE(SUBSTITUTE(Tabla3[[#This Row],[Fare]],".",",")))</f>
        <v>262375</v>
      </c>
      <c r="D313" s="1">
        <v>262375</v>
      </c>
    </row>
    <row r="314" spans="1:4" x14ac:dyDescent="0.25">
      <c r="A314" s="13">
        <f>IF(Tabla3[[#This Row],[Fare correción 2]]&gt;=1000,Tabla3[[#This Row],[Fare correción 2]]/10,Tabla3[[#This Row],[Fare correción 2]])</f>
        <v>26</v>
      </c>
      <c r="B314">
        <f>IF(Tabla3[[#This Row],[Fare corrección]]&gt;1000,Tabla3[[#This Row],[Fare corrección]]/1000,Tabla3[[#This Row],[Fare corrección]])</f>
        <v>26</v>
      </c>
      <c r="C314">
        <f>IF(ISNUMBER(Tabla3[[#This Row],[Fare]]),Tabla3[[#This Row],[Fare]],VALUE(SUBSTITUTE(Tabla3[[#This Row],[Fare]],".",",")))</f>
        <v>26</v>
      </c>
      <c r="D314">
        <v>26</v>
      </c>
    </row>
    <row r="315" spans="1:4" x14ac:dyDescent="0.25">
      <c r="A315" s="13">
        <f>IF(Tabla3[[#This Row],[Fare correción 2]]&gt;=1000,Tabla3[[#This Row],[Fare correción 2]]/10,Tabla3[[#This Row],[Fare correción 2]])</f>
        <v>78.957999999999998</v>
      </c>
      <c r="B315">
        <f>IF(Tabla3[[#This Row],[Fare corrección]]&gt;1000,Tabla3[[#This Row],[Fare corrección]]/1000,Tabla3[[#This Row],[Fare corrección]])</f>
        <v>78.957999999999998</v>
      </c>
      <c r="C315" s="1">
        <f>IF(ISNUMBER(Tabla3[[#This Row],[Fare]]),Tabla3[[#This Row],[Fare]],VALUE(SUBSTITUTE(Tabla3[[#This Row],[Fare]],".",",")))</f>
        <v>78958</v>
      </c>
      <c r="D315" s="1">
        <v>78958</v>
      </c>
    </row>
    <row r="316" spans="1:4" x14ac:dyDescent="0.25">
      <c r="A316" s="13">
        <f>IF(Tabla3[[#This Row],[Fare correción 2]]&gt;=1000,Tabla3[[#This Row],[Fare correción 2]]/10,Tabla3[[#This Row],[Fare correción 2]])</f>
        <v>26.25</v>
      </c>
      <c r="B316">
        <f>IF(Tabla3[[#This Row],[Fare corrección]]&gt;1000,Tabla3[[#This Row],[Fare corrección]]/1000,Tabla3[[#This Row],[Fare corrección]])</f>
        <v>26.25</v>
      </c>
      <c r="C316">
        <f>IF(ISNUMBER(Tabla3[[#This Row],[Fare]]),Tabla3[[#This Row],[Fare]],VALUE(SUBSTITUTE(Tabla3[[#This Row],[Fare]],".",",")))</f>
        <v>26.25</v>
      </c>
      <c r="D316" t="s">
        <v>1295</v>
      </c>
    </row>
    <row r="317" spans="1:4" x14ac:dyDescent="0.25">
      <c r="A317" s="13">
        <f>IF(Tabla3[[#This Row],[Fare correción 2]]&gt;=1000,Tabla3[[#This Row],[Fare correción 2]]/10,Tabla3[[#This Row],[Fare correción 2]])</f>
        <v>78.542000000000002</v>
      </c>
      <c r="B317">
        <f>IF(Tabla3[[#This Row],[Fare corrección]]&gt;1000,Tabla3[[#This Row],[Fare corrección]]/1000,Tabla3[[#This Row],[Fare corrección]])</f>
        <v>78.542000000000002</v>
      </c>
      <c r="C317" s="1">
        <f>IF(ISNUMBER(Tabla3[[#This Row],[Fare]]),Tabla3[[#This Row],[Fare]],VALUE(SUBSTITUTE(Tabla3[[#This Row],[Fare]],".",",")))</f>
        <v>78542</v>
      </c>
      <c r="D317" s="1">
        <v>78542</v>
      </c>
    </row>
    <row r="318" spans="1:4" x14ac:dyDescent="0.25">
      <c r="A318" s="13">
        <f>IF(Tabla3[[#This Row],[Fare correción 2]]&gt;=1000,Tabla3[[#This Row],[Fare correción 2]]/10,Tabla3[[#This Row],[Fare correción 2]])</f>
        <v>26</v>
      </c>
      <c r="B318">
        <f>IF(Tabla3[[#This Row],[Fare corrección]]&gt;1000,Tabla3[[#This Row],[Fare corrección]]/1000,Tabla3[[#This Row],[Fare corrección]])</f>
        <v>26</v>
      </c>
      <c r="C318">
        <f>IF(ISNUMBER(Tabla3[[#This Row],[Fare]]),Tabla3[[#This Row],[Fare]],VALUE(SUBSTITUTE(Tabla3[[#This Row],[Fare]],".",",")))</f>
        <v>26</v>
      </c>
      <c r="D318">
        <v>26</v>
      </c>
    </row>
    <row r="319" spans="1:4" x14ac:dyDescent="0.25">
      <c r="A319" s="13">
        <f>IF(Tabla3[[#This Row],[Fare correción 2]]&gt;=1000,Tabla3[[#This Row],[Fare correción 2]]/10,Tabla3[[#This Row],[Fare correción 2]])</f>
        <v>14</v>
      </c>
      <c r="B319">
        <f>IF(Tabla3[[#This Row],[Fare corrección]]&gt;1000,Tabla3[[#This Row],[Fare corrección]]/1000,Tabla3[[#This Row],[Fare corrección]])</f>
        <v>14</v>
      </c>
      <c r="C319">
        <f>IF(ISNUMBER(Tabla3[[#This Row],[Fare]]),Tabla3[[#This Row],[Fare]],VALUE(SUBSTITUTE(Tabla3[[#This Row],[Fare]],".",",")))</f>
        <v>14</v>
      </c>
      <c r="D319">
        <v>14</v>
      </c>
    </row>
    <row r="320" spans="1:4" x14ac:dyDescent="0.25">
      <c r="A320" s="13">
        <f>IF(Tabla3[[#This Row],[Fare correción 2]]&gt;=1000,Tabla3[[#This Row],[Fare correción 2]]/10,Tabla3[[#This Row],[Fare correción 2]])</f>
        <v>164.86669999999998</v>
      </c>
      <c r="B320">
        <f>IF(Tabla3[[#This Row],[Fare corrección]]&gt;1000,Tabla3[[#This Row],[Fare corrección]]/1000,Tabla3[[#This Row],[Fare corrección]])</f>
        <v>1648.6669999999999</v>
      </c>
      <c r="C320" s="1">
        <f>IF(ISNUMBER(Tabla3[[#This Row],[Fare]]),Tabla3[[#This Row],[Fare]],VALUE(SUBSTITUTE(Tabla3[[#This Row],[Fare]],".",",")))</f>
        <v>1648667</v>
      </c>
      <c r="D320" s="1">
        <v>1648667</v>
      </c>
    </row>
    <row r="321" spans="1:4" x14ac:dyDescent="0.25">
      <c r="A321" s="13">
        <f>IF(Tabla3[[#This Row],[Fare correción 2]]&gt;=1000,Tabla3[[#This Row],[Fare correción 2]]/10,Tabla3[[#This Row],[Fare correción 2]])</f>
        <v>134.5</v>
      </c>
      <c r="B321">
        <f>IF(Tabla3[[#This Row],[Fare corrección]]&gt;1000,Tabla3[[#This Row],[Fare corrección]]/1000,Tabla3[[#This Row],[Fare corrección]])</f>
        <v>134.5</v>
      </c>
      <c r="C321">
        <f>IF(ISNUMBER(Tabla3[[#This Row],[Fare]]),Tabla3[[#This Row],[Fare]],VALUE(SUBSTITUTE(Tabla3[[#This Row],[Fare]],".",",")))</f>
        <v>134.5</v>
      </c>
      <c r="D321" t="s">
        <v>1432</v>
      </c>
    </row>
    <row r="322" spans="1:4" x14ac:dyDescent="0.25">
      <c r="A322" s="13">
        <f>IF(Tabla3[[#This Row],[Fare correción 2]]&gt;=1000,Tabla3[[#This Row],[Fare correción 2]]/10,Tabla3[[#This Row],[Fare correción 2]])</f>
        <v>7.25</v>
      </c>
      <c r="B322">
        <f>IF(Tabla3[[#This Row],[Fare corrección]]&gt;1000,Tabla3[[#This Row],[Fare corrección]]/1000,Tabla3[[#This Row],[Fare corrección]])</f>
        <v>7.25</v>
      </c>
      <c r="C322">
        <f>IF(ISNUMBER(Tabla3[[#This Row],[Fare]]),Tabla3[[#This Row],[Fare]],VALUE(SUBSTITUTE(Tabla3[[#This Row],[Fare]],".",",")))</f>
        <v>7.25</v>
      </c>
      <c r="D322" t="s">
        <v>904</v>
      </c>
    </row>
    <row r="323" spans="1:4" x14ac:dyDescent="0.25">
      <c r="A323" s="13">
        <f>IF(Tabla3[[#This Row],[Fare correción 2]]&gt;=1000,Tabla3[[#This Row],[Fare correción 2]]/10,Tabla3[[#This Row],[Fare correción 2]])</f>
        <v>78.957999999999998</v>
      </c>
      <c r="B323">
        <f>IF(Tabla3[[#This Row],[Fare corrección]]&gt;1000,Tabla3[[#This Row],[Fare corrección]]/1000,Tabla3[[#This Row],[Fare corrección]])</f>
        <v>78.957999999999998</v>
      </c>
      <c r="C323" s="1">
        <f>IF(ISNUMBER(Tabla3[[#This Row],[Fare]]),Tabla3[[#This Row],[Fare]],VALUE(SUBSTITUTE(Tabla3[[#This Row],[Fare]],".",",")))</f>
        <v>78958</v>
      </c>
      <c r="D323" s="1">
        <v>78958</v>
      </c>
    </row>
    <row r="324" spans="1:4" x14ac:dyDescent="0.25">
      <c r="A324" s="13">
        <f>IF(Tabla3[[#This Row],[Fare correción 2]]&gt;=1000,Tabla3[[#This Row],[Fare correción 2]]/10,Tabla3[[#This Row],[Fare correción 2]])</f>
        <v>12.35</v>
      </c>
      <c r="B324">
        <f>IF(Tabla3[[#This Row],[Fare corrección]]&gt;1000,Tabla3[[#This Row],[Fare corrección]]/1000,Tabla3[[#This Row],[Fare corrección]])</f>
        <v>12.35</v>
      </c>
      <c r="C324">
        <f>IF(ISNUMBER(Tabla3[[#This Row],[Fare]]),Tabla3[[#This Row],[Fare]],VALUE(SUBSTITUTE(Tabla3[[#This Row],[Fare]],".",",")))</f>
        <v>12.35</v>
      </c>
      <c r="D324" t="s">
        <v>1402</v>
      </c>
    </row>
    <row r="325" spans="1:4" x14ac:dyDescent="0.25">
      <c r="A325" s="13">
        <f>IF(Tabla3[[#This Row],[Fare correción 2]]&gt;=1000,Tabla3[[#This Row],[Fare correción 2]]/10,Tabla3[[#This Row],[Fare correción 2]])</f>
        <v>29</v>
      </c>
      <c r="B325">
        <f>IF(Tabla3[[#This Row],[Fare corrección]]&gt;1000,Tabla3[[#This Row],[Fare corrección]]/1000,Tabla3[[#This Row],[Fare corrección]])</f>
        <v>29</v>
      </c>
      <c r="C325">
        <f>IF(ISNUMBER(Tabla3[[#This Row],[Fare]]),Tabla3[[#This Row],[Fare]],VALUE(SUBSTITUTE(Tabla3[[#This Row],[Fare]],".",",")))</f>
        <v>29</v>
      </c>
      <c r="D325">
        <v>29</v>
      </c>
    </row>
    <row r="326" spans="1:4" x14ac:dyDescent="0.25">
      <c r="A326" s="13">
        <f>IF(Tabla3[[#This Row],[Fare correción 2]]&gt;=1000,Tabla3[[#This Row],[Fare correción 2]]/10,Tabla3[[#This Row],[Fare correción 2]])</f>
        <v>69.55</v>
      </c>
      <c r="B326">
        <f>IF(Tabla3[[#This Row],[Fare corrección]]&gt;1000,Tabla3[[#This Row],[Fare corrección]]/1000,Tabla3[[#This Row],[Fare corrección]])</f>
        <v>69.55</v>
      </c>
      <c r="C326">
        <f>IF(ISNUMBER(Tabla3[[#This Row],[Fare]]),Tabla3[[#This Row],[Fare]],VALUE(SUBSTITUTE(Tabla3[[#This Row],[Fare]],".",",")))</f>
        <v>69.55</v>
      </c>
      <c r="D326" t="s">
        <v>1175</v>
      </c>
    </row>
    <row r="327" spans="1:4" x14ac:dyDescent="0.25">
      <c r="A327" s="13">
        <f>IF(Tabla3[[#This Row],[Fare correción 2]]&gt;=1000,Tabla3[[#This Row],[Fare correción 2]]/10,Tabla3[[#This Row],[Fare correción 2]])</f>
        <v>135.63330000000002</v>
      </c>
      <c r="B327">
        <f>IF(Tabla3[[#This Row],[Fare corrección]]&gt;1000,Tabla3[[#This Row],[Fare corrección]]/1000,Tabla3[[#This Row],[Fare corrección]])</f>
        <v>1356.3330000000001</v>
      </c>
      <c r="C327" s="1">
        <f>IF(ISNUMBER(Tabla3[[#This Row],[Fare]]),Tabla3[[#This Row],[Fare]],VALUE(SUBSTITUTE(Tabla3[[#This Row],[Fare]],".",",")))</f>
        <v>1356333</v>
      </c>
      <c r="D327" s="1">
        <v>1356333</v>
      </c>
    </row>
    <row r="328" spans="1:4" x14ac:dyDescent="0.25">
      <c r="A328" s="13">
        <f>IF(Tabla3[[#This Row],[Fare correción 2]]&gt;=1000,Tabla3[[#This Row],[Fare correción 2]]/10,Tabla3[[#This Row],[Fare correción 2]])</f>
        <v>62.375</v>
      </c>
      <c r="B328">
        <f>IF(Tabla3[[#This Row],[Fare corrección]]&gt;1000,Tabla3[[#This Row],[Fare corrección]]/1000,Tabla3[[#This Row],[Fare corrección]])</f>
        <v>62.375</v>
      </c>
      <c r="C328" s="1">
        <f>IF(ISNUMBER(Tabla3[[#This Row],[Fare]]),Tabla3[[#This Row],[Fare]],VALUE(SUBSTITUTE(Tabla3[[#This Row],[Fare]],".",",")))</f>
        <v>62375</v>
      </c>
      <c r="D328" s="1">
        <v>62375</v>
      </c>
    </row>
    <row r="329" spans="1:4" x14ac:dyDescent="0.25">
      <c r="A329" s="13">
        <f>IF(Tabla3[[#This Row],[Fare correción 2]]&gt;=1000,Tabla3[[#This Row],[Fare correción 2]]/10,Tabla3[[#This Row],[Fare correción 2]])</f>
        <v>13</v>
      </c>
      <c r="B329">
        <f>IF(Tabla3[[#This Row],[Fare corrección]]&gt;1000,Tabla3[[#This Row],[Fare corrección]]/1000,Tabla3[[#This Row],[Fare corrección]])</f>
        <v>13</v>
      </c>
      <c r="C329">
        <f>IF(ISNUMBER(Tabla3[[#This Row],[Fare]]),Tabla3[[#This Row],[Fare]],VALUE(SUBSTITUTE(Tabla3[[#This Row],[Fare]],".",",")))</f>
        <v>13</v>
      </c>
      <c r="D329">
        <v>13</v>
      </c>
    </row>
    <row r="330" spans="1:4" x14ac:dyDescent="0.25">
      <c r="A330" s="13">
        <f>IF(Tabla3[[#This Row],[Fare correción 2]]&gt;=1000,Tabla3[[#This Row],[Fare correción 2]]/10,Tabla3[[#This Row],[Fare correción 2]])</f>
        <v>20.524999999999999</v>
      </c>
      <c r="B330">
        <f>IF(Tabla3[[#This Row],[Fare corrección]]&gt;1000,Tabla3[[#This Row],[Fare corrección]]/1000,Tabla3[[#This Row],[Fare corrección]])</f>
        <v>20.524999999999999</v>
      </c>
      <c r="C330" s="1">
        <f>IF(ISNUMBER(Tabla3[[#This Row],[Fare]]),Tabla3[[#This Row],[Fare]],VALUE(SUBSTITUTE(Tabla3[[#This Row],[Fare]],".",",")))</f>
        <v>20525</v>
      </c>
      <c r="D330" s="1">
        <v>20525</v>
      </c>
    </row>
    <row r="331" spans="1:4" x14ac:dyDescent="0.25">
      <c r="A331" s="13">
        <f>IF(Tabla3[[#This Row],[Fare correción 2]]&gt;=1000,Tabla3[[#This Row],[Fare correción 2]]/10,Tabla3[[#This Row],[Fare correción 2]])</f>
        <v>579.79200000000003</v>
      </c>
      <c r="B331">
        <f>IF(Tabla3[[#This Row],[Fare corrección]]&gt;1000,Tabla3[[#This Row],[Fare corrección]]/1000,Tabla3[[#This Row],[Fare corrección]])</f>
        <v>579.79200000000003</v>
      </c>
      <c r="C331" s="1">
        <f>IF(ISNUMBER(Tabla3[[#This Row],[Fare]]),Tabla3[[#This Row],[Fare]],VALUE(SUBSTITUTE(Tabla3[[#This Row],[Fare]],".",",")))</f>
        <v>579792</v>
      </c>
      <c r="D331" s="1">
        <v>579792</v>
      </c>
    </row>
    <row r="332" spans="1:4" x14ac:dyDescent="0.25">
      <c r="A332" s="13">
        <f>IF(Tabla3[[#This Row],[Fare correción 2]]&gt;=1000,Tabla3[[#This Row],[Fare correción 2]]/10,Tabla3[[#This Row],[Fare correción 2]])</f>
        <v>23.25</v>
      </c>
      <c r="B332">
        <f>IF(Tabla3[[#This Row],[Fare corrección]]&gt;1000,Tabla3[[#This Row],[Fare corrección]]/1000,Tabla3[[#This Row],[Fare corrección]])</f>
        <v>23.25</v>
      </c>
      <c r="C332">
        <f>IF(ISNUMBER(Tabla3[[#This Row],[Fare]]),Tabla3[[#This Row],[Fare]],VALUE(SUBSTITUTE(Tabla3[[#This Row],[Fare]],".",",")))</f>
        <v>23.25</v>
      </c>
      <c r="D332" t="s">
        <v>1399</v>
      </c>
    </row>
    <row r="333" spans="1:4" x14ac:dyDescent="0.25">
      <c r="A333" s="13">
        <f>IF(Tabla3[[#This Row],[Fare correción 2]]&gt;=1000,Tabla3[[#This Row],[Fare correción 2]]/10,Tabla3[[#This Row],[Fare correción 2]])</f>
        <v>28.5</v>
      </c>
      <c r="B333">
        <f>IF(Tabla3[[#This Row],[Fare corrección]]&gt;1000,Tabla3[[#This Row],[Fare corrección]]/1000,Tabla3[[#This Row],[Fare corrección]])</f>
        <v>28.5</v>
      </c>
      <c r="C333">
        <f>IF(ISNUMBER(Tabla3[[#This Row],[Fare]]),Tabla3[[#This Row],[Fare]],VALUE(SUBSTITUTE(Tabla3[[#This Row],[Fare]],".",",")))</f>
        <v>28.5</v>
      </c>
      <c r="D333" t="s">
        <v>1002</v>
      </c>
    </row>
    <row r="334" spans="1:4" x14ac:dyDescent="0.25">
      <c r="A334" s="13">
        <f>IF(Tabla3[[#This Row],[Fare correción 2]]&gt;=1000,Tabla3[[#This Row],[Fare correción 2]]/10,Tabla3[[#This Row],[Fare correción 2]])</f>
        <v>153.46250000000001</v>
      </c>
      <c r="B334">
        <f>IF(Tabla3[[#This Row],[Fare corrección]]&gt;1000,Tabla3[[#This Row],[Fare corrección]]/1000,Tabla3[[#This Row],[Fare corrección]])</f>
        <v>1534.625</v>
      </c>
      <c r="C334" s="1">
        <f>IF(ISNUMBER(Tabla3[[#This Row],[Fare]]),Tabla3[[#This Row],[Fare]],VALUE(SUBSTITUTE(Tabla3[[#This Row],[Fare]],".",",")))</f>
        <v>1534625</v>
      </c>
      <c r="D334" s="1">
        <v>1534625</v>
      </c>
    </row>
    <row r="335" spans="1:4" x14ac:dyDescent="0.25">
      <c r="A335" s="13">
        <f>IF(Tabla3[[#This Row],[Fare correción 2]]&gt;=1000,Tabla3[[#This Row],[Fare correción 2]]/10,Tabla3[[#This Row],[Fare correción 2]])</f>
        <v>18</v>
      </c>
      <c r="B335">
        <f>IF(Tabla3[[#This Row],[Fare corrección]]&gt;1000,Tabla3[[#This Row],[Fare corrección]]/1000,Tabla3[[#This Row],[Fare corrección]])</f>
        <v>18</v>
      </c>
      <c r="C335">
        <f>IF(ISNUMBER(Tabla3[[#This Row],[Fare]]),Tabla3[[#This Row],[Fare]],VALUE(SUBSTITUTE(Tabla3[[#This Row],[Fare]],".",",")))</f>
        <v>18</v>
      </c>
      <c r="D335">
        <v>18</v>
      </c>
    </row>
    <row r="336" spans="1:4" x14ac:dyDescent="0.25">
      <c r="A336" s="13">
        <f>IF(Tabla3[[#This Row],[Fare correción 2]]&gt;=1000,Tabla3[[#This Row],[Fare correción 2]]/10,Tabla3[[#This Row],[Fare correción 2]])</f>
        <v>133.65</v>
      </c>
      <c r="B336">
        <f>IF(Tabla3[[#This Row],[Fare corrección]]&gt;1000,Tabla3[[#This Row],[Fare corrección]]/1000,Tabla3[[#This Row],[Fare corrección]])</f>
        <v>133.65</v>
      </c>
      <c r="C336">
        <f>IF(ISNUMBER(Tabla3[[#This Row],[Fare]]),Tabla3[[#This Row],[Fare]],VALUE(SUBSTITUTE(Tabla3[[#This Row],[Fare]],".",",")))</f>
        <v>133.65</v>
      </c>
      <c r="D336" t="s">
        <v>1455</v>
      </c>
    </row>
    <row r="337" spans="1:4" x14ac:dyDescent="0.25">
      <c r="A337" s="13">
        <f>IF(Tabla3[[#This Row],[Fare correción 2]]&gt;=1000,Tabla3[[#This Row],[Fare correción 2]]/10,Tabla3[[#This Row],[Fare correción 2]])</f>
        <v>78.957999999999998</v>
      </c>
      <c r="B337">
        <f>IF(Tabla3[[#This Row],[Fare corrección]]&gt;1000,Tabla3[[#This Row],[Fare corrección]]/1000,Tabla3[[#This Row],[Fare corrección]])</f>
        <v>78.957999999999998</v>
      </c>
      <c r="C337" s="1">
        <f>IF(ISNUMBER(Tabla3[[#This Row],[Fare]]),Tabla3[[#This Row],[Fare]],VALUE(SUBSTITUTE(Tabla3[[#This Row],[Fare]],".",",")))</f>
        <v>78958</v>
      </c>
      <c r="D337" s="1">
        <v>78958</v>
      </c>
    </row>
    <row r="338" spans="1:4" x14ac:dyDescent="0.25">
      <c r="A338" s="13">
        <f>IF(Tabla3[[#This Row],[Fare correción 2]]&gt;=1000,Tabla3[[#This Row],[Fare correción 2]]/10,Tabla3[[#This Row],[Fare correción 2]])</f>
        <v>66.599999999999994</v>
      </c>
      <c r="B338">
        <f>IF(Tabla3[[#This Row],[Fare corrección]]&gt;1000,Tabla3[[#This Row],[Fare corrección]]/1000,Tabla3[[#This Row],[Fare corrección]])</f>
        <v>66.599999999999994</v>
      </c>
      <c r="C338">
        <f>IF(ISNUMBER(Tabla3[[#This Row],[Fare]]),Tabla3[[#This Row],[Fare]],VALUE(SUBSTITUTE(Tabla3[[#This Row],[Fare]],".",",")))</f>
        <v>66.599999999999994</v>
      </c>
      <c r="D338" t="s">
        <v>1157</v>
      </c>
    </row>
    <row r="339" spans="1:4" x14ac:dyDescent="0.25">
      <c r="A339" s="13">
        <f>IF(Tabla3[[#This Row],[Fare correción 2]]&gt;=1000,Tabla3[[#This Row],[Fare correción 2]]/10,Tabla3[[#This Row],[Fare correción 2]])</f>
        <v>134.5</v>
      </c>
      <c r="B339">
        <f>IF(Tabla3[[#This Row],[Fare corrección]]&gt;1000,Tabla3[[#This Row],[Fare corrección]]/1000,Tabla3[[#This Row],[Fare corrección]])</f>
        <v>134.5</v>
      </c>
      <c r="C339">
        <f>IF(ISNUMBER(Tabla3[[#This Row],[Fare]]),Tabla3[[#This Row],[Fare]],VALUE(SUBSTITUTE(Tabla3[[#This Row],[Fare]],".",",")))</f>
        <v>134.5</v>
      </c>
      <c r="D339" t="s">
        <v>1432</v>
      </c>
    </row>
    <row r="340" spans="1:4" x14ac:dyDescent="0.25">
      <c r="A340" s="13">
        <f>IF(Tabla3[[#This Row],[Fare correción 2]]&gt;=1000,Tabla3[[#This Row],[Fare correción 2]]/10,Tabla3[[#This Row],[Fare correción 2]])</f>
        <v>8.0500000000000007</v>
      </c>
      <c r="B340">
        <f>IF(Tabla3[[#This Row],[Fare corrección]]&gt;1000,Tabla3[[#This Row],[Fare corrección]]/1000,Tabla3[[#This Row],[Fare corrección]])</f>
        <v>8.0500000000000007</v>
      </c>
      <c r="C340">
        <f>IF(ISNUMBER(Tabla3[[#This Row],[Fare]]),Tabla3[[#This Row],[Fare]],VALUE(SUBSTITUTE(Tabla3[[#This Row],[Fare]],".",",")))</f>
        <v>8.0500000000000007</v>
      </c>
      <c r="D340" t="s">
        <v>917</v>
      </c>
    </row>
    <row r="341" spans="1:4" x14ac:dyDescent="0.25">
      <c r="A341" s="13">
        <f>IF(Tabla3[[#This Row],[Fare correción 2]]&gt;=1000,Tabla3[[#This Row],[Fare correción 2]]/10,Tabla3[[#This Row],[Fare correción 2]])</f>
        <v>35.5</v>
      </c>
      <c r="B341">
        <f>IF(Tabla3[[#This Row],[Fare corrección]]&gt;1000,Tabla3[[#This Row],[Fare corrección]]/1000,Tabla3[[#This Row],[Fare corrección]])</f>
        <v>35.5</v>
      </c>
      <c r="C341">
        <f>IF(ISNUMBER(Tabla3[[#This Row],[Fare]]),Tabla3[[#This Row],[Fare]],VALUE(SUBSTITUTE(Tabla3[[#This Row],[Fare]],".",",")))</f>
        <v>35.5</v>
      </c>
      <c r="D341" t="s">
        <v>946</v>
      </c>
    </row>
    <row r="342" spans="1:4" x14ac:dyDescent="0.25">
      <c r="A342" s="13">
        <f>IF(Tabla3[[#This Row],[Fare correción 2]]&gt;=1000,Tabla3[[#This Row],[Fare correción 2]]/10,Tabla3[[#This Row],[Fare correción 2]])</f>
        <v>26</v>
      </c>
      <c r="B342">
        <f>IF(Tabla3[[#This Row],[Fare corrección]]&gt;1000,Tabla3[[#This Row],[Fare corrección]]/1000,Tabla3[[#This Row],[Fare corrección]])</f>
        <v>26</v>
      </c>
      <c r="C342">
        <f>IF(ISNUMBER(Tabla3[[#This Row],[Fare]]),Tabla3[[#This Row],[Fare]],VALUE(SUBSTITUTE(Tabla3[[#This Row],[Fare]],".",",")))</f>
        <v>26</v>
      </c>
      <c r="D342">
        <v>26</v>
      </c>
    </row>
    <row r="343" spans="1:4" x14ac:dyDescent="0.25">
      <c r="A343" s="13">
        <f>IF(Tabla3[[#This Row],[Fare correción 2]]&gt;=1000,Tabla3[[#This Row],[Fare correción 2]]/10,Tabla3[[#This Row],[Fare correción 2]])</f>
        <v>263</v>
      </c>
      <c r="B343">
        <f>IF(Tabla3[[#This Row],[Fare corrección]]&gt;1000,Tabla3[[#This Row],[Fare corrección]]/1000,Tabla3[[#This Row],[Fare corrección]])</f>
        <v>263</v>
      </c>
      <c r="C343">
        <f>IF(ISNUMBER(Tabla3[[#This Row],[Fare]]),Tabla3[[#This Row],[Fare]],VALUE(SUBSTITUTE(Tabla3[[#This Row],[Fare]],".",",")))</f>
        <v>263</v>
      </c>
      <c r="D343">
        <v>263</v>
      </c>
    </row>
    <row r="344" spans="1:4" x14ac:dyDescent="0.25">
      <c r="A344" s="13">
        <f>IF(Tabla3[[#This Row],[Fare correción 2]]&gt;=1000,Tabla3[[#This Row],[Fare correción 2]]/10,Tabla3[[#This Row],[Fare correción 2]])</f>
        <v>13</v>
      </c>
      <c r="B344">
        <f>IF(Tabla3[[#This Row],[Fare corrección]]&gt;1000,Tabla3[[#This Row],[Fare corrección]]/1000,Tabla3[[#This Row],[Fare corrección]])</f>
        <v>13</v>
      </c>
      <c r="C344">
        <f>IF(ISNUMBER(Tabla3[[#This Row],[Fare]]),Tabla3[[#This Row],[Fare]],VALUE(SUBSTITUTE(Tabla3[[#This Row],[Fare]],".",",")))</f>
        <v>13</v>
      </c>
      <c r="D344">
        <v>13</v>
      </c>
    </row>
    <row r="345" spans="1:4" x14ac:dyDescent="0.25">
      <c r="A345" s="13">
        <f>IF(Tabla3[[#This Row],[Fare correción 2]]&gt;=1000,Tabla3[[#This Row],[Fare correción 2]]/10,Tabla3[[#This Row],[Fare correción 2]])</f>
        <v>13</v>
      </c>
      <c r="B345">
        <f>IF(Tabla3[[#This Row],[Fare corrección]]&gt;1000,Tabla3[[#This Row],[Fare corrección]]/1000,Tabla3[[#This Row],[Fare corrección]])</f>
        <v>13</v>
      </c>
      <c r="C345">
        <f>IF(ISNUMBER(Tabla3[[#This Row],[Fare]]),Tabla3[[#This Row],[Fare]],VALUE(SUBSTITUTE(Tabla3[[#This Row],[Fare]],".",",")))</f>
        <v>13</v>
      </c>
      <c r="D345">
        <v>13</v>
      </c>
    </row>
    <row r="346" spans="1:4" x14ac:dyDescent="0.25">
      <c r="A346" s="13">
        <f>IF(Tabla3[[#This Row],[Fare correción 2]]&gt;=1000,Tabla3[[#This Row],[Fare correción 2]]/10,Tabla3[[#This Row],[Fare correción 2]])</f>
        <v>13</v>
      </c>
      <c r="B346">
        <f>IF(Tabla3[[#This Row],[Fare corrección]]&gt;1000,Tabla3[[#This Row],[Fare corrección]]/1000,Tabla3[[#This Row],[Fare corrección]])</f>
        <v>13</v>
      </c>
      <c r="C346">
        <f>IF(ISNUMBER(Tabla3[[#This Row],[Fare]]),Tabla3[[#This Row],[Fare]],VALUE(SUBSTITUTE(Tabla3[[#This Row],[Fare]],".",",")))</f>
        <v>13</v>
      </c>
      <c r="D346">
        <v>13</v>
      </c>
    </row>
    <row r="347" spans="1:4" x14ac:dyDescent="0.25">
      <c r="A347" s="13">
        <f>IF(Tabla3[[#This Row],[Fare correción 2]]&gt;=1000,Tabla3[[#This Row],[Fare correción 2]]/10,Tabla3[[#This Row],[Fare correción 2]])</f>
        <v>13</v>
      </c>
      <c r="B347">
        <f>IF(Tabla3[[#This Row],[Fare corrección]]&gt;1000,Tabla3[[#This Row],[Fare corrección]]/1000,Tabla3[[#This Row],[Fare corrección]])</f>
        <v>13</v>
      </c>
      <c r="C347">
        <f>IF(ISNUMBER(Tabla3[[#This Row],[Fare]]),Tabla3[[#This Row],[Fare]],VALUE(SUBSTITUTE(Tabla3[[#This Row],[Fare]],".",",")))</f>
        <v>13</v>
      </c>
      <c r="D347">
        <v>13</v>
      </c>
    </row>
    <row r="348" spans="1:4" x14ac:dyDescent="0.25">
      <c r="A348" s="13">
        <f>IF(Tabla3[[#This Row],[Fare correción 2]]&gt;=1000,Tabla3[[#This Row],[Fare correción 2]]/10,Tabla3[[#This Row],[Fare correción 2]])</f>
        <v>13</v>
      </c>
      <c r="B348">
        <f>IF(Tabla3[[#This Row],[Fare corrección]]&gt;1000,Tabla3[[#This Row],[Fare corrección]]/1000,Tabla3[[#This Row],[Fare corrección]])</f>
        <v>13</v>
      </c>
      <c r="C348">
        <f>IF(ISNUMBER(Tabla3[[#This Row],[Fare]]),Tabla3[[#This Row],[Fare]],VALUE(SUBSTITUTE(Tabla3[[#This Row],[Fare]],".",",")))</f>
        <v>13</v>
      </c>
      <c r="D348">
        <v>13</v>
      </c>
    </row>
    <row r="349" spans="1:4" x14ac:dyDescent="0.25">
      <c r="A349" s="13">
        <f>IF(Tabla3[[#This Row],[Fare correción 2]]&gt;=1000,Tabla3[[#This Row],[Fare correción 2]]/10,Tabla3[[#This Row],[Fare correción 2]])</f>
        <v>16.100000000000001</v>
      </c>
      <c r="B349">
        <f>IF(Tabla3[[#This Row],[Fare corrección]]&gt;1000,Tabla3[[#This Row],[Fare corrección]]/1000,Tabla3[[#This Row],[Fare corrección]])</f>
        <v>16.100000000000001</v>
      </c>
      <c r="C349">
        <f>IF(ISNUMBER(Tabla3[[#This Row],[Fare]]),Tabla3[[#This Row],[Fare]],VALUE(SUBSTITUTE(Tabla3[[#This Row],[Fare]],".",",")))</f>
        <v>16.100000000000001</v>
      </c>
      <c r="D349" t="s">
        <v>1177</v>
      </c>
    </row>
    <row r="350" spans="1:4" x14ac:dyDescent="0.25">
      <c r="A350" s="13">
        <f>IF(Tabla3[[#This Row],[Fare correción 2]]&gt;=1000,Tabla3[[#This Row],[Fare correción 2]]/10,Tabla3[[#This Row],[Fare correción 2]])</f>
        <v>15.9</v>
      </c>
      <c r="B350">
        <f>IF(Tabla3[[#This Row],[Fare corrección]]&gt;1000,Tabla3[[#This Row],[Fare corrección]]/1000,Tabla3[[#This Row],[Fare corrección]])</f>
        <v>15.9</v>
      </c>
      <c r="C350">
        <f>IF(ISNUMBER(Tabla3[[#This Row],[Fare]]),Tabla3[[#This Row],[Fare]],VALUE(SUBSTITUTE(Tabla3[[#This Row],[Fare]],".",",")))</f>
        <v>15.9</v>
      </c>
      <c r="D350" t="s">
        <v>1473</v>
      </c>
    </row>
    <row r="351" spans="1:4" x14ac:dyDescent="0.25">
      <c r="A351" s="13">
        <f>IF(Tabla3[[#This Row],[Fare correción 2]]&gt;=1000,Tabla3[[#This Row],[Fare correción 2]]/10,Tabla3[[#This Row],[Fare correción 2]])</f>
        <v>86.625</v>
      </c>
      <c r="B351">
        <f>IF(Tabla3[[#This Row],[Fare corrección]]&gt;1000,Tabla3[[#This Row],[Fare corrección]]/1000,Tabla3[[#This Row],[Fare corrección]])</f>
        <v>86.625</v>
      </c>
      <c r="C351" s="1">
        <f>IF(ISNUMBER(Tabla3[[#This Row],[Fare]]),Tabla3[[#This Row],[Fare]],VALUE(SUBSTITUTE(Tabla3[[#This Row],[Fare]],".",",")))</f>
        <v>86625</v>
      </c>
      <c r="D351" s="1">
        <v>86625</v>
      </c>
    </row>
    <row r="352" spans="1:4" x14ac:dyDescent="0.25">
      <c r="A352" s="13">
        <f>IF(Tabla3[[#This Row],[Fare correción 2]]&gt;=1000,Tabla3[[#This Row],[Fare correción 2]]/10,Tabla3[[#This Row],[Fare correción 2]])</f>
        <v>9.2249999999999996</v>
      </c>
      <c r="B352">
        <f>IF(Tabla3[[#This Row],[Fare corrección]]&gt;1000,Tabla3[[#This Row],[Fare corrección]]/1000,Tabla3[[#This Row],[Fare corrección]])</f>
        <v>9.2249999999999996</v>
      </c>
      <c r="C352" s="1">
        <f>IF(ISNUMBER(Tabla3[[#This Row],[Fare]]),Tabla3[[#This Row],[Fare]],VALUE(SUBSTITUTE(Tabla3[[#This Row],[Fare]],".",",")))</f>
        <v>9225</v>
      </c>
      <c r="D352" s="1">
        <v>9225</v>
      </c>
    </row>
    <row r="353" spans="1:4" x14ac:dyDescent="0.25">
      <c r="A353" s="13">
        <f>IF(Tabla3[[#This Row],[Fare correción 2]]&gt;=1000,Tabla3[[#This Row],[Fare correción 2]]/10,Tabla3[[#This Row],[Fare correción 2]])</f>
        <v>35</v>
      </c>
      <c r="B353">
        <f>IF(Tabla3[[#This Row],[Fare corrección]]&gt;1000,Tabla3[[#This Row],[Fare corrección]]/1000,Tabla3[[#This Row],[Fare corrección]])</f>
        <v>35</v>
      </c>
      <c r="C353">
        <f>IF(ISNUMBER(Tabla3[[#This Row],[Fare]]),Tabla3[[#This Row],[Fare]],VALUE(SUBSTITUTE(Tabla3[[#This Row],[Fare]],".",",")))</f>
        <v>35</v>
      </c>
      <c r="D353">
        <v>35</v>
      </c>
    </row>
    <row r="354" spans="1:4" x14ac:dyDescent="0.25">
      <c r="A354" s="13">
        <f>IF(Tabla3[[#This Row],[Fare correción 2]]&gt;=1000,Tabla3[[#This Row],[Fare correción 2]]/10,Tabla3[[#This Row],[Fare correción 2]])</f>
        <v>72.292000000000002</v>
      </c>
      <c r="B354">
        <f>IF(Tabla3[[#This Row],[Fare corrección]]&gt;1000,Tabla3[[#This Row],[Fare corrección]]/1000,Tabla3[[#This Row],[Fare corrección]])</f>
        <v>72.292000000000002</v>
      </c>
      <c r="C354" s="1">
        <f>IF(ISNUMBER(Tabla3[[#This Row],[Fare]]),Tabla3[[#This Row],[Fare]],VALUE(SUBSTITUTE(Tabla3[[#This Row],[Fare]],".",",")))</f>
        <v>72292</v>
      </c>
      <c r="D354" s="1">
        <v>72292</v>
      </c>
    </row>
    <row r="355" spans="1:4" x14ac:dyDescent="0.25">
      <c r="A355" s="13">
        <f>IF(Tabla3[[#This Row],[Fare correción 2]]&gt;=1000,Tabla3[[#This Row],[Fare correción 2]]/10,Tabla3[[#This Row],[Fare correción 2]])</f>
        <v>17.8</v>
      </c>
      <c r="B355">
        <f>IF(Tabla3[[#This Row],[Fare corrección]]&gt;1000,Tabla3[[#This Row],[Fare corrección]]/1000,Tabla3[[#This Row],[Fare corrección]])</f>
        <v>17.8</v>
      </c>
      <c r="C355">
        <f>IF(ISNUMBER(Tabla3[[#This Row],[Fare]]),Tabla3[[#This Row],[Fare]],VALUE(SUBSTITUTE(Tabla3[[#This Row],[Fare]],".",",")))</f>
        <v>17.8</v>
      </c>
      <c r="D355" t="s">
        <v>986</v>
      </c>
    </row>
    <row r="356" spans="1:4" x14ac:dyDescent="0.25">
      <c r="A356" s="13">
        <f>IF(Tabla3[[#This Row],[Fare correción 2]]&gt;=1000,Tabla3[[#This Row],[Fare correción 2]]/10,Tabla3[[#This Row],[Fare correción 2]])</f>
        <v>7.2249999999999996</v>
      </c>
      <c r="B356">
        <f>IF(Tabla3[[#This Row],[Fare corrección]]&gt;1000,Tabla3[[#This Row],[Fare corrección]]/1000,Tabla3[[#This Row],[Fare corrección]])</f>
        <v>7.2249999999999996</v>
      </c>
      <c r="C356" s="1">
        <f>IF(ISNUMBER(Tabla3[[#This Row],[Fare]]),Tabla3[[#This Row],[Fare]],VALUE(SUBSTITUTE(Tabla3[[#This Row],[Fare]],".",",")))</f>
        <v>7225</v>
      </c>
      <c r="D356" s="1">
        <v>7225</v>
      </c>
    </row>
    <row r="357" spans="1:4" x14ac:dyDescent="0.25">
      <c r="A357" s="13">
        <f>IF(Tabla3[[#This Row],[Fare correción 2]]&gt;=1000,Tabla3[[#This Row],[Fare correción 2]]/10,Tabla3[[#This Row],[Fare correción 2]])</f>
        <v>9.5</v>
      </c>
      <c r="B357">
        <f>IF(Tabla3[[#This Row],[Fare corrección]]&gt;1000,Tabla3[[#This Row],[Fare corrección]]/1000,Tabla3[[#This Row],[Fare corrección]])</f>
        <v>9.5</v>
      </c>
      <c r="C357">
        <f>IF(ISNUMBER(Tabla3[[#This Row],[Fare]]),Tabla3[[#This Row],[Fare]],VALUE(SUBSTITUTE(Tabla3[[#This Row],[Fare]],".",",")))</f>
        <v>9.5</v>
      </c>
      <c r="D357" t="s">
        <v>1044</v>
      </c>
    </row>
    <row r="358" spans="1:4" x14ac:dyDescent="0.25">
      <c r="A358" s="13">
        <f>IF(Tabla3[[#This Row],[Fare correción 2]]&gt;=1000,Tabla3[[#This Row],[Fare correción 2]]/10,Tabla3[[#This Row],[Fare correción 2]])</f>
        <v>55</v>
      </c>
      <c r="B358">
        <f>IF(Tabla3[[#This Row],[Fare corrección]]&gt;1000,Tabla3[[#This Row],[Fare corrección]]/1000,Tabla3[[#This Row],[Fare corrección]])</f>
        <v>55</v>
      </c>
      <c r="C358">
        <f>IF(ISNUMBER(Tabla3[[#This Row],[Fare]]),Tabla3[[#This Row],[Fare]],VALUE(SUBSTITUTE(Tabla3[[#This Row],[Fare]],".",",")))</f>
        <v>55</v>
      </c>
      <c r="D358">
        <v>55</v>
      </c>
    </row>
    <row r="359" spans="1:4" x14ac:dyDescent="0.25">
      <c r="A359" s="13">
        <f>IF(Tabla3[[#This Row],[Fare correción 2]]&gt;=1000,Tabla3[[#This Row],[Fare correción 2]]/10,Tabla3[[#This Row],[Fare correción 2]])</f>
        <v>13</v>
      </c>
      <c r="B359">
        <f>IF(Tabla3[[#This Row],[Fare corrección]]&gt;1000,Tabla3[[#This Row],[Fare corrección]]/1000,Tabla3[[#This Row],[Fare corrección]])</f>
        <v>13</v>
      </c>
      <c r="C359">
        <f>IF(ISNUMBER(Tabla3[[#This Row],[Fare]]),Tabla3[[#This Row],[Fare]],VALUE(SUBSTITUTE(Tabla3[[#This Row],[Fare]],".",",")))</f>
        <v>13</v>
      </c>
      <c r="D359">
        <v>13</v>
      </c>
    </row>
    <row r="360" spans="1:4" x14ac:dyDescent="0.25">
      <c r="A360" s="13">
        <f>IF(Tabla3[[#This Row],[Fare correción 2]]&gt;=1000,Tabla3[[#This Row],[Fare correción 2]]/10,Tabla3[[#This Row],[Fare correción 2]])</f>
        <v>78.792000000000002</v>
      </c>
      <c r="B360">
        <f>IF(Tabla3[[#This Row],[Fare corrección]]&gt;1000,Tabla3[[#This Row],[Fare corrección]]/1000,Tabla3[[#This Row],[Fare corrección]])</f>
        <v>78.792000000000002</v>
      </c>
      <c r="C360" s="1">
        <f>IF(ISNUMBER(Tabla3[[#This Row],[Fare]]),Tabla3[[#This Row],[Fare]],VALUE(SUBSTITUTE(Tabla3[[#This Row],[Fare]],".",",")))</f>
        <v>78792</v>
      </c>
      <c r="D360" s="1">
        <v>78792</v>
      </c>
    </row>
    <row r="361" spans="1:4" x14ac:dyDescent="0.25">
      <c r="A361" s="13">
        <f>IF(Tabla3[[#This Row],[Fare correción 2]]&gt;=1000,Tabla3[[#This Row],[Fare correción 2]]/10,Tabla3[[#This Row],[Fare correción 2]])</f>
        <v>78.792000000000002</v>
      </c>
      <c r="B361">
        <f>IF(Tabla3[[#This Row],[Fare corrección]]&gt;1000,Tabla3[[#This Row],[Fare corrección]]/1000,Tabla3[[#This Row],[Fare corrección]])</f>
        <v>78.792000000000002</v>
      </c>
      <c r="C361" s="1">
        <f>IF(ISNUMBER(Tabla3[[#This Row],[Fare]]),Tabla3[[#This Row],[Fare]],VALUE(SUBSTITUTE(Tabla3[[#This Row],[Fare]],".",",")))</f>
        <v>78792</v>
      </c>
      <c r="D361" s="1">
        <v>78792</v>
      </c>
    </row>
    <row r="362" spans="1:4" x14ac:dyDescent="0.25">
      <c r="A362" s="13">
        <f>IF(Tabla3[[#This Row],[Fare correción 2]]&gt;=1000,Tabla3[[#This Row],[Fare correción 2]]/10,Tabla3[[#This Row],[Fare correción 2]])</f>
        <v>27.9</v>
      </c>
      <c r="B362">
        <f>IF(Tabla3[[#This Row],[Fare corrección]]&gt;1000,Tabla3[[#This Row],[Fare corrección]]/1000,Tabla3[[#This Row],[Fare corrección]])</f>
        <v>27.9</v>
      </c>
      <c r="C362">
        <f>IF(ISNUMBER(Tabla3[[#This Row],[Fare]]),Tabla3[[#This Row],[Fare]],VALUE(SUBSTITUTE(Tabla3[[#This Row],[Fare]],".",",")))</f>
        <v>27.9</v>
      </c>
      <c r="D362" t="s">
        <v>1015</v>
      </c>
    </row>
    <row r="363" spans="1:4" x14ac:dyDescent="0.25">
      <c r="A363" s="13">
        <f>IF(Tabla3[[#This Row],[Fare correción 2]]&gt;=1000,Tabla3[[#This Row],[Fare correción 2]]/10,Tabla3[[#This Row],[Fare correción 2]])</f>
        <v>277.20800000000003</v>
      </c>
      <c r="B363">
        <f>IF(Tabla3[[#This Row],[Fare corrección]]&gt;1000,Tabla3[[#This Row],[Fare corrección]]/1000,Tabla3[[#This Row],[Fare corrección]])</f>
        <v>277.20800000000003</v>
      </c>
      <c r="C363" s="1">
        <f>IF(ISNUMBER(Tabla3[[#This Row],[Fare]]),Tabla3[[#This Row],[Fare]],VALUE(SUBSTITUTE(Tabla3[[#This Row],[Fare]],".",",")))</f>
        <v>277208</v>
      </c>
      <c r="D363" s="1">
        <v>277208</v>
      </c>
    </row>
    <row r="364" spans="1:4" x14ac:dyDescent="0.25">
      <c r="A364" s="13">
        <f>IF(Tabla3[[#This Row],[Fare correción 2]]&gt;=1000,Tabla3[[#This Row],[Fare correción 2]]/10,Tabla3[[#This Row],[Fare correción 2]])</f>
        <v>144.542</v>
      </c>
      <c r="B364">
        <f>IF(Tabla3[[#This Row],[Fare corrección]]&gt;1000,Tabla3[[#This Row],[Fare corrección]]/1000,Tabla3[[#This Row],[Fare corrección]])</f>
        <v>144.542</v>
      </c>
      <c r="C364" s="1">
        <f>IF(ISNUMBER(Tabla3[[#This Row],[Fare]]),Tabla3[[#This Row],[Fare]],VALUE(SUBSTITUTE(Tabla3[[#This Row],[Fare]],".",",")))</f>
        <v>144542</v>
      </c>
      <c r="D364" s="1">
        <v>144542</v>
      </c>
    </row>
    <row r="365" spans="1:4" x14ac:dyDescent="0.25">
      <c r="A365" s="13">
        <f>IF(Tabla3[[#This Row],[Fare correción 2]]&gt;=1000,Tabla3[[#This Row],[Fare correción 2]]/10,Tabla3[[#This Row],[Fare correción 2]])</f>
        <v>7.05</v>
      </c>
      <c r="B365">
        <f>IF(Tabla3[[#This Row],[Fare corrección]]&gt;1000,Tabla3[[#This Row],[Fare corrección]]/1000,Tabla3[[#This Row],[Fare corrección]])</f>
        <v>7.05</v>
      </c>
      <c r="C365">
        <f>IF(ISNUMBER(Tabla3[[#This Row],[Fare]]),Tabla3[[#This Row],[Fare]],VALUE(SUBSTITUTE(Tabla3[[#This Row],[Fare]],".",",")))</f>
        <v>7.05</v>
      </c>
      <c r="D365" t="s">
        <v>1121</v>
      </c>
    </row>
    <row r="366" spans="1:4" x14ac:dyDescent="0.25">
      <c r="A366" s="13">
        <f>IF(Tabla3[[#This Row],[Fare correción 2]]&gt;=1000,Tabla3[[#This Row],[Fare correción 2]]/10,Tabla3[[#This Row],[Fare correción 2]])</f>
        <v>15.5</v>
      </c>
      <c r="B366">
        <f>IF(Tabla3[[#This Row],[Fare corrección]]&gt;1000,Tabla3[[#This Row],[Fare corrección]]/1000,Tabla3[[#This Row],[Fare corrección]])</f>
        <v>15.5</v>
      </c>
      <c r="C366">
        <f>IF(ISNUMBER(Tabla3[[#This Row],[Fare]]),Tabla3[[#This Row],[Fare]],VALUE(SUBSTITUTE(Tabla3[[#This Row],[Fare]],".",",")))</f>
        <v>15.5</v>
      </c>
      <c r="D366" t="s">
        <v>982</v>
      </c>
    </row>
    <row r="367" spans="1:4" x14ac:dyDescent="0.25">
      <c r="A367" s="13">
        <f>IF(Tabla3[[#This Row],[Fare correción 2]]&gt;=1000,Tabla3[[#This Row],[Fare correción 2]]/10,Tabla3[[#This Row],[Fare correción 2]])</f>
        <v>7.25</v>
      </c>
      <c r="B367">
        <f>IF(Tabla3[[#This Row],[Fare corrección]]&gt;1000,Tabla3[[#This Row],[Fare corrección]]/1000,Tabla3[[#This Row],[Fare corrección]])</f>
        <v>7.25</v>
      </c>
      <c r="C367">
        <f>IF(ISNUMBER(Tabla3[[#This Row],[Fare]]),Tabla3[[#This Row],[Fare]],VALUE(SUBSTITUTE(Tabla3[[#This Row],[Fare]],".",",")))</f>
        <v>7.25</v>
      </c>
      <c r="D367" t="s">
        <v>904</v>
      </c>
    </row>
    <row r="368" spans="1:4" x14ac:dyDescent="0.25">
      <c r="A368" s="13">
        <f>IF(Tabla3[[#This Row],[Fare correción 2]]&gt;=1000,Tabla3[[#This Row],[Fare correción 2]]/10,Tabla3[[#This Row],[Fare correción 2]])</f>
        <v>75.25</v>
      </c>
      <c r="B368">
        <f>IF(Tabla3[[#This Row],[Fare corrección]]&gt;1000,Tabla3[[#This Row],[Fare corrección]]/1000,Tabla3[[#This Row],[Fare corrección]])</f>
        <v>75.25</v>
      </c>
      <c r="C368">
        <f>IF(ISNUMBER(Tabla3[[#This Row],[Fare]]),Tabla3[[#This Row],[Fare]],VALUE(SUBSTITUTE(Tabla3[[#This Row],[Fare]],".",",")))</f>
        <v>75.25</v>
      </c>
      <c r="D368" t="s">
        <v>1496</v>
      </c>
    </row>
    <row r="369" spans="1:4" x14ac:dyDescent="0.25">
      <c r="A369" s="13">
        <f>IF(Tabla3[[#This Row],[Fare correción 2]]&gt;=1000,Tabla3[[#This Row],[Fare correción 2]]/10,Tabla3[[#This Row],[Fare correción 2]])</f>
        <v>72.292000000000002</v>
      </c>
      <c r="B369">
        <f>IF(Tabla3[[#This Row],[Fare corrección]]&gt;1000,Tabla3[[#This Row],[Fare corrección]]/1000,Tabla3[[#This Row],[Fare corrección]])</f>
        <v>72.292000000000002</v>
      </c>
      <c r="C369" s="1">
        <f>IF(ISNUMBER(Tabla3[[#This Row],[Fare]]),Tabla3[[#This Row],[Fare]],VALUE(SUBSTITUTE(Tabla3[[#This Row],[Fare]],".",",")))</f>
        <v>72292</v>
      </c>
      <c r="D369" s="1">
        <v>72292</v>
      </c>
    </row>
    <row r="370" spans="1:4" x14ac:dyDescent="0.25">
      <c r="A370" s="13">
        <f>IF(Tabla3[[#This Row],[Fare correción 2]]&gt;=1000,Tabla3[[#This Row],[Fare correción 2]]/10,Tabla3[[#This Row],[Fare correción 2]])</f>
        <v>7.75</v>
      </c>
      <c r="B370">
        <f>IF(Tabla3[[#This Row],[Fare corrección]]&gt;1000,Tabla3[[#This Row],[Fare corrección]]/1000,Tabla3[[#This Row],[Fare corrección]])</f>
        <v>7.75</v>
      </c>
      <c r="C370">
        <f>IF(ISNUMBER(Tabla3[[#This Row],[Fare]]),Tabla3[[#This Row],[Fare]],VALUE(SUBSTITUTE(Tabla3[[#This Row],[Fare]],".",",")))</f>
        <v>7.75</v>
      </c>
      <c r="D370" t="s">
        <v>961</v>
      </c>
    </row>
    <row r="371" spans="1:4" x14ac:dyDescent="0.25">
      <c r="A371" s="13">
        <f>IF(Tabla3[[#This Row],[Fare correción 2]]&gt;=1000,Tabla3[[#This Row],[Fare correción 2]]/10,Tabla3[[#This Row],[Fare correción 2]])</f>
        <v>69.3</v>
      </c>
      <c r="B371">
        <f>IF(Tabla3[[#This Row],[Fare corrección]]&gt;1000,Tabla3[[#This Row],[Fare corrección]]/1000,Tabla3[[#This Row],[Fare corrección]])</f>
        <v>69.3</v>
      </c>
      <c r="C371">
        <f>IF(ISNUMBER(Tabla3[[#This Row],[Fare]]),Tabla3[[#This Row],[Fare]],VALUE(SUBSTITUTE(Tabla3[[#This Row],[Fare]],".",",")))</f>
        <v>69.3</v>
      </c>
      <c r="D371" t="s">
        <v>1502</v>
      </c>
    </row>
    <row r="372" spans="1:4" x14ac:dyDescent="0.25">
      <c r="A372" s="13">
        <f>IF(Tabla3[[#This Row],[Fare correción 2]]&gt;=1000,Tabla3[[#This Row],[Fare correción 2]]/10,Tabla3[[#This Row],[Fare correción 2]])</f>
        <v>554.41700000000003</v>
      </c>
      <c r="B372">
        <f>IF(Tabla3[[#This Row],[Fare corrección]]&gt;1000,Tabla3[[#This Row],[Fare corrección]]/1000,Tabla3[[#This Row],[Fare corrección]])</f>
        <v>554.41700000000003</v>
      </c>
      <c r="C372" s="1">
        <f>IF(ISNUMBER(Tabla3[[#This Row],[Fare]]),Tabla3[[#This Row],[Fare]],VALUE(SUBSTITUTE(Tabla3[[#This Row],[Fare]],".",",")))</f>
        <v>554417</v>
      </c>
      <c r="D372" s="1">
        <v>554417</v>
      </c>
    </row>
    <row r="373" spans="1:4" x14ac:dyDescent="0.25">
      <c r="A373" s="13">
        <f>IF(Tabla3[[#This Row],[Fare correción 2]]&gt;=1000,Tabla3[[#This Row],[Fare correción 2]]/10,Tabla3[[#This Row],[Fare correción 2]])</f>
        <v>64.957999999999998</v>
      </c>
      <c r="B373">
        <f>IF(Tabla3[[#This Row],[Fare corrección]]&gt;1000,Tabla3[[#This Row],[Fare corrección]]/1000,Tabla3[[#This Row],[Fare corrección]])</f>
        <v>64.957999999999998</v>
      </c>
      <c r="C373" s="1">
        <f>IF(ISNUMBER(Tabla3[[#This Row],[Fare]]),Tabla3[[#This Row],[Fare]],VALUE(SUBSTITUTE(Tabla3[[#This Row],[Fare]],".",",")))</f>
        <v>64958</v>
      </c>
      <c r="D373" s="1">
        <v>64958</v>
      </c>
    </row>
    <row r="374" spans="1:4" x14ac:dyDescent="0.25">
      <c r="A374" s="13">
        <f>IF(Tabla3[[#This Row],[Fare correción 2]]&gt;=1000,Tabla3[[#This Row],[Fare correción 2]]/10,Tabla3[[#This Row],[Fare correción 2]])</f>
        <v>8.0500000000000007</v>
      </c>
      <c r="B374">
        <f>IF(Tabla3[[#This Row],[Fare corrección]]&gt;1000,Tabla3[[#This Row],[Fare corrección]]/1000,Tabla3[[#This Row],[Fare corrección]])</f>
        <v>8.0500000000000007</v>
      </c>
      <c r="C374">
        <f>IF(ISNUMBER(Tabla3[[#This Row],[Fare]]),Tabla3[[#This Row],[Fare]],VALUE(SUBSTITUTE(Tabla3[[#This Row],[Fare]],".",",")))</f>
        <v>8.0500000000000007</v>
      </c>
      <c r="D374" t="s">
        <v>917</v>
      </c>
    </row>
    <row r="375" spans="1:4" x14ac:dyDescent="0.25">
      <c r="A375" s="13">
        <f>IF(Tabla3[[#This Row],[Fare correción 2]]&gt;=1000,Tabla3[[#This Row],[Fare correción 2]]/10,Tabla3[[#This Row],[Fare correción 2]])</f>
        <v>135.63330000000002</v>
      </c>
      <c r="B375">
        <f>IF(Tabla3[[#This Row],[Fare corrección]]&gt;1000,Tabla3[[#This Row],[Fare corrección]]/1000,Tabla3[[#This Row],[Fare corrección]])</f>
        <v>1356.3330000000001</v>
      </c>
      <c r="C375" s="1">
        <f>IF(ISNUMBER(Tabla3[[#This Row],[Fare]]),Tabla3[[#This Row],[Fare]],VALUE(SUBSTITUTE(Tabla3[[#This Row],[Fare]],".",",")))</f>
        <v>1356333</v>
      </c>
      <c r="D375" s="1">
        <v>1356333</v>
      </c>
    </row>
    <row r="376" spans="1:4" x14ac:dyDescent="0.25">
      <c r="A376" s="13">
        <f>IF(Tabla3[[#This Row],[Fare correción 2]]&gt;=1000,Tabla3[[#This Row],[Fare correción 2]]/10,Tabla3[[#This Row],[Fare correción 2]])</f>
        <v>21.074999999999999</v>
      </c>
      <c r="B376">
        <f>IF(Tabla3[[#This Row],[Fare corrección]]&gt;1000,Tabla3[[#This Row],[Fare corrección]]/1000,Tabla3[[#This Row],[Fare corrección]])</f>
        <v>21.074999999999999</v>
      </c>
      <c r="C376" s="1">
        <f>IF(ISNUMBER(Tabla3[[#This Row],[Fare]]),Tabla3[[#This Row],[Fare]],VALUE(SUBSTITUTE(Tabla3[[#This Row],[Fare]],".",",")))</f>
        <v>21075</v>
      </c>
      <c r="D376" s="1">
        <v>21075</v>
      </c>
    </row>
    <row r="377" spans="1:4" x14ac:dyDescent="0.25">
      <c r="A377" s="13">
        <f>IF(Tabla3[[#This Row],[Fare correción 2]]&gt;=1000,Tabla3[[#This Row],[Fare correción 2]]/10,Tabla3[[#This Row],[Fare correción 2]])</f>
        <v>821.70799999999997</v>
      </c>
      <c r="B377">
        <f>IF(Tabla3[[#This Row],[Fare corrección]]&gt;1000,Tabla3[[#This Row],[Fare corrección]]/1000,Tabla3[[#This Row],[Fare corrección]])</f>
        <v>821.70799999999997</v>
      </c>
      <c r="C377" s="1">
        <f>IF(ISNUMBER(Tabla3[[#This Row],[Fare]]),Tabla3[[#This Row],[Fare]],VALUE(SUBSTITUTE(Tabla3[[#This Row],[Fare]],".",",")))</f>
        <v>821708</v>
      </c>
      <c r="D377" s="1">
        <v>821708</v>
      </c>
    </row>
    <row r="378" spans="1:4" x14ac:dyDescent="0.25">
      <c r="A378" s="13">
        <f>IF(Tabla3[[#This Row],[Fare correción 2]]&gt;=1000,Tabla3[[#This Row],[Fare correción 2]]/10,Tabla3[[#This Row],[Fare correción 2]])</f>
        <v>7.25</v>
      </c>
      <c r="B378">
        <f>IF(Tabla3[[#This Row],[Fare corrección]]&gt;1000,Tabla3[[#This Row],[Fare corrección]]/1000,Tabla3[[#This Row],[Fare corrección]])</f>
        <v>7.25</v>
      </c>
      <c r="C378">
        <f>IF(ISNUMBER(Tabla3[[#This Row],[Fare]]),Tabla3[[#This Row],[Fare]],VALUE(SUBSTITUTE(Tabla3[[#This Row],[Fare]],".",",")))</f>
        <v>7.25</v>
      </c>
      <c r="D378" t="s">
        <v>904</v>
      </c>
    </row>
    <row r="379" spans="1:4" x14ac:dyDescent="0.25">
      <c r="A379" s="13">
        <f>IF(Tabla3[[#This Row],[Fare correción 2]]&gt;=1000,Tabla3[[#This Row],[Fare correción 2]]/10,Tabla3[[#This Row],[Fare correción 2]])</f>
        <v>211.5</v>
      </c>
      <c r="B379">
        <f>IF(Tabla3[[#This Row],[Fare corrección]]&gt;1000,Tabla3[[#This Row],[Fare corrección]]/1000,Tabla3[[#This Row],[Fare corrección]])</f>
        <v>211.5</v>
      </c>
      <c r="C379">
        <f>IF(ISNUMBER(Tabla3[[#This Row],[Fare]]),Tabla3[[#This Row],[Fare]],VALUE(SUBSTITUTE(Tabla3[[#This Row],[Fare]],".",",")))</f>
        <v>211.5</v>
      </c>
      <c r="D379" t="s">
        <v>1514</v>
      </c>
    </row>
    <row r="380" spans="1:4" x14ac:dyDescent="0.25">
      <c r="A380" s="13">
        <f>IF(Tabla3[[#This Row],[Fare correción 2]]&gt;=1000,Tabla3[[#This Row],[Fare correción 2]]/10,Tabla3[[#This Row],[Fare correción 2]])</f>
        <v>40.125</v>
      </c>
      <c r="B380">
        <f>IF(Tabla3[[#This Row],[Fare corrección]]&gt;1000,Tabla3[[#This Row],[Fare corrección]]/1000,Tabla3[[#This Row],[Fare corrección]])</f>
        <v>40.125</v>
      </c>
      <c r="C380" s="1">
        <f>IF(ISNUMBER(Tabla3[[#This Row],[Fare]]),Tabla3[[#This Row],[Fare]],VALUE(SUBSTITUTE(Tabla3[[#This Row],[Fare]],".",",")))</f>
        <v>40125</v>
      </c>
      <c r="D380" s="1">
        <v>40125</v>
      </c>
    </row>
    <row r="381" spans="1:4" x14ac:dyDescent="0.25">
      <c r="A381" s="13">
        <f>IF(Tabla3[[#This Row],[Fare correción 2]]&gt;=1000,Tabla3[[#This Row],[Fare correción 2]]/10,Tabla3[[#This Row],[Fare correción 2]])</f>
        <v>7.7750000000000004</v>
      </c>
      <c r="B381">
        <f>IF(Tabla3[[#This Row],[Fare corrección]]&gt;1000,Tabla3[[#This Row],[Fare corrección]]/1000,Tabla3[[#This Row],[Fare corrección]])</f>
        <v>7.7750000000000004</v>
      </c>
      <c r="C381" s="1">
        <f>IF(ISNUMBER(Tabla3[[#This Row],[Fare]]),Tabla3[[#This Row],[Fare]],VALUE(SUBSTITUTE(Tabla3[[#This Row],[Fare]],".",",")))</f>
        <v>7775</v>
      </c>
      <c r="D381" s="1">
        <v>7775</v>
      </c>
    </row>
    <row r="382" spans="1:4" x14ac:dyDescent="0.25">
      <c r="A382" s="13">
        <f>IF(Tabla3[[#This Row],[Fare correción 2]]&gt;=1000,Tabla3[[#This Row],[Fare correción 2]]/10,Tabla3[[#This Row],[Fare correción 2]])</f>
        <v>227.52500000000001</v>
      </c>
      <c r="B382">
        <f>IF(Tabla3[[#This Row],[Fare corrección]]&gt;1000,Tabla3[[#This Row],[Fare corrección]]/1000,Tabla3[[#This Row],[Fare corrección]])</f>
        <v>227.52500000000001</v>
      </c>
      <c r="C382" s="1">
        <f>IF(ISNUMBER(Tabla3[[#This Row],[Fare]]),Tabla3[[#This Row],[Fare]],VALUE(SUBSTITUTE(Tabla3[[#This Row],[Fare]],".",",")))</f>
        <v>227525</v>
      </c>
      <c r="D382" s="1">
        <v>227525</v>
      </c>
    </row>
    <row r="383" spans="1:4" x14ac:dyDescent="0.25">
      <c r="A383" s="13">
        <f>IF(Tabla3[[#This Row],[Fare correción 2]]&gt;=1000,Tabla3[[#This Row],[Fare correción 2]]/10,Tabla3[[#This Row],[Fare correción 2]])</f>
        <v>157.417</v>
      </c>
      <c r="B383">
        <f>IF(Tabla3[[#This Row],[Fare corrección]]&gt;1000,Tabla3[[#This Row],[Fare corrección]]/1000,Tabla3[[#This Row],[Fare corrección]])</f>
        <v>157.417</v>
      </c>
      <c r="C383" s="1">
        <f>IF(ISNUMBER(Tabla3[[#This Row],[Fare]]),Tabla3[[#This Row],[Fare]],VALUE(SUBSTITUTE(Tabla3[[#This Row],[Fare]],".",",")))</f>
        <v>157417</v>
      </c>
      <c r="D383" s="1">
        <v>157417</v>
      </c>
    </row>
    <row r="384" spans="1:4" x14ac:dyDescent="0.25">
      <c r="A384" s="13">
        <f>IF(Tabla3[[#This Row],[Fare correción 2]]&gt;=1000,Tabla3[[#This Row],[Fare correción 2]]/10,Tabla3[[#This Row],[Fare correción 2]])</f>
        <v>7.9249999999999998</v>
      </c>
      <c r="B384">
        <f>IF(Tabla3[[#This Row],[Fare corrección]]&gt;1000,Tabla3[[#This Row],[Fare corrección]]/1000,Tabla3[[#This Row],[Fare corrección]])</f>
        <v>7.9249999999999998</v>
      </c>
      <c r="C384" s="1">
        <f>IF(ISNUMBER(Tabla3[[#This Row],[Fare]]),Tabla3[[#This Row],[Fare]],VALUE(SUBSTITUTE(Tabla3[[#This Row],[Fare]],".",",")))</f>
        <v>7925</v>
      </c>
      <c r="D384" s="1">
        <v>7925</v>
      </c>
    </row>
    <row r="385" spans="1:4" x14ac:dyDescent="0.25">
      <c r="A385" s="13">
        <f>IF(Tabla3[[#This Row],[Fare correción 2]]&gt;=1000,Tabla3[[#This Row],[Fare correción 2]]/10,Tabla3[[#This Row],[Fare correción 2]])</f>
        <v>52</v>
      </c>
      <c r="B385">
        <f>IF(Tabla3[[#This Row],[Fare corrección]]&gt;1000,Tabla3[[#This Row],[Fare corrección]]/1000,Tabla3[[#This Row],[Fare corrección]])</f>
        <v>52</v>
      </c>
      <c r="C385">
        <f>IF(ISNUMBER(Tabla3[[#This Row],[Fare]]),Tabla3[[#This Row],[Fare]],VALUE(SUBSTITUTE(Tabla3[[#This Row],[Fare]],".",",")))</f>
        <v>52</v>
      </c>
      <c r="D385">
        <v>52</v>
      </c>
    </row>
    <row r="386" spans="1:4" x14ac:dyDescent="0.25">
      <c r="A386" s="13">
        <f>IF(Tabla3[[#This Row],[Fare correción 2]]&gt;=1000,Tabla3[[#This Row],[Fare correción 2]]/10,Tabla3[[#This Row],[Fare correción 2]])</f>
        <v>78.957999999999998</v>
      </c>
      <c r="B386">
        <f>IF(Tabla3[[#This Row],[Fare corrección]]&gt;1000,Tabla3[[#This Row],[Fare corrección]]/1000,Tabla3[[#This Row],[Fare corrección]])</f>
        <v>78.957999999999998</v>
      </c>
      <c r="C386" s="1">
        <f>IF(ISNUMBER(Tabla3[[#This Row],[Fare]]),Tabla3[[#This Row],[Fare]],VALUE(SUBSTITUTE(Tabla3[[#This Row],[Fare]],".",",")))</f>
        <v>78958</v>
      </c>
      <c r="D386" s="1">
        <v>78958</v>
      </c>
    </row>
    <row r="387" spans="1:4" x14ac:dyDescent="0.25">
      <c r="A387" s="13">
        <f>IF(Tabla3[[#This Row],[Fare correción 2]]&gt;=1000,Tabla3[[#This Row],[Fare correción 2]]/10,Tabla3[[#This Row],[Fare correción 2]])</f>
        <v>73.5</v>
      </c>
      <c r="B387">
        <f>IF(Tabla3[[#This Row],[Fare corrección]]&gt;1000,Tabla3[[#This Row],[Fare corrección]]/1000,Tabla3[[#This Row],[Fare corrección]])</f>
        <v>73.5</v>
      </c>
      <c r="C387">
        <f>IF(ISNUMBER(Tabla3[[#This Row],[Fare]]),Tabla3[[#This Row],[Fare]],VALUE(SUBSTITUTE(Tabla3[[#This Row],[Fare]],".",",")))</f>
        <v>73.5</v>
      </c>
      <c r="D387" t="s">
        <v>1031</v>
      </c>
    </row>
    <row r="388" spans="1:4" x14ac:dyDescent="0.25">
      <c r="A388" s="13">
        <f>IF(Tabla3[[#This Row],[Fare correción 2]]&gt;=1000,Tabla3[[#This Row],[Fare correción 2]]/10,Tabla3[[#This Row],[Fare correción 2]])</f>
        <v>46.9</v>
      </c>
      <c r="B388">
        <f>IF(Tabla3[[#This Row],[Fare corrección]]&gt;1000,Tabla3[[#This Row],[Fare corrección]]/1000,Tabla3[[#This Row],[Fare corrección]])</f>
        <v>46.9</v>
      </c>
      <c r="C388">
        <f>IF(ISNUMBER(Tabla3[[#This Row],[Fare]]),Tabla3[[#This Row],[Fare]],VALUE(SUBSTITUTE(Tabla3[[#This Row],[Fare]],".",",")))</f>
        <v>46.9</v>
      </c>
      <c r="D388" t="s">
        <v>1008</v>
      </c>
    </row>
    <row r="389" spans="1:4" x14ac:dyDescent="0.25">
      <c r="A389" s="13">
        <f>IF(Tabla3[[#This Row],[Fare correción 2]]&gt;=1000,Tabla3[[#This Row],[Fare correción 2]]/10,Tabla3[[#This Row],[Fare correción 2]])</f>
        <v>13</v>
      </c>
      <c r="B389">
        <f>IF(Tabla3[[#This Row],[Fare corrección]]&gt;1000,Tabla3[[#This Row],[Fare corrección]]/1000,Tabla3[[#This Row],[Fare corrección]])</f>
        <v>13</v>
      </c>
      <c r="C389">
        <f>IF(ISNUMBER(Tabla3[[#This Row],[Fare]]),Tabla3[[#This Row],[Fare]],VALUE(SUBSTITUTE(Tabla3[[#This Row],[Fare]],".",",")))</f>
        <v>13</v>
      </c>
      <c r="D389">
        <v>13</v>
      </c>
    </row>
    <row r="390" spans="1:4" x14ac:dyDescent="0.25">
      <c r="A390" s="13">
        <f>IF(Tabla3[[#This Row],[Fare correción 2]]&gt;=1000,Tabla3[[#This Row],[Fare correción 2]]/10,Tabla3[[#This Row],[Fare correción 2]])</f>
        <v>77.292000000000002</v>
      </c>
      <c r="B390">
        <f>IF(Tabla3[[#This Row],[Fare corrección]]&gt;1000,Tabla3[[#This Row],[Fare corrección]]/1000,Tabla3[[#This Row],[Fare corrección]])</f>
        <v>77.292000000000002</v>
      </c>
      <c r="C390" s="1">
        <f>IF(ISNUMBER(Tabla3[[#This Row],[Fare]]),Tabla3[[#This Row],[Fare]],VALUE(SUBSTITUTE(Tabla3[[#This Row],[Fare]],".",",")))</f>
        <v>77292</v>
      </c>
      <c r="D390" s="1">
        <v>77292</v>
      </c>
    </row>
    <row r="391" spans="1:4" x14ac:dyDescent="0.25">
      <c r="A391" s="13">
        <f>IF(Tabla3[[#This Row],[Fare correción 2]]&gt;=1000,Tabla3[[#This Row],[Fare correción 2]]/10,Tabla3[[#This Row],[Fare correción 2]])</f>
        <v>12</v>
      </c>
      <c r="B391">
        <f>IF(Tabla3[[#This Row],[Fare corrección]]&gt;1000,Tabla3[[#This Row],[Fare corrección]]/1000,Tabla3[[#This Row],[Fare corrección]])</f>
        <v>12</v>
      </c>
      <c r="C391">
        <f>IF(ISNUMBER(Tabla3[[#This Row],[Fare]]),Tabla3[[#This Row],[Fare]],VALUE(SUBSTITUTE(Tabla3[[#This Row],[Fare]],".",",")))</f>
        <v>12</v>
      </c>
      <c r="D391">
        <v>12</v>
      </c>
    </row>
    <row r="392" spans="1:4" x14ac:dyDescent="0.25">
      <c r="A392" s="13">
        <f>IF(Tabla3[[#This Row],[Fare correción 2]]&gt;=1000,Tabla3[[#This Row],[Fare correción 2]]/10,Tabla3[[#This Row],[Fare correción 2]])</f>
        <v>120</v>
      </c>
      <c r="B392">
        <f>IF(Tabla3[[#This Row],[Fare corrección]]&gt;1000,Tabla3[[#This Row],[Fare corrección]]/1000,Tabla3[[#This Row],[Fare corrección]])</f>
        <v>120</v>
      </c>
      <c r="C392">
        <f>IF(ISNUMBER(Tabla3[[#This Row],[Fare]]),Tabla3[[#This Row],[Fare]],VALUE(SUBSTITUTE(Tabla3[[#This Row],[Fare]],".",",")))</f>
        <v>120</v>
      </c>
      <c r="D392">
        <v>120</v>
      </c>
    </row>
    <row r="393" spans="1:4" x14ac:dyDescent="0.25">
      <c r="A393" s="13">
        <f>IF(Tabla3[[#This Row],[Fare correción 2]]&gt;=1000,Tabla3[[#This Row],[Fare correción 2]]/10,Tabla3[[#This Row],[Fare correción 2]])</f>
        <v>77.957999999999998</v>
      </c>
      <c r="B393">
        <f>IF(Tabla3[[#This Row],[Fare corrección]]&gt;1000,Tabla3[[#This Row],[Fare corrección]]/1000,Tabla3[[#This Row],[Fare corrección]])</f>
        <v>77.957999999999998</v>
      </c>
      <c r="C393" s="1">
        <f>IF(ISNUMBER(Tabla3[[#This Row],[Fare]]),Tabla3[[#This Row],[Fare]],VALUE(SUBSTITUTE(Tabla3[[#This Row],[Fare]],".",",")))</f>
        <v>77958</v>
      </c>
      <c r="D393" s="1">
        <v>77958</v>
      </c>
    </row>
    <row r="394" spans="1:4" x14ac:dyDescent="0.25">
      <c r="A394" s="13">
        <f>IF(Tabla3[[#This Row],[Fare correción 2]]&gt;=1000,Tabla3[[#This Row],[Fare correción 2]]/10,Tabla3[[#This Row],[Fare correción 2]])</f>
        <v>7.9249999999999998</v>
      </c>
      <c r="B394">
        <f>IF(Tabla3[[#This Row],[Fare corrección]]&gt;1000,Tabla3[[#This Row],[Fare corrección]]/1000,Tabla3[[#This Row],[Fare corrección]])</f>
        <v>7.9249999999999998</v>
      </c>
      <c r="C394" s="1">
        <f>IF(ISNUMBER(Tabla3[[#This Row],[Fare]]),Tabla3[[#This Row],[Fare]],VALUE(SUBSTITUTE(Tabla3[[#This Row],[Fare]],".",",")))</f>
        <v>7925</v>
      </c>
      <c r="D394" s="1">
        <v>7925</v>
      </c>
    </row>
    <row r="395" spans="1:4" x14ac:dyDescent="0.25">
      <c r="A395" s="13">
        <f>IF(Tabla3[[#This Row],[Fare correción 2]]&gt;=1000,Tabla3[[#This Row],[Fare correción 2]]/10,Tabla3[[#This Row],[Fare correción 2]])</f>
        <v>113.27500000000001</v>
      </c>
      <c r="B395">
        <f>IF(Tabla3[[#This Row],[Fare corrección]]&gt;1000,Tabla3[[#This Row],[Fare corrección]]/1000,Tabla3[[#This Row],[Fare corrección]])</f>
        <v>113.27500000000001</v>
      </c>
      <c r="C395" s="1">
        <f>IF(ISNUMBER(Tabla3[[#This Row],[Fare]]),Tabla3[[#This Row],[Fare]],VALUE(SUBSTITUTE(Tabla3[[#This Row],[Fare]],".",",")))</f>
        <v>113275</v>
      </c>
      <c r="D395" s="1">
        <v>113275</v>
      </c>
    </row>
    <row r="396" spans="1:4" x14ac:dyDescent="0.25">
      <c r="A396" s="13">
        <f>IF(Tabla3[[#This Row],[Fare correción 2]]&gt;=1000,Tabla3[[#This Row],[Fare correción 2]]/10,Tabla3[[#This Row],[Fare correción 2]])</f>
        <v>16.7</v>
      </c>
      <c r="B396">
        <f>IF(Tabla3[[#This Row],[Fare corrección]]&gt;1000,Tabla3[[#This Row],[Fare corrección]]/1000,Tabla3[[#This Row],[Fare corrección]])</f>
        <v>16.7</v>
      </c>
      <c r="C396">
        <f>IF(ISNUMBER(Tabla3[[#This Row],[Fare]]),Tabla3[[#This Row],[Fare]],VALUE(SUBSTITUTE(Tabla3[[#This Row],[Fare]],".",",")))</f>
        <v>16.7</v>
      </c>
      <c r="D396" t="s">
        <v>927</v>
      </c>
    </row>
    <row r="397" spans="1:4" x14ac:dyDescent="0.25">
      <c r="A397" s="13">
        <f>IF(Tabla3[[#This Row],[Fare correción 2]]&gt;=1000,Tabla3[[#This Row],[Fare correción 2]]/10,Tabla3[[#This Row],[Fare correción 2]])</f>
        <v>77.957999999999998</v>
      </c>
      <c r="B397">
        <f>IF(Tabla3[[#This Row],[Fare corrección]]&gt;1000,Tabla3[[#This Row],[Fare corrección]]/1000,Tabla3[[#This Row],[Fare corrección]])</f>
        <v>77.957999999999998</v>
      </c>
      <c r="C397" s="1">
        <f>IF(ISNUMBER(Tabla3[[#This Row],[Fare]]),Tabla3[[#This Row],[Fare]],VALUE(SUBSTITUTE(Tabla3[[#This Row],[Fare]],".",",")))</f>
        <v>77958</v>
      </c>
      <c r="D397" s="1">
        <v>77958</v>
      </c>
    </row>
    <row r="398" spans="1:4" x14ac:dyDescent="0.25">
      <c r="A398" s="13">
        <f>IF(Tabla3[[#This Row],[Fare correción 2]]&gt;=1000,Tabla3[[#This Row],[Fare correción 2]]/10,Tabla3[[#This Row],[Fare correción 2]])</f>
        <v>78.542000000000002</v>
      </c>
      <c r="B398">
        <f>IF(Tabla3[[#This Row],[Fare corrección]]&gt;1000,Tabla3[[#This Row],[Fare corrección]]/1000,Tabla3[[#This Row],[Fare corrección]])</f>
        <v>78.542000000000002</v>
      </c>
      <c r="C398" s="1">
        <f>IF(ISNUMBER(Tabla3[[#This Row],[Fare]]),Tabla3[[#This Row],[Fare]],VALUE(SUBSTITUTE(Tabla3[[#This Row],[Fare]],".",",")))</f>
        <v>78542</v>
      </c>
      <c r="D398" s="1">
        <v>78542</v>
      </c>
    </row>
    <row r="399" spans="1:4" x14ac:dyDescent="0.25">
      <c r="A399" s="13">
        <f>IF(Tabla3[[#This Row],[Fare correción 2]]&gt;=1000,Tabla3[[#This Row],[Fare correción 2]]/10,Tabla3[[#This Row],[Fare correción 2]])</f>
        <v>26</v>
      </c>
      <c r="B399">
        <f>IF(Tabla3[[#This Row],[Fare corrección]]&gt;1000,Tabla3[[#This Row],[Fare corrección]]/1000,Tabla3[[#This Row],[Fare corrección]])</f>
        <v>26</v>
      </c>
      <c r="C399">
        <f>IF(ISNUMBER(Tabla3[[#This Row],[Fare]]),Tabla3[[#This Row],[Fare]],VALUE(SUBSTITUTE(Tabla3[[#This Row],[Fare]],".",",")))</f>
        <v>26</v>
      </c>
      <c r="D399">
        <v>26</v>
      </c>
    </row>
    <row r="400" spans="1:4" x14ac:dyDescent="0.25">
      <c r="A400" s="13">
        <f>IF(Tabla3[[#This Row],[Fare correción 2]]&gt;=1000,Tabla3[[#This Row],[Fare correción 2]]/10,Tabla3[[#This Row],[Fare correción 2]])</f>
        <v>10.5</v>
      </c>
      <c r="B400">
        <f>IF(Tabla3[[#This Row],[Fare corrección]]&gt;1000,Tabla3[[#This Row],[Fare corrección]]/1000,Tabla3[[#This Row],[Fare corrección]])</f>
        <v>10.5</v>
      </c>
      <c r="C400">
        <f>IF(ISNUMBER(Tabla3[[#This Row],[Fare]]),Tabla3[[#This Row],[Fare]],VALUE(SUBSTITUTE(Tabla3[[#This Row],[Fare]],".",",")))</f>
        <v>10.5</v>
      </c>
      <c r="D400" t="s">
        <v>964</v>
      </c>
    </row>
    <row r="401" spans="1:4" x14ac:dyDescent="0.25">
      <c r="A401" s="13">
        <f>IF(Tabla3[[#This Row],[Fare correción 2]]&gt;=1000,Tabla3[[#This Row],[Fare correción 2]]/10,Tabla3[[#This Row],[Fare correción 2]])</f>
        <v>12.65</v>
      </c>
      <c r="B401">
        <f>IF(Tabla3[[#This Row],[Fare corrección]]&gt;1000,Tabla3[[#This Row],[Fare corrección]]/1000,Tabla3[[#This Row],[Fare corrección]])</f>
        <v>12.65</v>
      </c>
      <c r="C401">
        <f>IF(ISNUMBER(Tabla3[[#This Row],[Fare]]),Tabla3[[#This Row],[Fare]],VALUE(SUBSTITUTE(Tabla3[[#This Row],[Fare]],".",",")))</f>
        <v>12.65</v>
      </c>
      <c r="D401" t="s">
        <v>1542</v>
      </c>
    </row>
    <row r="402" spans="1:4" x14ac:dyDescent="0.25">
      <c r="A402" s="13">
        <f>IF(Tabla3[[#This Row],[Fare correción 2]]&gt;=1000,Tabla3[[#This Row],[Fare correción 2]]/10,Tabla3[[#This Row],[Fare correción 2]])</f>
        <v>7.9249999999999998</v>
      </c>
      <c r="B402">
        <f>IF(Tabla3[[#This Row],[Fare corrección]]&gt;1000,Tabla3[[#This Row],[Fare corrección]]/1000,Tabla3[[#This Row],[Fare corrección]])</f>
        <v>7.9249999999999998</v>
      </c>
      <c r="C402" s="1">
        <f>IF(ISNUMBER(Tabla3[[#This Row],[Fare]]),Tabla3[[#This Row],[Fare]],VALUE(SUBSTITUTE(Tabla3[[#This Row],[Fare]],".",",")))</f>
        <v>7925</v>
      </c>
      <c r="D402" s="1">
        <v>7925</v>
      </c>
    </row>
    <row r="403" spans="1:4" x14ac:dyDescent="0.25">
      <c r="A403" s="13">
        <f>IF(Tabla3[[#This Row],[Fare correción 2]]&gt;=1000,Tabla3[[#This Row],[Fare correción 2]]/10,Tabla3[[#This Row],[Fare correción 2]])</f>
        <v>8.0500000000000007</v>
      </c>
      <c r="B403">
        <f>IF(Tabla3[[#This Row],[Fare corrección]]&gt;1000,Tabla3[[#This Row],[Fare corrección]]/1000,Tabla3[[#This Row],[Fare corrección]])</f>
        <v>8.0500000000000007</v>
      </c>
      <c r="C403">
        <f>IF(ISNUMBER(Tabla3[[#This Row],[Fare]]),Tabla3[[#This Row],[Fare]],VALUE(SUBSTITUTE(Tabla3[[#This Row],[Fare]],".",",")))</f>
        <v>8.0500000000000007</v>
      </c>
      <c r="D403" t="s">
        <v>917</v>
      </c>
    </row>
    <row r="404" spans="1:4" x14ac:dyDescent="0.25">
      <c r="A404" s="13">
        <f>IF(Tabla3[[#This Row],[Fare correción 2]]&gt;=1000,Tabla3[[#This Row],[Fare correción 2]]/10,Tabla3[[#This Row],[Fare correción 2]])</f>
        <v>9.8249999999999993</v>
      </c>
      <c r="B404">
        <f>IF(Tabla3[[#This Row],[Fare corrección]]&gt;1000,Tabla3[[#This Row],[Fare corrección]]/1000,Tabla3[[#This Row],[Fare corrección]])</f>
        <v>9.8249999999999993</v>
      </c>
      <c r="C404" s="1">
        <f>IF(ISNUMBER(Tabla3[[#This Row],[Fare]]),Tabla3[[#This Row],[Fare]],VALUE(SUBSTITUTE(Tabla3[[#This Row],[Fare]],".",",")))</f>
        <v>9825</v>
      </c>
      <c r="D404" s="1">
        <v>9825</v>
      </c>
    </row>
    <row r="405" spans="1:4" x14ac:dyDescent="0.25">
      <c r="A405" s="13">
        <f>IF(Tabla3[[#This Row],[Fare correción 2]]&gt;=1000,Tabla3[[#This Row],[Fare correción 2]]/10,Tabla3[[#This Row],[Fare correción 2]])</f>
        <v>15.85</v>
      </c>
      <c r="B405">
        <f>IF(Tabla3[[#This Row],[Fare corrección]]&gt;1000,Tabla3[[#This Row],[Fare corrección]]/1000,Tabla3[[#This Row],[Fare corrección]])</f>
        <v>15.85</v>
      </c>
      <c r="C405">
        <f>IF(ISNUMBER(Tabla3[[#This Row],[Fare]]),Tabla3[[#This Row],[Fare]],VALUE(SUBSTITUTE(Tabla3[[#This Row],[Fare]],".",",")))</f>
        <v>15.85</v>
      </c>
      <c r="D405" t="s">
        <v>1051</v>
      </c>
    </row>
    <row r="406" spans="1:4" x14ac:dyDescent="0.25">
      <c r="A406" s="13">
        <f>IF(Tabla3[[#This Row],[Fare correción 2]]&gt;=1000,Tabla3[[#This Row],[Fare correción 2]]/10,Tabla3[[#This Row],[Fare correción 2]])</f>
        <v>86.625</v>
      </c>
      <c r="B406">
        <f>IF(Tabla3[[#This Row],[Fare corrección]]&gt;1000,Tabla3[[#This Row],[Fare corrección]]/1000,Tabla3[[#This Row],[Fare corrección]])</f>
        <v>86.625</v>
      </c>
      <c r="C406" s="1">
        <f>IF(ISNUMBER(Tabla3[[#This Row],[Fare]]),Tabla3[[#This Row],[Fare]],VALUE(SUBSTITUTE(Tabla3[[#This Row],[Fare]],".",",")))</f>
        <v>86625</v>
      </c>
      <c r="D406" s="1">
        <v>86625</v>
      </c>
    </row>
    <row r="407" spans="1:4" x14ac:dyDescent="0.25">
      <c r="A407" s="13">
        <f>IF(Tabla3[[#This Row],[Fare correción 2]]&gt;=1000,Tabla3[[#This Row],[Fare correción 2]]/10,Tabla3[[#This Row],[Fare correción 2]])</f>
        <v>21</v>
      </c>
      <c r="B407">
        <f>IF(Tabla3[[#This Row],[Fare corrección]]&gt;1000,Tabla3[[#This Row],[Fare corrección]]/1000,Tabla3[[#This Row],[Fare corrección]])</f>
        <v>21</v>
      </c>
      <c r="C407">
        <f>IF(ISNUMBER(Tabla3[[#This Row],[Fare]]),Tabla3[[#This Row],[Fare]],VALUE(SUBSTITUTE(Tabla3[[#This Row],[Fare]],".",",")))</f>
        <v>21</v>
      </c>
      <c r="D407">
        <v>21</v>
      </c>
    </row>
    <row r="408" spans="1:4" x14ac:dyDescent="0.25">
      <c r="A408" s="13">
        <f>IF(Tabla3[[#This Row],[Fare correción 2]]&gt;=1000,Tabla3[[#This Row],[Fare correción 2]]/10,Tabla3[[#This Row],[Fare correción 2]])</f>
        <v>7.75</v>
      </c>
      <c r="B408">
        <f>IF(Tabla3[[#This Row],[Fare corrección]]&gt;1000,Tabla3[[#This Row],[Fare corrección]]/1000,Tabla3[[#This Row],[Fare corrección]])</f>
        <v>7.75</v>
      </c>
      <c r="C408">
        <f>IF(ISNUMBER(Tabla3[[#This Row],[Fare]]),Tabla3[[#This Row],[Fare]],VALUE(SUBSTITUTE(Tabla3[[#This Row],[Fare]],".",",")))</f>
        <v>7.75</v>
      </c>
      <c r="D408" t="s">
        <v>961</v>
      </c>
    </row>
    <row r="409" spans="1:4" x14ac:dyDescent="0.25">
      <c r="A409" s="13">
        <f>IF(Tabla3[[#This Row],[Fare correción 2]]&gt;=1000,Tabla3[[#This Row],[Fare correción 2]]/10,Tabla3[[#This Row],[Fare correción 2]])</f>
        <v>18.75</v>
      </c>
      <c r="B409">
        <f>IF(Tabla3[[#This Row],[Fare corrección]]&gt;1000,Tabla3[[#This Row],[Fare corrección]]/1000,Tabla3[[#This Row],[Fare corrección]])</f>
        <v>18.75</v>
      </c>
      <c r="C409">
        <f>IF(ISNUMBER(Tabla3[[#This Row],[Fare]]),Tabla3[[#This Row],[Fare]],VALUE(SUBSTITUTE(Tabla3[[#This Row],[Fare]],".",",")))</f>
        <v>18.75</v>
      </c>
      <c r="D409" t="s">
        <v>1552</v>
      </c>
    </row>
    <row r="410" spans="1:4" x14ac:dyDescent="0.25">
      <c r="A410" s="13">
        <f>IF(Tabla3[[#This Row],[Fare correción 2]]&gt;=1000,Tabla3[[#This Row],[Fare correción 2]]/10,Tabla3[[#This Row],[Fare correción 2]])</f>
        <v>7.7750000000000004</v>
      </c>
      <c r="B410">
        <f>IF(Tabla3[[#This Row],[Fare corrección]]&gt;1000,Tabla3[[#This Row],[Fare corrección]]/1000,Tabla3[[#This Row],[Fare corrección]])</f>
        <v>7.7750000000000004</v>
      </c>
      <c r="C410" s="1">
        <f>IF(ISNUMBER(Tabla3[[#This Row],[Fare]]),Tabla3[[#This Row],[Fare]],VALUE(SUBSTITUTE(Tabla3[[#This Row],[Fare]],".",",")))</f>
        <v>7775</v>
      </c>
      <c r="D410" s="1">
        <v>7775</v>
      </c>
    </row>
    <row r="411" spans="1:4" x14ac:dyDescent="0.25">
      <c r="A411" s="13">
        <f>IF(Tabla3[[#This Row],[Fare correción 2]]&gt;=1000,Tabla3[[#This Row],[Fare correción 2]]/10,Tabla3[[#This Row],[Fare correción 2]])</f>
        <v>254.667</v>
      </c>
      <c r="B411">
        <f>IF(Tabla3[[#This Row],[Fare corrección]]&gt;1000,Tabla3[[#This Row],[Fare corrección]]/1000,Tabla3[[#This Row],[Fare corrección]])</f>
        <v>254.667</v>
      </c>
      <c r="C411" s="1">
        <f>IF(ISNUMBER(Tabla3[[#This Row],[Fare]]),Tabla3[[#This Row],[Fare]],VALUE(SUBSTITUTE(Tabla3[[#This Row],[Fare]],".",",")))</f>
        <v>254667</v>
      </c>
      <c r="D411" s="1">
        <v>254667</v>
      </c>
    </row>
    <row r="412" spans="1:4" x14ac:dyDescent="0.25">
      <c r="A412" s="13">
        <f>IF(Tabla3[[#This Row],[Fare correción 2]]&gt;=1000,Tabla3[[#This Row],[Fare correción 2]]/10,Tabla3[[#This Row],[Fare correción 2]])</f>
        <v>78.957999999999998</v>
      </c>
      <c r="B412">
        <f>IF(Tabla3[[#This Row],[Fare corrección]]&gt;1000,Tabla3[[#This Row],[Fare corrección]]/1000,Tabla3[[#This Row],[Fare corrección]])</f>
        <v>78.957999999999998</v>
      </c>
      <c r="C412" s="1">
        <f>IF(ISNUMBER(Tabla3[[#This Row],[Fare]]),Tabla3[[#This Row],[Fare]],VALUE(SUBSTITUTE(Tabla3[[#This Row],[Fare]],".",",")))</f>
        <v>78958</v>
      </c>
      <c r="D412" s="1">
        <v>78958</v>
      </c>
    </row>
    <row r="413" spans="1:4" x14ac:dyDescent="0.25">
      <c r="A413" s="13">
        <f>IF(Tabla3[[#This Row],[Fare correción 2]]&gt;=1000,Tabla3[[#This Row],[Fare correción 2]]/10,Tabla3[[#This Row],[Fare correción 2]])</f>
        <v>68.582999999999998</v>
      </c>
      <c r="B413">
        <f>IF(Tabla3[[#This Row],[Fare corrección]]&gt;1000,Tabla3[[#This Row],[Fare corrección]]/1000,Tabla3[[#This Row],[Fare corrección]])</f>
        <v>68.582999999999998</v>
      </c>
      <c r="C413" s="1">
        <f>IF(ISNUMBER(Tabla3[[#This Row],[Fare]]),Tabla3[[#This Row],[Fare]],VALUE(SUBSTITUTE(Tabla3[[#This Row],[Fare]],".",",")))</f>
        <v>68583</v>
      </c>
      <c r="D413" s="1">
        <v>68583</v>
      </c>
    </row>
    <row r="414" spans="1:4" x14ac:dyDescent="0.25">
      <c r="A414" s="13">
        <f>IF(Tabla3[[#This Row],[Fare correción 2]]&gt;=1000,Tabla3[[#This Row],[Fare correción 2]]/10,Tabla3[[#This Row],[Fare correción 2]])</f>
        <v>90</v>
      </c>
      <c r="B414">
        <f>IF(Tabla3[[#This Row],[Fare corrección]]&gt;1000,Tabla3[[#This Row],[Fare corrección]]/1000,Tabla3[[#This Row],[Fare corrección]])</f>
        <v>90</v>
      </c>
      <c r="C414">
        <f>IF(ISNUMBER(Tabla3[[#This Row],[Fare]]),Tabla3[[#This Row],[Fare]],VALUE(SUBSTITUTE(Tabla3[[#This Row],[Fare]],".",",")))</f>
        <v>90</v>
      </c>
      <c r="D414">
        <v>90</v>
      </c>
    </row>
    <row r="415" spans="1:4" x14ac:dyDescent="0.25">
      <c r="A415" s="13">
        <f>IF(Tabla3[[#This Row],[Fare correción 2]]&gt;=1000,Tabla3[[#This Row],[Fare correción 2]]/10,Tabla3[[#This Row],[Fare correción 2]])</f>
        <v>0</v>
      </c>
      <c r="B415">
        <f>IF(Tabla3[[#This Row],[Fare corrección]]&gt;1000,Tabla3[[#This Row],[Fare corrección]]/1000,Tabla3[[#This Row],[Fare corrección]])</f>
        <v>0</v>
      </c>
      <c r="C415">
        <f>IF(ISNUMBER(Tabla3[[#This Row],[Fare]]),Tabla3[[#This Row],[Fare]],VALUE(SUBSTITUTE(Tabla3[[#This Row],[Fare]],".",",")))</f>
        <v>0</v>
      </c>
      <c r="D415">
        <v>0</v>
      </c>
    </row>
    <row r="416" spans="1:4" x14ac:dyDescent="0.25">
      <c r="A416" s="13">
        <f>IF(Tabla3[[#This Row],[Fare correción 2]]&gt;=1000,Tabla3[[#This Row],[Fare correción 2]]/10,Tabla3[[#This Row],[Fare correción 2]])</f>
        <v>7.9249999999999998</v>
      </c>
      <c r="B416">
        <f>IF(Tabla3[[#This Row],[Fare corrección]]&gt;1000,Tabla3[[#This Row],[Fare corrección]]/1000,Tabla3[[#This Row],[Fare corrección]])</f>
        <v>7.9249999999999998</v>
      </c>
      <c r="C416" s="1">
        <f>IF(ISNUMBER(Tabla3[[#This Row],[Fare]]),Tabla3[[#This Row],[Fare]],VALUE(SUBSTITUTE(Tabla3[[#This Row],[Fare]],".",",")))</f>
        <v>7925</v>
      </c>
      <c r="D416" s="1">
        <v>7925</v>
      </c>
    </row>
    <row r="417" spans="1:4" x14ac:dyDescent="0.25">
      <c r="A417" s="13">
        <f>IF(Tabla3[[#This Row],[Fare correción 2]]&gt;=1000,Tabla3[[#This Row],[Fare correción 2]]/10,Tabla3[[#This Row],[Fare correción 2]])</f>
        <v>8.0500000000000007</v>
      </c>
      <c r="B417">
        <f>IF(Tabla3[[#This Row],[Fare corrección]]&gt;1000,Tabla3[[#This Row],[Fare corrección]]/1000,Tabla3[[#This Row],[Fare corrección]])</f>
        <v>8.0500000000000007</v>
      </c>
      <c r="C417">
        <f>IF(ISNUMBER(Tabla3[[#This Row],[Fare]]),Tabla3[[#This Row],[Fare]],VALUE(SUBSTITUTE(Tabla3[[#This Row],[Fare]],".",",")))</f>
        <v>8.0500000000000007</v>
      </c>
      <c r="D417" t="s">
        <v>917</v>
      </c>
    </row>
    <row r="418" spans="1:4" x14ac:dyDescent="0.25">
      <c r="A418" s="13">
        <f>IF(Tabla3[[#This Row],[Fare correción 2]]&gt;=1000,Tabla3[[#This Row],[Fare correción 2]]/10,Tabla3[[#This Row],[Fare correción 2]])</f>
        <v>32.5</v>
      </c>
      <c r="B418">
        <f>IF(Tabla3[[#This Row],[Fare corrección]]&gt;1000,Tabla3[[#This Row],[Fare corrección]]/1000,Tabla3[[#This Row],[Fare corrección]])</f>
        <v>32.5</v>
      </c>
      <c r="C418">
        <f>IF(ISNUMBER(Tabla3[[#This Row],[Fare]]),Tabla3[[#This Row],[Fare]],VALUE(SUBSTITUTE(Tabla3[[#This Row],[Fare]],".",",")))</f>
        <v>32.5</v>
      </c>
      <c r="D418" t="s">
        <v>1107</v>
      </c>
    </row>
    <row r="419" spans="1:4" x14ac:dyDescent="0.25">
      <c r="A419" s="13">
        <f>IF(Tabla3[[#This Row],[Fare correción 2]]&gt;=1000,Tabla3[[#This Row],[Fare correción 2]]/10,Tabla3[[#This Row],[Fare correción 2]])</f>
        <v>13</v>
      </c>
      <c r="B419">
        <f>IF(Tabla3[[#This Row],[Fare corrección]]&gt;1000,Tabla3[[#This Row],[Fare corrección]]/1000,Tabla3[[#This Row],[Fare corrección]])</f>
        <v>13</v>
      </c>
      <c r="C419">
        <f>IF(ISNUMBER(Tabla3[[#This Row],[Fare]]),Tabla3[[#This Row],[Fare]],VALUE(SUBSTITUTE(Tabla3[[#This Row],[Fare]],".",",")))</f>
        <v>13</v>
      </c>
      <c r="D419">
        <v>13</v>
      </c>
    </row>
    <row r="420" spans="1:4" x14ac:dyDescent="0.25">
      <c r="A420" s="13">
        <f>IF(Tabla3[[#This Row],[Fare correción 2]]&gt;=1000,Tabla3[[#This Row],[Fare correción 2]]/10,Tabla3[[#This Row],[Fare correción 2]])</f>
        <v>13</v>
      </c>
      <c r="B420">
        <f>IF(Tabla3[[#This Row],[Fare corrección]]&gt;1000,Tabla3[[#This Row],[Fare corrección]]/1000,Tabla3[[#This Row],[Fare corrección]])</f>
        <v>13</v>
      </c>
      <c r="C420">
        <f>IF(ISNUMBER(Tabla3[[#This Row],[Fare]]),Tabla3[[#This Row],[Fare]],VALUE(SUBSTITUTE(Tabla3[[#This Row],[Fare]],".",",")))</f>
        <v>13</v>
      </c>
      <c r="D420">
        <v>13</v>
      </c>
    </row>
    <row r="421" spans="1:4" x14ac:dyDescent="0.25">
      <c r="A421" s="13">
        <f>IF(Tabla3[[#This Row],[Fare correción 2]]&gt;=1000,Tabla3[[#This Row],[Fare correción 2]]/10,Tabla3[[#This Row],[Fare correción 2]])</f>
        <v>24.15</v>
      </c>
      <c r="B421">
        <f>IF(Tabla3[[#This Row],[Fare corrección]]&gt;1000,Tabla3[[#This Row],[Fare corrección]]/1000,Tabla3[[#This Row],[Fare corrección]])</f>
        <v>24.15</v>
      </c>
      <c r="C421">
        <f>IF(ISNUMBER(Tabla3[[#This Row],[Fare]]),Tabla3[[#This Row],[Fare]],VALUE(SUBSTITUTE(Tabla3[[#This Row],[Fare]],".",",")))</f>
        <v>24.15</v>
      </c>
      <c r="D421" t="s">
        <v>1086</v>
      </c>
    </row>
    <row r="422" spans="1:4" x14ac:dyDescent="0.25">
      <c r="A422" s="13">
        <f>IF(Tabla3[[#This Row],[Fare correción 2]]&gt;=1000,Tabla3[[#This Row],[Fare correción 2]]/10,Tabla3[[#This Row],[Fare correción 2]])</f>
        <v>78.957999999999998</v>
      </c>
      <c r="B422">
        <f>IF(Tabla3[[#This Row],[Fare corrección]]&gt;1000,Tabla3[[#This Row],[Fare corrección]]/1000,Tabla3[[#This Row],[Fare corrección]])</f>
        <v>78.957999999999998</v>
      </c>
      <c r="C422" s="1">
        <f>IF(ISNUMBER(Tabla3[[#This Row],[Fare]]),Tabla3[[#This Row],[Fare]],VALUE(SUBSTITUTE(Tabla3[[#This Row],[Fare]],".",",")))</f>
        <v>78958</v>
      </c>
      <c r="D422" s="1">
        <v>78958</v>
      </c>
    </row>
    <row r="423" spans="1:4" x14ac:dyDescent="0.25">
      <c r="A423" s="13">
        <f>IF(Tabla3[[#This Row],[Fare correción 2]]&gt;=1000,Tabla3[[#This Row],[Fare correción 2]]/10,Tabla3[[#This Row],[Fare correción 2]])</f>
        <v>77.332999999999998</v>
      </c>
      <c r="B423">
        <f>IF(Tabla3[[#This Row],[Fare corrección]]&gt;1000,Tabla3[[#This Row],[Fare corrección]]/1000,Tabla3[[#This Row],[Fare corrección]])</f>
        <v>77.332999999999998</v>
      </c>
      <c r="C423" s="1">
        <f>IF(ISNUMBER(Tabla3[[#This Row],[Fare]]),Tabla3[[#This Row],[Fare]],VALUE(SUBSTITUTE(Tabla3[[#This Row],[Fare]],".",",")))</f>
        <v>77333</v>
      </c>
      <c r="D423" s="1">
        <v>77333</v>
      </c>
    </row>
    <row r="424" spans="1:4" x14ac:dyDescent="0.25">
      <c r="A424" s="13">
        <f>IF(Tabla3[[#This Row],[Fare correción 2]]&gt;=1000,Tabla3[[#This Row],[Fare correción 2]]/10,Tabla3[[#This Row],[Fare correción 2]])</f>
        <v>7.875</v>
      </c>
      <c r="B424">
        <f>IF(Tabla3[[#This Row],[Fare corrección]]&gt;1000,Tabla3[[#This Row],[Fare corrección]]/1000,Tabla3[[#This Row],[Fare corrección]])</f>
        <v>7.875</v>
      </c>
      <c r="C424" s="1">
        <f>IF(ISNUMBER(Tabla3[[#This Row],[Fare]]),Tabla3[[#This Row],[Fare]],VALUE(SUBSTITUTE(Tabla3[[#This Row],[Fare]],".",",")))</f>
        <v>7875</v>
      </c>
      <c r="D424" s="1">
        <v>7875</v>
      </c>
    </row>
    <row r="425" spans="1:4" x14ac:dyDescent="0.25">
      <c r="A425" s="13">
        <f>IF(Tabla3[[#This Row],[Fare correción 2]]&gt;=1000,Tabla3[[#This Row],[Fare correción 2]]/10,Tabla3[[#This Row],[Fare correción 2]])</f>
        <v>14.4</v>
      </c>
      <c r="B425">
        <f>IF(Tabla3[[#This Row],[Fare corrección]]&gt;1000,Tabla3[[#This Row],[Fare corrección]]/1000,Tabla3[[#This Row],[Fare corrección]])</f>
        <v>14.4</v>
      </c>
      <c r="C425">
        <f>IF(ISNUMBER(Tabla3[[#This Row],[Fare]]),Tabla3[[#This Row],[Fare]],VALUE(SUBSTITUTE(Tabla3[[#This Row],[Fare]],".",",")))</f>
        <v>14.4</v>
      </c>
      <c r="D425" t="s">
        <v>1571</v>
      </c>
    </row>
    <row r="426" spans="1:4" x14ac:dyDescent="0.25">
      <c r="A426" s="13">
        <f>IF(Tabla3[[#This Row],[Fare correción 2]]&gt;=1000,Tabla3[[#This Row],[Fare correción 2]]/10,Tabla3[[#This Row],[Fare correción 2]])</f>
        <v>202.125</v>
      </c>
      <c r="B426">
        <f>IF(Tabla3[[#This Row],[Fare corrección]]&gt;1000,Tabla3[[#This Row],[Fare corrección]]/1000,Tabla3[[#This Row],[Fare corrección]])</f>
        <v>202.125</v>
      </c>
      <c r="C426" s="1">
        <f>IF(ISNUMBER(Tabla3[[#This Row],[Fare]]),Tabla3[[#This Row],[Fare]],VALUE(SUBSTITUTE(Tabla3[[#This Row],[Fare]],".",",")))</f>
        <v>202125</v>
      </c>
      <c r="D426" s="1">
        <v>202125</v>
      </c>
    </row>
    <row r="427" spans="1:4" x14ac:dyDescent="0.25">
      <c r="A427" s="13">
        <f>IF(Tabla3[[#This Row],[Fare correción 2]]&gt;=1000,Tabla3[[#This Row],[Fare correción 2]]/10,Tabla3[[#This Row],[Fare correción 2]])</f>
        <v>7.25</v>
      </c>
      <c r="B427">
        <f>IF(Tabla3[[#This Row],[Fare corrección]]&gt;1000,Tabla3[[#This Row],[Fare corrección]]/1000,Tabla3[[#This Row],[Fare corrección]])</f>
        <v>7.25</v>
      </c>
      <c r="C427">
        <f>IF(ISNUMBER(Tabla3[[#This Row],[Fare]]),Tabla3[[#This Row],[Fare]],VALUE(SUBSTITUTE(Tabla3[[#This Row],[Fare]],".",",")))</f>
        <v>7.25</v>
      </c>
      <c r="D427" t="s">
        <v>904</v>
      </c>
    </row>
    <row r="428" spans="1:4" x14ac:dyDescent="0.25">
      <c r="A428" s="13">
        <f>IF(Tabla3[[#This Row],[Fare correción 2]]&gt;=1000,Tabla3[[#This Row],[Fare correción 2]]/10,Tabla3[[#This Row],[Fare correción 2]])</f>
        <v>26</v>
      </c>
      <c r="B428">
        <f>IF(Tabla3[[#This Row],[Fare corrección]]&gt;1000,Tabla3[[#This Row],[Fare corrección]]/1000,Tabla3[[#This Row],[Fare corrección]])</f>
        <v>26</v>
      </c>
      <c r="C428">
        <f>IF(ISNUMBER(Tabla3[[#This Row],[Fare]]),Tabla3[[#This Row],[Fare]],VALUE(SUBSTITUTE(Tabla3[[#This Row],[Fare]],".",",")))</f>
        <v>26</v>
      </c>
      <c r="D428">
        <v>26</v>
      </c>
    </row>
    <row r="429" spans="1:4" x14ac:dyDescent="0.25">
      <c r="A429" s="13">
        <f>IF(Tabla3[[#This Row],[Fare correción 2]]&gt;=1000,Tabla3[[#This Row],[Fare correción 2]]/10,Tabla3[[#This Row],[Fare correción 2]])</f>
        <v>26</v>
      </c>
      <c r="B429">
        <f>IF(Tabla3[[#This Row],[Fare corrección]]&gt;1000,Tabla3[[#This Row],[Fare corrección]]/1000,Tabla3[[#This Row],[Fare corrección]])</f>
        <v>26</v>
      </c>
      <c r="C429">
        <f>IF(ISNUMBER(Tabla3[[#This Row],[Fare]]),Tabla3[[#This Row],[Fare]],VALUE(SUBSTITUTE(Tabla3[[#This Row],[Fare]],".",",")))</f>
        <v>26</v>
      </c>
      <c r="D429">
        <v>26</v>
      </c>
    </row>
    <row r="430" spans="1:4" x14ac:dyDescent="0.25">
      <c r="A430" s="13">
        <f>IF(Tabla3[[#This Row],[Fare correción 2]]&gt;=1000,Tabla3[[#This Row],[Fare correción 2]]/10,Tabla3[[#This Row],[Fare correción 2]])</f>
        <v>7.75</v>
      </c>
      <c r="B430">
        <f>IF(Tabla3[[#This Row],[Fare corrección]]&gt;1000,Tabla3[[#This Row],[Fare corrección]]/1000,Tabla3[[#This Row],[Fare corrección]])</f>
        <v>7.75</v>
      </c>
      <c r="C430">
        <f>IF(ISNUMBER(Tabla3[[#This Row],[Fare]]),Tabla3[[#This Row],[Fare]],VALUE(SUBSTITUTE(Tabla3[[#This Row],[Fare]],".",",")))</f>
        <v>7.75</v>
      </c>
      <c r="D430" t="s">
        <v>961</v>
      </c>
    </row>
    <row r="431" spans="1:4" x14ac:dyDescent="0.25">
      <c r="A431" s="13">
        <f>IF(Tabla3[[#This Row],[Fare correción 2]]&gt;=1000,Tabla3[[#This Row],[Fare correción 2]]/10,Tabla3[[#This Row],[Fare correción 2]])</f>
        <v>8.0500000000000007</v>
      </c>
      <c r="B431">
        <f>IF(Tabla3[[#This Row],[Fare corrección]]&gt;1000,Tabla3[[#This Row],[Fare corrección]]/1000,Tabla3[[#This Row],[Fare corrección]])</f>
        <v>8.0500000000000007</v>
      </c>
      <c r="C431">
        <f>IF(ISNUMBER(Tabla3[[#This Row],[Fare]]),Tabla3[[#This Row],[Fare]],VALUE(SUBSTITUTE(Tabla3[[#This Row],[Fare]],".",",")))</f>
        <v>8.0500000000000007</v>
      </c>
      <c r="D431" t="s">
        <v>917</v>
      </c>
    </row>
    <row r="432" spans="1:4" x14ac:dyDescent="0.25">
      <c r="A432" s="13">
        <f>IF(Tabla3[[#This Row],[Fare correción 2]]&gt;=1000,Tabla3[[#This Row],[Fare correción 2]]/10,Tabla3[[#This Row],[Fare correción 2]])</f>
        <v>26.55</v>
      </c>
      <c r="B432">
        <f>IF(Tabla3[[#This Row],[Fare corrección]]&gt;1000,Tabla3[[#This Row],[Fare corrección]]/1000,Tabla3[[#This Row],[Fare corrección]])</f>
        <v>26.55</v>
      </c>
      <c r="C432">
        <f>IF(ISNUMBER(Tabla3[[#This Row],[Fare]]),Tabla3[[#This Row],[Fare]],VALUE(SUBSTITUTE(Tabla3[[#This Row],[Fare]],".",",")))</f>
        <v>26.55</v>
      </c>
      <c r="D432" t="s">
        <v>930</v>
      </c>
    </row>
    <row r="433" spans="1:4" x14ac:dyDescent="0.25">
      <c r="A433" s="13">
        <f>IF(Tabla3[[#This Row],[Fare correción 2]]&gt;=1000,Tabla3[[#This Row],[Fare correción 2]]/10,Tabla3[[#This Row],[Fare correción 2]])</f>
        <v>16.100000000000001</v>
      </c>
      <c r="B433">
        <f>IF(Tabla3[[#This Row],[Fare corrección]]&gt;1000,Tabla3[[#This Row],[Fare corrección]]/1000,Tabla3[[#This Row],[Fare corrección]])</f>
        <v>16.100000000000001</v>
      </c>
      <c r="C433">
        <f>IF(ISNUMBER(Tabla3[[#This Row],[Fare]]),Tabla3[[#This Row],[Fare]],VALUE(SUBSTITUTE(Tabla3[[#This Row],[Fare]],".",",")))</f>
        <v>16.100000000000001</v>
      </c>
      <c r="D433" t="s">
        <v>1177</v>
      </c>
    </row>
    <row r="434" spans="1:4" x14ac:dyDescent="0.25">
      <c r="A434" s="13">
        <f>IF(Tabla3[[#This Row],[Fare correción 2]]&gt;=1000,Tabla3[[#This Row],[Fare correción 2]]/10,Tabla3[[#This Row],[Fare correción 2]])</f>
        <v>26</v>
      </c>
      <c r="B434">
        <f>IF(Tabla3[[#This Row],[Fare corrección]]&gt;1000,Tabla3[[#This Row],[Fare corrección]]/1000,Tabla3[[#This Row],[Fare corrección]])</f>
        <v>26</v>
      </c>
      <c r="C434">
        <f>IF(ISNUMBER(Tabla3[[#This Row],[Fare]]),Tabla3[[#This Row],[Fare]],VALUE(SUBSTITUTE(Tabla3[[#This Row],[Fare]],".",",")))</f>
        <v>26</v>
      </c>
      <c r="D434">
        <v>26</v>
      </c>
    </row>
    <row r="435" spans="1:4" x14ac:dyDescent="0.25">
      <c r="A435" s="13">
        <f>IF(Tabla3[[#This Row],[Fare correción 2]]&gt;=1000,Tabla3[[#This Row],[Fare correción 2]]/10,Tabla3[[#This Row],[Fare correción 2]])</f>
        <v>7.125</v>
      </c>
      <c r="B435">
        <f>IF(Tabla3[[#This Row],[Fare corrección]]&gt;1000,Tabla3[[#This Row],[Fare corrección]]/1000,Tabla3[[#This Row],[Fare corrección]])</f>
        <v>7.125</v>
      </c>
      <c r="C435" s="1">
        <f>IF(ISNUMBER(Tabla3[[#This Row],[Fare]]),Tabla3[[#This Row],[Fare]],VALUE(SUBSTITUTE(Tabla3[[#This Row],[Fare]],".",",")))</f>
        <v>7125</v>
      </c>
      <c r="D435" s="1">
        <v>7125</v>
      </c>
    </row>
    <row r="436" spans="1:4" x14ac:dyDescent="0.25">
      <c r="A436" s="13">
        <f>IF(Tabla3[[#This Row],[Fare correción 2]]&gt;=1000,Tabla3[[#This Row],[Fare correción 2]]/10,Tabla3[[#This Row],[Fare correción 2]])</f>
        <v>55.9</v>
      </c>
      <c r="B436">
        <f>IF(Tabla3[[#This Row],[Fare corrección]]&gt;1000,Tabla3[[#This Row],[Fare corrección]]/1000,Tabla3[[#This Row],[Fare corrección]])</f>
        <v>55.9</v>
      </c>
      <c r="C436">
        <f>IF(ISNUMBER(Tabla3[[#This Row],[Fare]]),Tabla3[[#This Row],[Fare]],VALUE(SUBSTITUTE(Tabla3[[#This Row],[Fare]],".",",")))</f>
        <v>55.9</v>
      </c>
      <c r="D436" t="s">
        <v>1588</v>
      </c>
    </row>
    <row r="437" spans="1:4" x14ac:dyDescent="0.25">
      <c r="A437" s="13">
        <f>IF(Tabla3[[#This Row],[Fare correción 2]]&gt;=1000,Tabla3[[#This Row],[Fare correción 2]]/10,Tabla3[[#This Row],[Fare correción 2]])</f>
        <v>120</v>
      </c>
      <c r="B437">
        <f>IF(Tabla3[[#This Row],[Fare corrección]]&gt;1000,Tabla3[[#This Row],[Fare corrección]]/1000,Tabla3[[#This Row],[Fare corrección]])</f>
        <v>120</v>
      </c>
      <c r="C437">
        <f>IF(ISNUMBER(Tabla3[[#This Row],[Fare]]),Tabla3[[#This Row],[Fare]],VALUE(SUBSTITUTE(Tabla3[[#This Row],[Fare]],".",",")))</f>
        <v>120</v>
      </c>
      <c r="D437">
        <v>120</v>
      </c>
    </row>
    <row r="438" spans="1:4" x14ac:dyDescent="0.25">
      <c r="A438" s="13">
        <f>IF(Tabla3[[#This Row],[Fare correción 2]]&gt;=1000,Tabla3[[#This Row],[Fare correción 2]]/10,Tabla3[[#This Row],[Fare correción 2]])</f>
        <v>34.375</v>
      </c>
      <c r="B438">
        <f>IF(Tabla3[[#This Row],[Fare corrección]]&gt;1000,Tabla3[[#This Row],[Fare corrección]]/1000,Tabla3[[#This Row],[Fare corrección]])</f>
        <v>34.375</v>
      </c>
      <c r="C438" s="1">
        <f>IF(ISNUMBER(Tabla3[[#This Row],[Fare]]),Tabla3[[#This Row],[Fare]],VALUE(SUBSTITUTE(Tabla3[[#This Row],[Fare]],".",",")))</f>
        <v>34375</v>
      </c>
      <c r="D438" s="1">
        <v>34375</v>
      </c>
    </row>
    <row r="439" spans="1:4" x14ac:dyDescent="0.25">
      <c r="A439" s="13">
        <f>IF(Tabla3[[#This Row],[Fare correción 2]]&gt;=1000,Tabla3[[#This Row],[Fare correción 2]]/10,Tabla3[[#This Row],[Fare correción 2]])</f>
        <v>18.75</v>
      </c>
      <c r="B439">
        <f>IF(Tabla3[[#This Row],[Fare corrección]]&gt;1000,Tabla3[[#This Row],[Fare corrección]]/1000,Tabla3[[#This Row],[Fare corrección]])</f>
        <v>18.75</v>
      </c>
      <c r="C439">
        <f>IF(ISNUMBER(Tabla3[[#This Row],[Fare]]),Tabla3[[#This Row],[Fare]],VALUE(SUBSTITUTE(Tabla3[[#This Row],[Fare]],".",",")))</f>
        <v>18.75</v>
      </c>
      <c r="D439" t="s">
        <v>1552</v>
      </c>
    </row>
    <row r="440" spans="1:4" x14ac:dyDescent="0.25">
      <c r="A440" s="13">
        <f>IF(Tabla3[[#This Row],[Fare correción 2]]&gt;=1000,Tabla3[[#This Row],[Fare correción 2]]/10,Tabla3[[#This Row],[Fare correción 2]])</f>
        <v>263</v>
      </c>
      <c r="B440">
        <f>IF(Tabla3[[#This Row],[Fare corrección]]&gt;1000,Tabla3[[#This Row],[Fare corrección]]/1000,Tabla3[[#This Row],[Fare corrección]])</f>
        <v>263</v>
      </c>
      <c r="C440">
        <f>IF(ISNUMBER(Tabla3[[#This Row],[Fare]]),Tabla3[[#This Row],[Fare]],VALUE(SUBSTITUTE(Tabla3[[#This Row],[Fare]],".",",")))</f>
        <v>263</v>
      </c>
      <c r="D440">
        <v>263</v>
      </c>
    </row>
    <row r="441" spans="1:4" x14ac:dyDescent="0.25">
      <c r="A441" s="13">
        <f>IF(Tabla3[[#This Row],[Fare correción 2]]&gt;=1000,Tabla3[[#This Row],[Fare correción 2]]/10,Tabla3[[#This Row],[Fare correción 2]])</f>
        <v>10.5</v>
      </c>
      <c r="B441">
        <f>IF(Tabla3[[#This Row],[Fare corrección]]&gt;1000,Tabla3[[#This Row],[Fare corrección]]/1000,Tabla3[[#This Row],[Fare corrección]])</f>
        <v>10.5</v>
      </c>
      <c r="C441">
        <f>IF(ISNUMBER(Tabla3[[#This Row],[Fare]]),Tabla3[[#This Row],[Fare]],VALUE(SUBSTITUTE(Tabla3[[#This Row],[Fare]],".",",")))</f>
        <v>10.5</v>
      </c>
      <c r="D441" t="s">
        <v>964</v>
      </c>
    </row>
    <row r="442" spans="1:4" x14ac:dyDescent="0.25">
      <c r="A442" s="13">
        <f>IF(Tabla3[[#This Row],[Fare correción 2]]&gt;=1000,Tabla3[[#This Row],[Fare correción 2]]/10,Tabla3[[#This Row],[Fare correción 2]])</f>
        <v>26.25</v>
      </c>
      <c r="B442">
        <f>IF(Tabla3[[#This Row],[Fare corrección]]&gt;1000,Tabla3[[#This Row],[Fare corrección]]/1000,Tabla3[[#This Row],[Fare corrección]])</f>
        <v>26.25</v>
      </c>
      <c r="C442">
        <f>IF(ISNUMBER(Tabla3[[#This Row],[Fare]]),Tabla3[[#This Row],[Fare]],VALUE(SUBSTITUTE(Tabla3[[#This Row],[Fare]],".",",")))</f>
        <v>26.25</v>
      </c>
      <c r="D442" t="s">
        <v>1295</v>
      </c>
    </row>
    <row r="443" spans="1:4" x14ac:dyDescent="0.25">
      <c r="A443" s="13">
        <f>IF(Tabla3[[#This Row],[Fare correción 2]]&gt;=1000,Tabla3[[#This Row],[Fare correción 2]]/10,Tabla3[[#This Row],[Fare correción 2]])</f>
        <v>9.5</v>
      </c>
      <c r="B443">
        <f>IF(Tabla3[[#This Row],[Fare corrección]]&gt;1000,Tabla3[[#This Row],[Fare corrección]]/1000,Tabla3[[#This Row],[Fare corrección]])</f>
        <v>9.5</v>
      </c>
      <c r="C443">
        <f>IF(ISNUMBER(Tabla3[[#This Row],[Fare]]),Tabla3[[#This Row],[Fare]],VALUE(SUBSTITUTE(Tabla3[[#This Row],[Fare]],".",",")))</f>
        <v>9.5</v>
      </c>
      <c r="D443" t="s">
        <v>1044</v>
      </c>
    </row>
    <row r="444" spans="1:4" x14ac:dyDescent="0.25">
      <c r="A444" s="13">
        <f>IF(Tabla3[[#This Row],[Fare correción 2]]&gt;=1000,Tabla3[[#This Row],[Fare correción 2]]/10,Tabla3[[#This Row],[Fare correción 2]])</f>
        <v>7.7750000000000004</v>
      </c>
      <c r="B444">
        <f>IF(Tabla3[[#This Row],[Fare corrección]]&gt;1000,Tabla3[[#This Row],[Fare corrección]]/1000,Tabla3[[#This Row],[Fare corrección]])</f>
        <v>7.7750000000000004</v>
      </c>
      <c r="C444" s="1">
        <f>IF(ISNUMBER(Tabla3[[#This Row],[Fare]]),Tabla3[[#This Row],[Fare]],VALUE(SUBSTITUTE(Tabla3[[#This Row],[Fare]],".",",")))</f>
        <v>7775</v>
      </c>
      <c r="D444" s="1">
        <v>7775</v>
      </c>
    </row>
    <row r="445" spans="1:4" x14ac:dyDescent="0.25">
      <c r="A445" s="13">
        <f>IF(Tabla3[[#This Row],[Fare correción 2]]&gt;=1000,Tabla3[[#This Row],[Fare correción 2]]/10,Tabla3[[#This Row],[Fare correción 2]])</f>
        <v>13</v>
      </c>
      <c r="B445">
        <f>IF(Tabla3[[#This Row],[Fare corrección]]&gt;1000,Tabla3[[#This Row],[Fare corrección]]/1000,Tabla3[[#This Row],[Fare corrección]])</f>
        <v>13</v>
      </c>
      <c r="C445">
        <f>IF(ISNUMBER(Tabla3[[#This Row],[Fare]]),Tabla3[[#This Row],[Fare]],VALUE(SUBSTITUTE(Tabla3[[#This Row],[Fare]],".",",")))</f>
        <v>13</v>
      </c>
      <c r="D445">
        <v>13</v>
      </c>
    </row>
    <row r="446" spans="1:4" x14ac:dyDescent="0.25">
      <c r="A446" s="13">
        <f>IF(Tabla3[[#This Row],[Fare correción 2]]&gt;=1000,Tabla3[[#This Row],[Fare correción 2]]/10,Tabla3[[#This Row],[Fare correción 2]])</f>
        <v>81.125</v>
      </c>
      <c r="B446">
        <f>IF(Tabla3[[#This Row],[Fare corrección]]&gt;1000,Tabla3[[#This Row],[Fare corrección]]/1000,Tabla3[[#This Row],[Fare corrección]])</f>
        <v>81.125</v>
      </c>
      <c r="C446" s="1">
        <f>IF(ISNUMBER(Tabla3[[#This Row],[Fare]]),Tabla3[[#This Row],[Fare]],VALUE(SUBSTITUTE(Tabla3[[#This Row],[Fare]],".",",")))</f>
        <v>81125</v>
      </c>
      <c r="D446" s="1">
        <v>81125</v>
      </c>
    </row>
    <row r="447" spans="1:4" x14ac:dyDescent="0.25">
      <c r="A447" s="13">
        <f>IF(Tabla3[[#This Row],[Fare correción 2]]&gt;=1000,Tabla3[[#This Row],[Fare correción 2]]/10,Tabla3[[#This Row],[Fare correción 2]])</f>
        <v>818.58299999999997</v>
      </c>
      <c r="B447">
        <f>IF(Tabla3[[#This Row],[Fare corrección]]&gt;1000,Tabla3[[#This Row],[Fare corrección]]/1000,Tabla3[[#This Row],[Fare corrección]])</f>
        <v>818.58299999999997</v>
      </c>
      <c r="C447" s="1">
        <f>IF(ISNUMBER(Tabla3[[#This Row],[Fare]]),Tabla3[[#This Row],[Fare]],VALUE(SUBSTITUTE(Tabla3[[#This Row],[Fare]],".",",")))</f>
        <v>818583</v>
      </c>
      <c r="D447" s="1">
        <v>818583</v>
      </c>
    </row>
    <row r="448" spans="1:4" x14ac:dyDescent="0.25">
      <c r="A448" s="13">
        <f>IF(Tabla3[[#This Row],[Fare correción 2]]&gt;=1000,Tabla3[[#This Row],[Fare correción 2]]/10,Tabla3[[#This Row],[Fare correción 2]])</f>
        <v>19.5</v>
      </c>
      <c r="B448">
        <f>IF(Tabla3[[#This Row],[Fare corrección]]&gt;1000,Tabla3[[#This Row],[Fare corrección]]/1000,Tabla3[[#This Row],[Fare corrección]])</f>
        <v>19.5</v>
      </c>
      <c r="C448">
        <f>IF(ISNUMBER(Tabla3[[#This Row],[Fare]]),Tabla3[[#This Row],[Fare]],VALUE(SUBSTITUTE(Tabla3[[#This Row],[Fare]],".",",")))</f>
        <v>19.5</v>
      </c>
      <c r="D448" t="s">
        <v>1350</v>
      </c>
    </row>
    <row r="449" spans="1:4" x14ac:dyDescent="0.25">
      <c r="A449" s="13">
        <f>IF(Tabla3[[#This Row],[Fare correción 2]]&gt;=1000,Tabla3[[#This Row],[Fare correción 2]]/10,Tabla3[[#This Row],[Fare correción 2]])</f>
        <v>26.55</v>
      </c>
      <c r="B449">
        <f>IF(Tabla3[[#This Row],[Fare corrección]]&gt;1000,Tabla3[[#This Row],[Fare corrección]]/1000,Tabla3[[#This Row],[Fare corrección]])</f>
        <v>26.55</v>
      </c>
      <c r="C449">
        <f>IF(ISNUMBER(Tabla3[[#This Row],[Fare]]),Tabla3[[#This Row],[Fare]],VALUE(SUBSTITUTE(Tabla3[[#This Row],[Fare]],".",",")))</f>
        <v>26.55</v>
      </c>
      <c r="D449" t="s">
        <v>930</v>
      </c>
    </row>
    <row r="450" spans="1:4" x14ac:dyDescent="0.25">
      <c r="A450" s="13">
        <f>IF(Tabla3[[#This Row],[Fare correción 2]]&gt;=1000,Tabla3[[#This Row],[Fare correción 2]]/10,Tabla3[[#This Row],[Fare correción 2]])</f>
        <v>192.583</v>
      </c>
      <c r="B450">
        <f>IF(Tabla3[[#This Row],[Fare corrección]]&gt;1000,Tabla3[[#This Row],[Fare corrección]]/1000,Tabla3[[#This Row],[Fare corrección]])</f>
        <v>192.583</v>
      </c>
      <c r="C450" s="1">
        <f>IF(ISNUMBER(Tabla3[[#This Row],[Fare]]),Tabla3[[#This Row],[Fare]],VALUE(SUBSTITUTE(Tabla3[[#This Row],[Fare]],".",",")))</f>
        <v>192583</v>
      </c>
      <c r="D450" s="1">
        <v>192583</v>
      </c>
    </row>
    <row r="451" spans="1:4" x14ac:dyDescent="0.25">
      <c r="A451" s="13">
        <f>IF(Tabla3[[#This Row],[Fare correción 2]]&gt;=1000,Tabla3[[#This Row],[Fare correción 2]]/10,Tabla3[[#This Row],[Fare correción 2]])</f>
        <v>30.5</v>
      </c>
      <c r="B451">
        <f>IF(Tabla3[[#This Row],[Fare corrección]]&gt;1000,Tabla3[[#This Row],[Fare corrección]]/1000,Tabla3[[#This Row],[Fare corrección]])</f>
        <v>30.5</v>
      </c>
      <c r="C451">
        <f>IF(ISNUMBER(Tabla3[[#This Row],[Fare]]),Tabla3[[#This Row],[Fare]],VALUE(SUBSTITUTE(Tabla3[[#This Row],[Fare]],".",",")))</f>
        <v>30.5</v>
      </c>
      <c r="D451" t="s">
        <v>1394</v>
      </c>
    </row>
    <row r="452" spans="1:4" x14ac:dyDescent="0.25">
      <c r="A452" s="13">
        <f>IF(Tabla3[[#This Row],[Fare correción 2]]&gt;=1000,Tabla3[[#This Row],[Fare correción 2]]/10,Tabla3[[#This Row],[Fare correción 2]])</f>
        <v>27.75</v>
      </c>
      <c r="B452">
        <f>IF(Tabla3[[#This Row],[Fare corrección]]&gt;1000,Tabla3[[#This Row],[Fare corrección]]/1000,Tabla3[[#This Row],[Fare corrección]])</f>
        <v>27.75</v>
      </c>
      <c r="C452">
        <f>IF(ISNUMBER(Tabla3[[#This Row],[Fare]]),Tabla3[[#This Row],[Fare]],VALUE(SUBSTITUTE(Tabla3[[#This Row],[Fare]],".",",")))</f>
        <v>27.75</v>
      </c>
      <c r="D452" t="s">
        <v>1005</v>
      </c>
    </row>
    <row r="453" spans="1:4" x14ac:dyDescent="0.25">
      <c r="A453" s="13">
        <f>IF(Tabla3[[#This Row],[Fare correción 2]]&gt;=1000,Tabla3[[#This Row],[Fare correción 2]]/10,Tabla3[[#This Row],[Fare correción 2]])</f>
        <v>199.667</v>
      </c>
      <c r="B453">
        <f>IF(Tabla3[[#This Row],[Fare corrección]]&gt;1000,Tabla3[[#This Row],[Fare corrección]]/1000,Tabla3[[#This Row],[Fare corrección]])</f>
        <v>199.667</v>
      </c>
      <c r="C453" s="1">
        <f>IF(ISNUMBER(Tabla3[[#This Row],[Fare]]),Tabla3[[#This Row],[Fare]],VALUE(SUBSTITUTE(Tabla3[[#This Row],[Fare]],".",",")))</f>
        <v>199667</v>
      </c>
      <c r="D453" s="1">
        <v>199667</v>
      </c>
    </row>
    <row r="454" spans="1:4" x14ac:dyDescent="0.25">
      <c r="A454" s="13">
        <f>IF(Tabla3[[#This Row],[Fare correción 2]]&gt;=1000,Tabla3[[#This Row],[Fare correción 2]]/10,Tabla3[[#This Row],[Fare correción 2]])</f>
        <v>27.75</v>
      </c>
      <c r="B454">
        <f>IF(Tabla3[[#This Row],[Fare corrección]]&gt;1000,Tabla3[[#This Row],[Fare corrección]]/1000,Tabla3[[#This Row],[Fare corrección]])</f>
        <v>27.75</v>
      </c>
      <c r="C454">
        <f>IF(ISNUMBER(Tabla3[[#This Row],[Fare]]),Tabla3[[#This Row],[Fare]],VALUE(SUBSTITUTE(Tabla3[[#This Row],[Fare]],".",",")))</f>
        <v>27.75</v>
      </c>
      <c r="D454" t="s">
        <v>1005</v>
      </c>
    </row>
    <row r="455" spans="1:4" x14ac:dyDescent="0.25">
      <c r="A455" s="13">
        <f>IF(Tabla3[[#This Row],[Fare correción 2]]&gt;=1000,Tabla3[[#This Row],[Fare correción 2]]/10,Tabla3[[#This Row],[Fare correción 2]])</f>
        <v>891.04200000000003</v>
      </c>
      <c r="B455">
        <f>IF(Tabla3[[#This Row],[Fare corrección]]&gt;1000,Tabla3[[#This Row],[Fare corrección]]/1000,Tabla3[[#This Row],[Fare corrección]])</f>
        <v>891.04200000000003</v>
      </c>
      <c r="C455" s="1">
        <f>IF(ISNUMBER(Tabla3[[#This Row],[Fare]]),Tabla3[[#This Row],[Fare]],VALUE(SUBSTITUTE(Tabla3[[#This Row],[Fare]],".",",")))</f>
        <v>891042</v>
      </c>
      <c r="D455" s="1">
        <v>891042</v>
      </c>
    </row>
    <row r="456" spans="1:4" x14ac:dyDescent="0.25">
      <c r="A456" s="13">
        <f>IF(Tabla3[[#This Row],[Fare correción 2]]&gt;=1000,Tabla3[[#This Row],[Fare correción 2]]/10,Tabla3[[#This Row],[Fare correción 2]])</f>
        <v>8.0500000000000007</v>
      </c>
      <c r="B456">
        <f>IF(Tabla3[[#This Row],[Fare corrección]]&gt;1000,Tabla3[[#This Row],[Fare corrección]]/1000,Tabla3[[#This Row],[Fare corrección]])</f>
        <v>8.0500000000000007</v>
      </c>
      <c r="C456">
        <f>IF(ISNUMBER(Tabla3[[#This Row],[Fare]]),Tabla3[[#This Row],[Fare]],VALUE(SUBSTITUTE(Tabla3[[#This Row],[Fare]],".",",")))</f>
        <v>8.0500000000000007</v>
      </c>
      <c r="D456" t="s">
        <v>917</v>
      </c>
    </row>
    <row r="457" spans="1:4" x14ac:dyDescent="0.25">
      <c r="A457" s="13">
        <f>IF(Tabla3[[#This Row],[Fare correción 2]]&gt;=1000,Tabla3[[#This Row],[Fare correción 2]]/10,Tabla3[[#This Row],[Fare correción 2]])</f>
        <v>78.957999999999998</v>
      </c>
      <c r="B457">
        <f>IF(Tabla3[[#This Row],[Fare corrección]]&gt;1000,Tabla3[[#This Row],[Fare corrección]]/1000,Tabla3[[#This Row],[Fare corrección]])</f>
        <v>78.957999999999998</v>
      </c>
      <c r="C457" s="1">
        <f>IF(ISNUMBER(Tabla3[[#This Row],[Fare]]),Tabla3[[#This Row],[Fare]],VALUE(SUBSTITUTE(Tabla3[[#This Row],[Fare]],".",",")))</f>
        <v>78958</v>
      </c>
      <c r="D457" s="1">
        <v>78958</v>
      </c>
    </row>
    <row r="458" spans="1:4" x14ac:dyDescent="0.25">
      <c r="A458" s="13">
        <f>IF(Tabla3[[#This Row],[Fare correción 2]]&gt;=1000,Tabla3[[#This Row],[Fare correción 2]]/10,Tabla3[[#This Row],[Fare correción 2]])</f>
        <v>26.55</v>
      </c>
      <c r="B458">
        <f>IF(Tabla3[[#This Row],[Fare corrección]]&gt;1000,Tabla3[[#This Row],[Fare corrección]]/1000,Tabla3[[#This Row],[Fare corrección]])</f>
        <v>26.55</v>
      </c>
      <c r="C458">
        <f>IF(ISNUMBER(Tabla3[[#This Row],[Fare]]),Tabla3[[#This Row],[Fare]],VALUE(SUBSTITUTE(Tabla3[[#This Row],[Fare]],".",",")))</f>
        <v>26.55</v>
      </c>
      <c r="D458" t="s">
        <v>930</v>
      </c>
    </row>
    <row r="459" spans="1:4" x14ac:dyDescent="0.25">
      <c r="A459" s="13">
        <f>IF(Tabla3[[#This Row],[Fare correción 2]]&gt;=1000,Tabla3[[#This Row],[Fare correción 2]]/10,Tabla3[[#This Row],[Fare correción 2]])</f>
        <v>518.625</v>
      </c>
      <c r="B459">
        <f>IF(Tabla3[[#This Row],[Fare corrección]]&gt;1000,Tabla3[[#This Row],[Fare corrección]]/1000,Tabla3[[#This Row],[Fare corrección]])</f>
        <v>518.625</v>
      </c>
      <c r="C459" s="1">
        <f>IF(ISNUMBER(Tabla3[[#This Row],[Fare]]),Tabla3[[#This Row],[Fare]],VALUE(SUBSTITUTE(Tabla3[[#This Row],[Fare]],".",",")))</f>
        <v>518625</v>
      </c>
      <c r="D459" s="1">
        <v>518625</v>
      </c>
    </row>
    <row r="460" spans="1:4" x14ac:dyDescent="0.25">
      <c r="A460" s="13">
        <f>IF(Tabla3[[#This Row],[Fare correción 2]]&gt;=1000,Tabla3[[#This Row],[Fare correción 2]]/10,Tabla3[[#This Row],[Fare correción 2]])</f>
        <v>10.5</v>
      </c>
      <c r="B460">
        <f>IF(Tabla3[[#This Row],[Fare corrección]]&gt;1000,Tabla3[[#This Row],[Fare corrección]]/1000,Tabla3[[#This Row],[Fare corrección]])</f>
        <v>10.5</v>
      </c>
      <c r="C460">
        <f>IF(ISNUMBER(Tabla3[[#This Row],[Fare]]),Tabla3[[#This Row],[Fare]],VALUE(SUBSTITUTE(Tabla3[[#This Row],[Fare]],".",",")))</f>
        <v>10.5</v>
      </c>
      <c r="D460" t="s">
        <v>964</v>
      </c>
    </row>
    <row r="461" spans="1:4" x14ac:dyDescent="0.25">
      <c r="A461" s="13">
        <f>IF(Tabla3[[#This Row],[Fare correción 2]]&gt;=1000,Tabla3[[#This Row],[Fare correción 2]]/10,Tabla3[[#This Row],[Fare correción 2]])</f>
        <v>7.75</v>
      </c>
      <c r="B461">
        <f>IF(Tabla3[[#This Row],[Fare corrección]]&gt;1000,Tabla3[[#This Row],[Fare corrección]]/1000,Tabla3[[#This Row],[Fare corrección]])</f>
        <v>7.75</v>
      </c>
      <c r="C461">
        <f>IF(ISNUMBER(Tabla3[[#This Row],[Fare]]),Tabla3[[#This Row],[Fare]],VALUE(SUBSTITUTE(Tabla3[[#This Row],[Fare]],".",",")))</f>
        <v>7.75</v>
      </c>
      <c r="D461" t="s">
        <v>961</v>
      </c>
    </row>
    <row r="462" spans="1:4" x14ac:dyDescent="0.25">
      <c r="A462" s="13">
        <f>IF(Tabla3[[#This Row],[Fare correción 2]]&gt;=1000,Tabla3[[#This Row],[Fare correción 2]]/10,Tabla3[[#This Row],[Fare correción 2]])</f>
        <v>26.55</v>
      </c>
      <c r="B462">
        <f>IF(Tabla3[[#This Row],[Fare corrección]]&gt;1000,Tabla3[[#This Row],[Fare corrección]]/1000,Tabla3[[#This Row],[Fare corrección]])</f>
        <v>26.55</v>
      </c>
      <c r="C462">
        <f>IF(ISNUMBER(Tabla3[[#This Row],[Fare]]),Tabla3[[#This Row],[Fare]],VALUE(SUBSTITUTE(Tabla3[[#This Row],[Fare]],".",",")))</f>
        <v>26.55</v>
      </c>
      <c r="D462" t="s">
        <v>930</v>
      </c>
    </row>
    <row r="463" spans="1:4" x14ac:dyDescent="0.25">
      <c r="A463" s="13">
        <f>IF(Tabla3[[#This Row],[Fare correción 2]]&gt;=1000,Tabla3[[#This Row],[Fare correción 2]]/10,Tabla3[[#This Row],[Fare correción 2]])</f>
        <v>8.0500000000000007</v>
      </c>
      <c r="B463">
        <f>IF(Tabla3[[#This Row],[Fare corrección]]&gt;1000,Tabla3[[#This Row],[Fare corrección]]/1000,Tabla3[[#This Row],[Fare corrección]])</f>
        <v>8.0500000000000007</v>
      </c>
      <c r="C463">
        <f>IF(ISNUMBER(Tabla3[[#This Row],[Fare]]),Tabla3[[#This Row],[Fare]],VALUE(SUBSTITUTE(Tabla3[[#This Row],[Fare]],".",",")))</f>
        <v>8.0500000000000007</v>
      </c>
      <c r="D463" t="s">
        <v>917</v>
      </c>
    </row>
    <row r="464" spans="1:4" x14ac:dyDescent="0.25">
      <c r="A464" s="13">
        <f>IF(Tabla3[[#This Row],[Fare correción 2]]&gt;=1000,Tabla3[[#This Row],[Fare correción 2]]/10,Tabla3[[#This Row],[Fare correción 2]])</f>
        <v>38.5</v>
      </c>
      <c r="B464">
        <f>IF(Tabla3[[#This Row],[Fare corrección]]&gt;1000,Tabla3[[#This Row],[Fare corrección]]/1000,Tabla3[[#This Row],[Fare corrección]])</f>
        <v>38.5</v>
      </c>
      <c r="C464">
        <f>IF(ISNUMBER(Tabla3[[#This Row],[Fare]]),Tabla3[[#This Row],[Fare]],VALUE(SUBSTITUTE(Tabla3[[#This Row],[Fare]],".",",")))</f>
        <v>38.5</v>
      </c>
      <c r="D464" t="s">
        <v>1628</v>
      </c>
    </row>
    <row r="465" spans="1:4" x14ac:dyDescent="0.25">
      <c r="A465" s="13">
        <f>IF(Tabla3[[#This Row],[Fare correción 2]]&gt;=1000,Tabla3[[#This Row],[Fare correción 2]]/10,Tabla3[[#This Row],[Fare correción 2]])</f>
        <v>13</v>
      </c>
      <c r="B465">
        <f>IF(Tabla3[[#This Row],[Fare corrección]]&gt;1000,Tabla3[[#This Row],[Fare corrección]]/1000,Tabla3[[#This Row],[Fare corrección]])</f>
        <v>13</v>
      </c>
      <c r="C465">
        <f>IF(ISNUMBER(Tabla3[[#This Row],[Fare]]),Tabla3[[#This Row],[Fare]],VALUE(SUBSTITUTE(Tabla3[[#This Row],[Fare]],".",",")))</f>
        <v>13</v>
      </c>
      <c r="D465">
        <v>13</v>
      </c>
    </row>
    <row r="466" spans="1:4" x14ac:dyDescent="0.25">
      <c r="A466" s="13">
        <f>IF(Tabla3[[#This Row],[Fare correción 2]]&gt;=1000,Tabla3[[#This Row],[Fare correción 2]]/10,Tabla3[[#This Row],[Fare correción 2]])</f>
        <v>8.0500000000000007</v>
      </c>
      <c r="B466">
        <f>IF(Tabla3[[#This Row],[Fare corrección]]&gt;1000,Tabla3[[#This Row],[Fare corrección]]/1000,Tabla3[[#This Row],[Fare corrección]])</f>
        <v>8.0500000000000007</v>
      </c>
      <c r="C466">
        <f>IF(ISNUMBER(Tabla3[[#This Row],[Fare]]),Tabla3[[#This Row],[Fare]],VALUE(SUBSTITUTE(Tabla3[[#This Row],[Fare]],".",",")))</f>
        <v>8.0500000000000007</v>
      </c>
      <c r="D466" t="s">
        <v>917</v>
      </c>
    </row>
    <row r="467" spans="1:4" x14ac:dyDescent="0.25">
      <c r="A467" s="13">
        <f>IF(Tabla3[[#This Row],[Fare correción 2]]&gt;=1000,Tabla3[[#This Row],[Fare correción 2]]/10,Tabla3[[#This Row],[Fare correción 2]])</f>
        <v>7.05</v>
      </c>
      <c r="B467">
        <f>IF(Tabla3[[#This Row],[Fare corrección]]&gt;1000,Tabla3[[#This Row],[Fare corrección]]/1000,Tabla3[[#This Row],[Fare corrección]])</f>
        <v>7.05</v>
      </c>
      <c r="C467">
        <f>IF(ISNUMBER(Tabla3[[#This Row],[Fare]]),Tabla3[[#This Row],[Fare]],VALUE(SUBSTITUTE(Tabla3[[#This Row],[Fare]],".",",")))</f>
        <v>7.05</v>
      </c>
      <c r="D467" t="s">
        <v>1121</v>
      </c>
    </row>
    <row r="468" spans="1:4" x14ac:dyDescent="0.25">
      <c r="A468" s="13">
        <f>IF(Tabla3[[#This Row],[Fare correción 2]]&gt;=1000,Tabla3[[#This Row],[Fare correción 2]]/10,Tabla3[[#This Row],[Fare correción 2]])</f>
        <v>0</v>
      </c>
      <c r="B468">
        <f>IF(Tabla3[[#This Row],[Fare corrección]]&gt;1000,Tabla3[[#This Row],[Fare corrección]]/1000,Tabla3[[#This Row],[Fare corrección]])</f>
        <v>0</v>
      </c>
      <c r="C468">
        <f>IF(ISNUMBER(Tabla3[[#This Row],[Fare]]),Tabla3[[#This Row],[Fare]],VALUE(SUBSTITUTE(Tabla3[[#This Row],[Fare]],".",",")))</f>
        <v>0</v>
      </c>
      <c r="D468">
        <v>0</v>
      </c>
    </row>
    <row r="469" spans="1:4" x14ac:dyDescent="0.25">
      <c r="A469" s="13">
        <f>IF(Tabla3[[#This Row],[Fare correción 2]]&gt;=1000,Tabla3[[#This Row],[Fare correción 2]]/10,Tabla3[[#This Row],[Fare correción 2]])</f>
        <v>26.55</v>
      </c>
      <c r="B469">
        <f>IF(Tabla3[[#This Row],[Fare corrección]]&gt;1000,Tabla3[[#This Row],[Fare corrección]]/1000,Tabla3[[#This Row],[Fare corrección]])</f>
        <v>26.55</v>
      </c>
      <c r="C469">
        <f>IF(ISNUMBER(Tabla3[[#This Row],[Fare]]),Tabla3[[#This Row],[Fare]],VALUE(SUBSTITUTE(Tabla3[[#This Row],[Fare]],".",",")))</f>
        <v>26.55</v>
      </c>
      <c r="D469" t="s">
        <v>930</v>
      </c>
    </row>
    <row r="470" spans="1:4" x14ac:dyDescent="0.25">
      <c r="A470" s="13">
        <f>IF(Tabla3[[#This Row],[Fare correción 2]]&gt;=1000,Tabla3[[#This Row],[Fare correción 2]]/10,Tabla3[[#This Row],[Fare correción 2]])</f>
        <v>7.7249999999999996</v>
      </c>
      <c r="B470">
        <f>IF(Tabla3[[#This Row],[Fare corrección]]&gt;1000,Tabla3[[#This Row],[Fare corrección]]/1000,Tabla3[[#This Row],[Fare corrección]])</f>
        <v>7.7249999999999996</v>
      </c>
      <c r="C470" s="1">
        <f>IF(ISNUMBER(Tabla3[[#This Row],[Fare]]),Tabla3[[#This Row],[Fare]],VALUE(SUBSTITUTE(Tabla3[[#This Row],[Fare]],".",",")))</f>
        <v>7725</v>
      </c>
      <c r="D470" s="1">
        <v>7725</v>
      </c>
    </row>
    <row r="471" spans="1:4" x14ac:dyDescent="0.25">
      <c r="A471" s="13">
        <f>IF(Tabla3[[#This Row],[Fare correción 2]]&gt;=1000,Tabla3[[#This Row],[Fare correción 2]]/10,Tabla3[[#This Row],[Fare correción 2]])</f>
        <v>192.583</v>
      </c>
      <c r="B471">
        <f>IF(Tabla3[[#This Row],[Fare corrección]]&gt;1000,Tabla3[[#This Row],[Fare corrección]]/1000,Tabla3[[#This Row],[Fare corrección]])</f>
        <v>192.583</v>
      </c>
      <c r="C471" s="1">
        <f>IF(ISNUMBER(Tabla3[[#This Row],[Fare]]),Tabla3[[#This Row],[Fare]],VALUE(SUBSTITUTE(Tabla3[[#This Row],[Fare]],".",",")))</f>
        <v>192583</v>
      </c>
      <c r="D471" s="1">
        <v>192583</v>
      </c>
    </row>
    <row r="472" spans="1:4" x14ac:dyDescent="0.25">
      <c r="A472" s="13">
        <f>IF(Tabla3[[#This Row],[Fare correción 2]]&gt;=1000,Tabla3[[#This Row],[Fare correción 2]]/10,Tabla3[[#This Row],[Fare correción 2]])</f>
        <v>7.25</v>
      </c>
      <c r="B472">
        <f>IF(Tabla3[[#This Row],[Fare corrección]]&gt;1000,Tabla3[[#This Row],[Fare corrección]]/1000,Tabla3[[#This Row],[Fare corrección]])</f>
        <v>7.25</v>
      </c>
      <c r="C472">
        <f>IF(ISNUMBER(Tabla3[[#This Row],[Fare]]),Tabla3[[#This Row],[Fare]],VALUE(SUBSTITUTE(Tabla3[[#This Row],[Fare]],".",",")))</f>
        <v>7.25</v>
      </c>
      <c r="D472" t="s">
        <v>904</v>
      </c>
    </row>
    <row r="473" spans="1:4" x14ac:dyDescent="0.25">
      <c r="A473" s="13">
        <f>IF(Tabla3[[#This Row],[Fare correción 2]]&gt;=1000,Tabla3[[#This Row],[Fare correción 2]]/10,Tabla3[[#This Row],[Fare correción 2]])</f>
        <v>86.625</v>
      </c>
      <c r="B473">
        <f>IF(Tabla3[[#This Row],[Fare corrección]]&gt;1000,Tabla3[[#This Row],[Fare corrección]]/1000,Tabla3[[#This Row],[Fare corrección]])</f>
        <v>86.625</v>
      </c>
      <c r="C473" s="1">
        <f>IF(ISNUMBER(Tabla3[[#This Row],[Fare]]),Tabla3[[#This Row],[Fare]],VALUE(SUBSTITUTE(Tabla3[[#This Row],[Fare]],".",",")))</f>
        <v>86625</v>
      </c>
      <c r="D473" s="1">
        <v>86625</v>
      </c>
    </row>
    <row r="474" spans="1:4" x14ac:dyDescent="0.25">
      <c r="A474" s="13">
        <f>IF(Tabla3[[#This Row],[Fare correción 2]]&gt;=1000,Tabla3[[#This Row],[Fare correción 2]]/10,Tabla3[[#This Row],[Fare correción 2]])</f>
        <v>27.75</v>
      </c>
      <c r="B474">
        <f>IF(Tabla3[[#This Row],[Fare corrección]]&gt;1000,Tabla3[[#This Row],[Fare corrección]]/1000,Tabla3[[#This Row],[Fare corrección]])</f>
        <v>27.75</v>
      </c>
      <c r="C474">
        <f>IF(ISNUMBER(Tabla3[[#This Row],[Fare]]),Tabla3[[#This Row],[Fare]],VALUE(SUBSTITUTE(Tabla3[[#This Row],[Fare]],".",",")))</f>
        <v>27.75</v>
      </c>
      <c r="D474" t="s">
        <v>1005</v>
      </c>
    </row>
    <row r="475" spans="1:4" x14ac:dyDescent="0.25">
      <c r="A475" s="13">
        <f>IF(Tabla3[[#This Row],[Fare correción 2]]&gt;=1000,Tabla3[[#This Row],[Fare correción 2]]/10,Tabla3[[#This Row],[Fare correción 2]])</f>
        <v>137.917</v>
      </c>
      <c r="B475">
        <f>IF(Tabla3[[#This Row],[Fare corrección]]&gt;1000,Tabla3[[#This Row],[Fare corrección]]/1000,Tabla3[[#This Row],[Fare corrección]])</f>
        <v>137.917</v>
      </c>
      <c r="C475" s="1">
        <f>IF(ISNUMBER(Tabla3[[#This Row],[Fare]]),Tabla3[[#This Row],[Fare]],VALUE(SUBSTITUTE(Tabla3[[#This Row],[Fare]],".",",")))</f>
        <v>137917</v>
      </c>
      <c r="D475" s="1">
        <v>137917</v>
      </c>
    </row>
    <row r="476" spans="1:4" x14ac:dyDescent="0.25">
      <c r="A476" s="13">
        <f>IF(Tabla3[[#This Row],[Fare correción 2]]&gt;=1000,Tabla3[[#This Row],[Fare correción 2]]/10,Tabla3[[#This Row],[Fare correción 2]])</f>
        <v>98.375</v>
      </c>
      <c r="B476">
        <f>IF(Tabla3[[#This Row],[Fare corrección]]&gt;1000,Tabla3[[#This Row],[Fare corrección]]/1000,Tabla3[[#This Row],[Fare corrección]])</f>
        <v>98.375</v>
      </c>
      <c r="C476" s="1">
        <f>IF(ISNUMBER(Tabla3[[#This Row],[Fare]]),Tabla3[[#This Row],[Fare]],VALUE(SUBSTITUTE(Tabla3[[#This Row],[Fare]],".",",")))</f>
        <v>98375</v>
      </c>
      <c r="D476" s="1">
        <v>98375</v>
      </c>
    </row>
    <row r="477" spans="1:4" x14ac:dyDescent="0.25">
      <c r="A477" s="13">
        <f>IF(Tabla3[[#This Row],[Fare correción 2]]&gt;=1000,Tabla3[[#This Row],[Fare correción 2]]/10,Tabla3[[#This Row],[Fare correción 2]])</f>
        <v>52</v>
      </c>
      <c r="B477">
        <f>IF(Tabla3[[#This Row],[Fare corrección]]&gt;1000,Tabla3[[#This Row],[Fare corrección]]/1000,Tabla3[[#This Row],[Fare corrección]])</f>
        <v>52</v>
      </c>
      <c r="C477">
        <f>IF(ISNUMBER(Tabla3[[#This Row],[Fare]]),Tabla3[[#This Row],[Fare]],VALUE(SUBSTITUTE(Tabla3[[#This Row],[Fare]],".",",")))</f>
        <v>52</v>
      </c>
      <c r="D477">
        <v>52</v>
      </c>
    </row>
    <row r="478" spans="1:4" x14ac:dyDescent="0.25">
      <c r="A478" s="13">
        <f>IF(Tabla3[[#This Row],[Fare correción 2]]&gt;=1000,Tabla3[[#This Row],[Fare correción 2]]/10,Tabla3[[#This Row],[Fare correción 2]])</f>
        <v>21</v>
      </c>
      <c r="B478">
        <f>IF(Tabla3[[#This Row],[Fare corrección]]&gt;1000,Tabla3[[#This Row],[Fare corrección]]/1000,Tabla3[[#This Row],[Fare corrección]])</f>
        <v>21</v>
      </c>
      <c r="C478">
        <f>IF(ISNUMBER(Tabla3[[#This Row],[Fare]]),Tabla3[[#This Row],[Fare]],VALUE(SUBSTITUTE(Tabla3[[#This Row],[Fare]],".",",")))</f>
        <v>21</v>
      </c>
      <c r="D478">
        <v>21</v>
      </c>
    </row>
    <row r="479" spans="1:4" x14ac:dyDescent="0.25">
      <c r="A479" s="13">
        <f>IF(Tabla3[[#This Row],[Fare correción 2]]&gt;=1000,Tabla3[[#This Row],[Fare correción 2]]/10,Tabla3[[#This Row],[Fare correción 2]])</f>
        <v>70.457999999999998</v>
      </c>
      <c r="B479">
        <f>IF(Tabla3[[#This Row],[Fare corrección]]&gt;1000,Tabla3[[#This Row],[Fare corrección]]/1000,Tabla3[[#This Row],[Fare corrección]])</f>
        <v>70.457999999999998</v>
      </c>
      <c r="C479" s="1">
        <f>IF(ISNUMBER(Tabla3[[#This Row],[Fare]]),Tabla3[[#This Row],[Fare]],VALUE(SUBSTITUTE(Tabla3[[#This Row],[Fare]],".",",")))</f>
        <v>70458</v>
      </c>
      <c r="D479" s="1">
        <v>70458</v>
      </c>
    </row>
    <row r="480" spans="1:4" x14ac:dyDescent="0.25">
      <c r="A480" s="13">
        <f>IF(Tabla3[[#This Row],[Fare correción 2]]&gt;=1000,Tabla3[[#This Row],[Fare correción 2]]/10,Tabla3[[#This Row],[Fare correción 2]])</f>
        <v>75.207999999999998</v>
      </c>
      <c r="B480">
        <f>IF(Tabla3[[#This Row],[Fare corrección]]&gt;1000,Tabla3[[#This Row],[Fare corrección]]/1000,Tabla3[[#This Row],[Fare corrección]])</f>
        <v>75.207999999999998</v>
      </c>
      <c r="C480" s="1">
        <f>IF(ISNUMBER(Tabla3[[#This Row],[Fare]]),Tabla3[[#This Row],[Fare]],VALUE(SUBSTITUTE(Tabla3[[#This Row],[Fare]],".",",")))</f>
        <v>75208</v>
      </c>
      <c r="D480" s="1">
        <v>75208</v>
      </c>
    </row>
    <row r="481" spans="1:4" x14ac:dyDescent="0.25">
      <c r="A481" s="13">
        <f>IF(Tabla3[[#This Row],[Fare correción 2]]&gt;=1000,Tabla3[[#This Row],[Fare correción 2]]/10,Tabla3[[#This Row],[Fare correción 2]])</f>
        <v>122.875</v>
      </c>
      <c r="B481">
        <f>IF(Tabla3[[#This Row],[Fare corrección]]&gt;1000,Tabla3[[#This Row],[Fare corrección]]/1000,Tabla3[[#This Row],[Fare corrección]])</f>
        <v>122.875</v>
      </c>
      <c r="C481" s="1">
        <f>IF(ISNUMBER(Tabla3[[#This Row],[Fare]]),Tabla3[[#This Row],[Fare]],VALUE(SUBSTITUTE(Tabla3[[#This Row],[Fare]],".",",")))</f>
        <v>122875</v>
      </c>
      <c r="D481" s="1">
        <v>122875</v>
      </c>
    </row>
    <row r="482" spans="1:4" x14ac:dyDescent="0.25">
      <c r="A482" s="13">
        <f>IF(Tabla3[[#This Row],[Fare correción 2]]&gt;=1000,Tabla3[[#This Row],[Fare correción 2]]/10,Tabla3[[#This Row],[Fare correción 2]])</f>
        <v>46.9</v>
      </c>
      <c r="B482">
        <f>IF(Tabla3[[#This Row],[Fare corrección]]&gt;1000,Tabla3[[#This Row],[Fare corrección]]/1000,Tabla3[[#This Row],[Fare corrección]])</f>
        <v>46.9</v>
      </c>
      <c r="C482">
        <f>IF(ISNUMBER(Tabla3[[#This Row],[Fare]]),Tabla3[[#This Row],[Fare]],VALUE(SUBSTITUTE(Tabla3[[#This Row],[Fare]],".",",")))</f>
        <v>46.9</v>
      </c>
      <c r="D482" t="s">
        <v>1008</v>
      </c>
    </row>
    <row r="483" spans="1:4" x14ac:dyDescent="0.25">
      <c r="A483" s="13">
        <f>IF(Tabla3[[#This Row],[Fare correción 2]]&gt;=1000,Tabla3[[#This Row],[Fare correción 2]]/10,Tabla3[[#This Row],[Fare correción 2]])</f>
        <v>0</v>
      </c>
      <c r="B483">
        <f>IF(Tabla3[[#This Row],[Fare corrección]]&gt;1000,Tabla3[[#This Row],[Fare corrección]]/1000,Tabla3[[#This Row],[Fare corrección]])</f>
        <v>0</v>
      </c>
      <c r="C483">
        <f>IF(ISNUMBER(Tabla3[[#This Row],[Fare]]),Tabla3[[#This Row],[Fare]],VALUE(SUBSTITUTE(Tabla3[[#This Row],[Fare]],".",",")))</f>
        <v>0</v>
      </c>
      <c r="D483">
        <v>0</v>
      </c>
    </row>
    <row r="484" spans="1:4" x14ac:dyDescent="0.25">
      <c r="A484" s="13">
        <f>IF(Tabla3[[#This Row],[Fare correción 2]]&gt;=1000,Tabla3[[#This Row],[Fare correción 2]]/10,Tabla3[[#This Row],[Fare correción 2]])</f>
        <v>8.0500000000000007</v>
      </c>
      <c r="B484">
        <f>IF(Tabla3[[#This Row],[Fare corrección]]&gt;1000,Tabla3[[#This Row],[Fare corrección]]/1000,Tabla3[[#This Row],[Fare corrección]])</f>
        <v>8.0500000000000007</v>
      </c>
      <c r="C484">
        <f>IF(ISNUMBER(Tabla3[[#This Row],[Fare]]),Tabla3[[#This Row],[Fare]],VALUE(SUBSTITUTE(Tabla3[[#This Row],[Fare]],".",",")))</f>
        <v>8.0500000000000007</v>
      </c>
      <c r="D484" t="s">
        <v>917</v>
      </c>
    </row>
    <row r="485" spans="1:4" x14ac:dyDescent="0.25">
      <c r="A485" s="13">
        <f>IF(Tabla3[[#This Row],[Fare correción 2]]&gt;=1000,Tabla3[[#This Row],[Fare correción 2]]/10,Tabla3[[#This Row],[Fare correción 2]])</f>
        <v>95.875</v>
      </c>
      <c r="B485">
        <f>IF(Tabla3[[#This Row],[Fare corrección]]&gt;1000,Tabla3[[#This Row],[Fare corrección]]/1000,Tabla3[[#This Row],[Fare corrección]])</f>
        <v>95.875</v>
      </c>
      <c r="C485" s="1">
        <f>IF(ISNUMBER(Tabla3[[#This Row],[Fare]]),Tabla3[[#This Row],[Fare]],VALUE(SUBSTITUTE(Tabla3[[#This Row],[Fare]],".",",")))</f>
        <v>95875</v>
      </c>
      <c r="D485" s="1">
        <v>95875</v>
      </c>
    </row>
    <row r="486" spans="1:4" x14ac:dyDescent="0.25">
      <c r="A486" s="13">
        <f>IF(Tabla3[[#This Row],[Fare correción 2]]&gt;=1000,Tabla3[[#This Row],[Fare correción 2]]/10,Tabla3[[#This Row],[Fare correción 2]])</f>
        <v>910.79200000000003</v>
      </c>
      <c r="B486">
        <f>IF(Tabla3[[#This Row],[Fare corrección]]&gt;1000,Tabla3[[#This Row],[Fare corrección]]/1000,Tabla3[[#This Row],[Fare corrección]])</f>
        <v>910.79200000000003</v>
      </c>
      <c r="C486" s="1">
        <f>IF(ISNUMBER(Tabla3[[#This Row],[Fare]]),Tabla3[[#This Row],[Fare]],VALUE(SUBSTITUTE(Tabla3[[#This Row],[Fare]],".",",")))</f>
        <v>910792</v>
      </c>
      <c r="D486" s="1">
        <v>910792</v>
      </c>
    </row>
    <row r="487" spans="1:4" x14ac:dyDescent="0.25">
      <c r="A487" s="13">
        <f>IF(Tabla3[[#This Row],[Fare correción 2]]&gt;=1000,Tabla3[[#This Row],[Fare correción 2]]/10,Tabla3[[#This Row],[Fare correción 2]])</f>
        <v>254.667</v>
      </c>
      <c r="B487">
        <f>IF(Tabla3[[#This Row],[Fare corrección]]&gt;1000,Tabla3[[#This Row],[Fare corrección]]/1000,Tabla3[[#This Row],[Fare corrección]])</f>
        <v>254.667</v>
      </c>
      <c r="C487" s="1">
        <f>IF(ISNUMBER(Tabla3[[#This Row],[Fare]]),Tabla3[[#This Row],[Fare]],VALUE(SUBSTITUTE(Tabla3[[#This Row],[Fare]],".",",")))</f>
        <v>254667</v>
      </c>
      <c r="D487" s="1">
        <v>254667</v>
      </c>
    </row>
    <row r="488" spans="1:4" x14ac:dyDescent="0.25">
      <c r="A488" s="13">
        <f>IF(Tabla3[[#This Row],[Fare correción 2]]&gt;=1000,Tabla3[[#This Row],[Fare correción 2]]/10,Tabla3[[#This Row],[Fare correción 2]])</f>
        <v>90</v>
      </c>
      <c r="B488">
        <f>IF(Tabla3[[#This Row],[Fare corrección]]&gt;1000,Tabla3[[#This Row],[Fare corrección]]/1000,Tabla3[[#This Row],[Fare corrección]])</f>
        <v>90</v>
      </c>
      <c r="C488">
        <f>IF(ISNUMBER(Tabla3[[#This Row],[Fare]]),Tabla3[[#This Row],[Fare]],VALUE(SUBSTITUTE(Tabla3[[#This Row],[Fare]],".",",")))</f>
        <v>90</v>
      </c>
      <c r="D488">
        <v>90</v>
      </c>
    </row>
    <row r="489" spans="1:4" x14ac:dyDescent="0.25">
      <c r="A489" s="13">
        <f>IF(Tabla3[[#This Row],[Fare correción 2]]&gt;=1000,Tabla3[[#This Row],[Fare correción 2]]/10,Tabla3[[#This Row],[Fare correción 2]])</f>
        <v>29.7</v>
      </c>
      <c r="B489">
        <f>IF(Tabla3[[#This Row],[Fare corrección]]&gt;1000,Tabla3[[#This Row],[Fare corrección]]/1000,Tabla3[[#This Row],[Fare corrección]])</f>
        <v>29.7</v>
      </c>
      <c r="C489">
        <f>IF(ISNUMBER(Tabla3[[#This Row],[Fare]]),Tabla3[[#This Row],[Fare]],VALUE(SUBSTITUTE(Tabla3[[#This Row],[Fare]],".",",")))</f>
        <v>29.7</v>
      </c>
      <c r="D489" t="s">
        <v>1353</v>
      </c>
    </row>
    <row r="490" spans="1:4" x14ac:dyDescent="0.25">
      <c r="A490" s="13">
        <f>IF(Tabla3[[#This Row],[Fare correción 2]]&gt;=1000,Tabla3[[#This Row],[Fare correción 2]]/10,Tabla3[[#This Row],[Fare correción 2]])</f>
        <v>8.0500000000000007</v>
      </c>
      <c r="B490">
        <f>IF(Tabla3[[#This Row],[Fare corrección]]&gt;1000,Tabla3[[#This Row],[Fare corrección]]/1000,Tabla3[[#This Row],[Fare corrección]])</f>
        <v>8.0500000000000007</v>
      </c>
      <c r="C490">
        <f>IF(ISNUMBER(Tabla3[[#This Row],[Fare]]),Tabla3[[#This Row],[Fare]],VALUE(SUBSTITUTE(Tabla3[[#This Row],[Fare]],".",",")))</f>
        <v>8.0500000000000007</v>
      </c>
      <c r="D490" t="s">
        <v>917</v>
      </c>
    </row>
    <row r="491" spans="1:4" x14ac:dyDescent="0.25">
      <c r="A491" s="13">
        <f>IF(Tabla3[[#This Row],[Fare correción 2]]&gt;=1000,Tabla3[[#This Row],[Fare correción 2]]/10,Tabla3[[#This Row],[Fare correción 2]])</f>
        <v>15.9</v>
      </c>
      <c r="B491">
        <f>IF(Tabla3[[#This Row],[Fare corrección]]&gt;1000,Tabla3[[#This Row],[Fare corrección]]/1000,Tabla3[[#This Row],[Fare corrección]])</f>
        <v>15.9</v>
      </c>
      <c r="C491">
        <f>IF(ISNUMBER(Tabla3[[#This Row],[Fare]]),Tabla3[[#This Row],[Fare]],VALUE(SUBSTITUTE(Tabla3[[#This Row],[Fare]],".",",")))</f>
        <v>15.9</v>
      </c>
      <c r="D491" t="s">
        <v>1473</v>
      </c>
    </row>
    <row r="492" spans="1:4" x14ac:dyDescent="0.25">
      <c r="A492" s="13">
        <f>IF(Tabla3[[#This Row],[Fare correción 2]]&gt;=1000,Tabla3[[#This Row],[Fare correción 2]]/10,Tabla3[[#This Row],[Fare correción 2]])</f>
        <v>199.667</v>
      </c>
      <c r="B492">
        <f>IF(Tabla3[[#This Row],[Fare corrección]]&gt;1000,Tabla3[[#This Row],[Fare corrección]]/1000,Tabla3[[#This Row],[Fare corrección]])</f>
        <v>199.667</v>
      </c>
      <c r="C492" s="1">
        <f>IF(ISNUMBER(Tabla3[[#This Row],[Fare]]),Tabla3[[#This Row],[Fare]],VALUE(SUBSTITUTE(Tabla3[[#This Row],[Fare]],".",",")))</f>
        <v>199667</v>
      </c>
      <c r="D492" s="1">
        <v>199667</v>
      </c>
    </row>
    <row r="493" spans="1:4" x14ac:dyDescent="0.25">
      <c r="A493" s="13">
        <f>IF(Tabla3[[#This Row],[Fare correción 2]]&gt;=1000,Tabla3[[#This Row],[Fare correción 2]]/10,Tabla3[[#This Row],[Fare correción 2]])</f>
        <v>7.25</v>
      </c>
      <c r="B493">
        <f>IF(Tabla3[[#This Row],[Fare corrección]]&gt;1000,Tabla3[[#This Row],[Fare corrección]]/1000,Tabla3[[#This Row],[Fare corrección]])</f>
        <v>7.25</v>
      </c>
      <c r="C493">
        <f>IF(ISNUMBER(Tabla3[[#This Row],[Fare]]),Tabla3[[#This Row],[Fare]],VALUE(SUBSTITUTE(Tabla3[[#This Row],[Fare]],".",",")))</f>
        <v>7.25</v>
      </c>
      <c r="D493" t="s">
        <v>904</v>
      </c>
    </row>
    <row r="494" spans="1:4" x14ac:dyDescent="0.25">
      <c r="A494" s="13">
        <f>IF(Tabla3[[#This Row],[Fare correción 2]]&gt;=1000,Tabla3[[#This Row],[Fare correción 2]]/10,Tabla3[[#This Row],[Fare correción 2]])</f>
        <v>30.5</v>
      </c>
      <c r="B494">
        <f>IF(Tabla3[[#This Row],[Fare corrección]]&gt;1000,Tabla3[[#This Row],[Fare corrección]]/1000,Tabla3[[#This Row],[Fare corrección]])</f>
        <v>30.5</v>
      </c>
      <c r="C494">
        <f>IF(ISNUMBER(Tabla3[[#This Row],[Fare]]),Tabla3[[#This Row],[Fare]],VALUE(SUBSTITUTE(Tabla3[[#This Row],[Fare]],".",",")))</f>
        <v>30.5</v>
      </c>
      <c r="D494" t="s">
        <v>1394</v>
      </c>
    </row>
    <row r="495" spans="1:4" x14ac:dyDescent="0.25">
      <c r="A495" s="13">
        <f>IF(Tabla3[[#This Row],[Fare correción 2]]&gt;=1000,Tabla3[[#This Row],[Fare correción 2]]/10,Tabla3[[#This Row],[Fare correción 2]])</f>
        <v>495.04199999999997</v>
      </c>
      <c r="B495">
        <f>IF(Tabla3[[#This Row],[Fare corrección]]&gt;1000,Tabla3[[#This Row],[Fare corrección]]/1000,Tabla3[[#This Row],[Fare corrección]])</f>
        <v>495.04199999999997</v>
      </c>
      <c r="C495" s="1">
        <f>IF(ISNUMBER(Tabla3[[#This Row],[Fare]]),Tabla3[[#This Row],[Fare]],VALUE(SUBSTITUTE(Tabla3[[#This Row],[Fare]],".",",")))</f>
        <v>495042</v>
      </c>
      <c r="D495" s="1">
        <v>495042</v>
      </c>
    </row>
    <row r="496" spans="1:4" x14ac:dyDescent="0.25">
      <c r="A496" s="13">
        <f>IF(Tabla3[[#This Row],[Fare correción 2]]&gt;=1000,Tabla3[[#This Row],[Fare correción 2]]/10,Tabla3[[#This Row],[Fare correción 2]])</f>
        <v>8.0500000000000007</v>
      </c>
      <c r="B496">
        <f>IF(Tabla3[[#This Row],[Fare corrección]]&gt;1000,Tabla3[[#This Row],[Fare corrección]]/1000,Tabla3[[#This Row],[Fare corrección]])</f>
        <v>8.0500000000000007</v>
      </c>
      <c r="C496">
        <f>IF(ISNUMBER(Tabla3[[#This Row],[Fare]]),Tabla3[[#This Row],[Fare]],VALUE(SUBSTITUTE(Tabla3[[#This Row],[Fare]],".",",")))</f>
        <v>8.0500000000000007</v>
      </c>
      <c r="D496" t="s">
        <v>917</v>
      </c>
    </row>
    <row r="497" spans="1:4" x14ac:dyDescent="0.25">
      <c r="A497" s="13">
        <f>IF(Tabla3[[#This Row],[Fare correción 2]]&gt;=1000,Tabla3[[#This Row],[Fare correción 2]]/10,Tabla3[[#This Row],[Fare correción 2]])</f>
        <v>144.583</v>
      </c>
      <c r="B497">
        <f>IF(Tabla3[[#This Row],[Fare corrección]]&gt;1000,Tabla3[[#This Row],[Fare corrección]]/1000,Tabla3[[#This Row],[Fare corrección]])</f>
        <v>144.583</v>
      </c>
      <c r="C497" s="1">
        <f>IF(ISNUMBER(Tabla3[[#This Row],[Fare]]),Tabla3[[#This Row],[Fare]],VALUE(SUBSTITUTE(Tabla3[[#This Row],[Fare]],".",",")))</f>
        <v>144583</v>
      </c>
      <c r="D497" s="1">
        <v>144583</v>
      </c>
    </row>
    <row r="498" spans="1:4" x14ac:dyDescent="0.25">
      <c r="A498" s="13">
        <f>IF(Tabla3[[#This Row],[Fare correción 2]]&gt;=1000,Tabla3[[#This Row],[Fare correción 2]]/10,Tabla3[[#This Row],[Fare correción 2]])</f>
        <v>782.66700000000003</v>
      </c>
      <c r="B498">
        <f>IF(Tabla3[[#This Row],[Fare corrección]]&gt;1000,Tabla3[[#This Row],[Fare corrección]]/1000,Tabla3[[#This Row],[Fare corrección]])</f>
        <v>782.66700000000003</v>
      </c>
      <c r="C498" s="1">
        <f>IF(ISNUMBER(Tabla3[[#This Row],[Fare]]),Tabla3[[#This Row],[Fare]],VALUE(SUBSTITUTE(Tabla3[[#This Row],[Fare]],".",",")))</f>
        <v>782667</v>
      </c>
      <c r="D498" s="1">
        <v>782667</v>
      </c>
    </row>
    <row r="499" spans="1:4" x14ac:dyDescent="0.25">
      <c r="A499" s="13">
        <f>IF(Tabla3[[#This Row],[Fare correción 2]]&gt;=1000,Tabla3[[#This Row],[Fare correción 2]]/10,Tabla3[[#This Row],[Fare correción 2]])</f>
        <v>15.1</v>
      </c>
      <c r="B499">
        <f>IF(Tabla3[[#This Row],[Fare corrección]]&gt;1000,Tabla3[[#This Row],[Fare corrección]]/1000,Tabla3[[#This Row],[Fare corrección]])</f>
        <v>15.1</v>
      </c>
      <c r="C499">
        <f>IF(ISNUMBER(Tabla3[[#This Row],[Fare]]),Tabla3[[#This Row],[Fare]],VALUE(SUBSTITUTE(Tabla3[[#This Row],[Fare]],".",",")))</f>
        <v>15.1</v>
      </c>
      <c r="D499" t="s">
        <v>1679</v>
      </c>
    </row>
    <row r="500" spans="1:4" x14ac:dyDescent="0.25">
      <c r="A500" s="13">
        <f>IF(Tabla3[[#This Row],[Fare correción 2]]&gt;=1000,Tabla3[[#This Row],[Fare correción 2]]/10,Tabla3[[#This Row],[Fare correción 2]])</f>
        <v>151.55000000000001</v>
      </c>
      <c r="B500">
        <f>IF(Tabla3[[#This Row],[Fare corrección]]&gt;1000,Tabla3[[#This Row],[Fare corrección]]/1000,Tabla3[[#This Row],[Fare corrección]])</f>
        <v>151.55000000000001</v>
      </c>
      <c r="C500">
        <f>IF(ISNUMBER(Tabla3[[#This Row],[Fare]]),Tabla3[[#This Row],[Fare]],VALUE(SUBSTITUTE(Tabla3[[#This Row],[Fare]],".",",")))</f>
        <v>151.55000000000001</v>
      </c>
      <c r="D500" t="s">
        <v>1391</v>
      </c>
    </row>
    <row r="501" spans="1:4" x14ac:dyDescent="0.25">
      <c r="A501" s="13">
        <f>IF(Tabla3[[#This Row],[Fare correción 2]]&gt;=1000,Tabla3[[#This Row],[Fare correción 2]]/10,Tabla3[[#This Row],[Fare correción 2]])</f>
        <v>77.957999999999998</v>
      </c>
      <c r="B501">
        <f>IF(Tabla3[[#This Row],[Fare corrección]]&gt;1000,Tabla3[[#This Row],[Fare corrección]]/1000,Tabla3[[#This Row],[Fare corrección]])</f>
        <v>77.957999999999998</v>
      </c>
      <c r="C501" s="1">
        <f>IF(ISNUMBER(Tabla3[[#This Row],[Fare]]),Tabla3[[#This Row],[Fare]],VALUE(SUBSTITUTE(Tabla3[[#This Row],[Fare]],".",",")))</f>
        <v>77958</v>
      </c>
      <c r="D501" s="1">
        <v>77958</v>
      </c>
    </row>
    <row r="502" spans="1:4" x14ac:dyDescent="0.25">
      <c r="A502" s="13">
        <f>IF(Tabla3[[#This Row],[Fare correción 2]]&gt;=1000,Tabla3[[#This Row],[Fare correción 2]]/10,Tabla3[[#This Row],[Fare correción 2]])</f>
        <v>86.625</v>
      </c>
      <c r="B502">
        <f>IF(Tabla3[[#This Row],[Fare corrección]]&gt;1000,Tabla3[[#This Row],[Fare corrección]]/1000,Tabla3[[#This Row],[Fare corrección]])</f>
        <v>86.625</v>
      </c>
      <c r="C502" s="1">
        <f>IF(ISNUMBER(Tabla3[[#This Row],[Fare]]),Tabla3[[#This Row],[Fare]],VALUE(SUBSTITUTE(Tabla3[[#This Row],[Fare]],".",",")))</f>
        <v>86625</v>
      </c>
      <c r="D502" s="1">
        <v>86625</v>
      </c>
    </row>
    <row r="503" spans="1:4" x14ac:dyDescent="0.25">
      <c r="A503" s="13">
        <f>IF(Tabla3[[#This Row],[Fare correción 2]]&gt;=1000,Tabla3[[#This Row],[Fare correción 2]]/10,Tabla3[[#This Row],[Fare correción 2]])</f>
        <v>7.75</v>
      </c>
      <c r="B503">
        <f>IF(Tabla3[[#This Row],[Fare corrección]]&gt;1000,Tabla3[[#This Row],[Fare corrección]]/1000,Tabla3[[#This Row],[Fare corrección]])</f>
        <v>7.75</v>
      </c>
      <c r="C503">
        <f>IF(ISNUMBER(Tabla3[[#This Row],[Fare]]),Tabla3[[#This Row],[Fare]],VALUE(SUBSTITUTE(Tabla3[[#This Row],[Fare]],".",",")))</f>
        <v>7.75</v>
      </c>
      <c r="D503" t="s">
        <v>961</v>
      </c>
    </row>
    <row r="504" spans="1:4" x14ac:dyDescent="0.25">
      <c r="A504" s="13">
        <f>IF(Tabla3[[#This Row],[Fare correción 2]]&gt;=1000,Tabla3[[#This Row],[Fare correción 2]]/10,Tabla3[[#This Row],[Fare correción 2]])</f>
        <v>76.292000000000002</v>
      </c>
      <c r="B504">
        <f>IF(Tabla3[[#This Row],[Fare corrección]]&gt;1000,Tabla3[[#This Row],[Fare corrección]]/1000,Tabla3[[#This Row],[Fare corrección]])</f>
        <v>76.292000000000002</v>
      </c>
      <c r="C504" s="1">
        <f>IF(ISNUMBER(Tabla3[[#This Row],[Fare]]),Tabla3[[#This Row],[Fare]],VALUE(SUBSTITUTE(Tabla3[[#This Row],[Fare]],".",",")))</f>
        <v>76292</v>
      </c>
      <c r="D504" s="1">
        <v>76292</v>
      </c>
    </row>
    <row r="505" spans="1:4" x14ac:dyDescent="0.25">
      <c r="A505" s="13">
        <f>IF(Tabla3[[#This Row],[Fare correción 2]]&gt;=1000,Tabla3[[#This Row],[Fare correción 2]]/10,Tabla3[[#This Row],[Fare correción 2]])</f>
        <v>95.875</v>
      </c>
      <c r="B505">
        <f>IF(Tabla3[[#This Row],[Fare corrección]]&gt;1000,Tabla3[[#This Row],[Fare corrección]]/1000,Tabla3[[#This Row],[Fare corrección]])</f>
        <v>95.875</v>
      </c>
      <c r="C505" s="1">
        <f>IF(ISNUMBER(Tabla3[[#This Row],[Fare]]),Tabla3[[#This Row],[Fare]],VALUE(SUBSTITUTE(Tabla3[[#This Row],[Fare]],".",",")))</f>
        <v>95875</v>
      </c>
      <c r="D505" s="1">
        <v>95875</v>
      </c>
    </row>
    <row r="506" spans="1:4" x14ac:dyDescent="0.25">
      <c r="A506" s="13">
        <f>IF(Tabla3[[#This Row],[Fare correción 2]]&gt;=1000,Tabla3[[#This Row],[Fare correción 2]]/10,Tabla3[[#This Row],[Fare correción 2]])</f>
        <v>86.5</v>
      </c>
      <c r="B506">
        <f>IF(Tabla3[[#This Row],[Fare corrección]]&gt;1000,Tabla3[[#This Row],[Fare corrección]]/1000,Tabla3[[#This Row],[Fare corrección]])</f>
        <v>86.5</v>
      </c>
      <c r="C506">
        <f>IF(ISNUMBER(Tabla3[[#This Row],[Fare]]),Tabla3[[#This Row],[Fare]],VALUE(SUBSTITUTE(Tabla3[[#This Row],[Fare]],".",",")))</f>
        <v>86.5</v>
      </c>
      <c r="D506" t="s">
        <v>1324</v>
      </c>
    </row>
    <row r="507" spans="1:4" x14ac:dyDescent="0.25">
      <c r="A507" s="13">
        <f>IF(Tabla3[[#This Row],[Fare correción 2]]&gt;=1000,Tabla3[[#This Row],[Fare correción 2]]/10,Tabla3[[#This Row],[Fare correción 2]])</f>
        <v>108.9</v>
      </c>
      <c r="B507">
        <f>IF(Tabla3[[#This Row],[Fare corrección]]&gt;1000,Tabla3[[#This Row],[Fare corrección]]/1000,Tabla3[[#This Row],[Fare corrección]])</f>
        <v>108.9</v>
      </c>
      <c r="C507">
        <f>IF(ISNUMBER(Tabla3[[#This Row],[Fare]]),Tabla3[[#This Row],[Fare]],VALUE(SUBSTITUTE(Tabla3[[#This Row],[Fare]],".",",")))</f>
        <v>108.9</v>
      </c>
      <c r="D507" t="s">
        <v>1410</v>
      </c>
    </row>
    <row r="508" spans="1:4" x14ac:dyDescent="0.25">
      <c r="A508" s="13">
        <f>IF(Tabla3[[#This Row],[Fare correción 2]]&gt;=1000,Tabla3[[#This Row],[Fare correción 2]]/10,Tabla3[[#This Row],[Fare correción 2]])</f>
        <v>26</v>
      </c>
      <c r="B508">
        <f>IF(Tabla3[[#This Row],[Fare corrección]]&gt;1000,Tabla3[[#This Row],[Fare corrección]]/1000,Tabla3[[#This Row],[Fare corrección]])</f>
        <v>26</v>
      </c>
      <c r="C508">
        <f>IF(ISNUMBER(Tabla3[[#This Row],[Fare]]),Tabla3[[#This Row],[Fare]],VALUE(SUBSTITUTE(Tabla3[[#This Row],[Fare]],".",",")))</f>
        <v>26</v>
      </c>
      <c r="D508">
        <v>26</v>
      </c>
    </row>
    <row r="509" spans="1:4" x14ac:dyDescent="0.25">
      <c r="A509" s="13">
        <f>IF(Tabla3[[#This Row],[Fare correción 2]]&gt;=1000,Tabla3[[#This Row],[Fare correción 2]]/10,Tabla3[[#This Row],[Fare correción 2]])</f>
        <v>26.55</v>
      </c>
      <c r="B509">
        <f>IF(Tabla3[[#This Row],[Fare corrección]]&gt;1000,Tabla3[[#This Row],[Fare corrección]]/1000,Tabla3[[#This Row],[Fare corrección]])</f>
        <v>26.55</v>
      </c>
      <c r="C509">
        <f>IF(ISNUMBER(Tabla3[[#This Row],[Fare]]),Tabla3[[#This Row],[Fare]],VALUE(SUBSTITUTE(Tabla3[[#This Row],[Fare]],".",",")))</f>
        <v>26.55</v>
      </c>
      <c r="D509" t="s">
        <v>930</v>
      </c>
    </row>
    <row r="510" spans="1:4" x14ac:dyDescent="0.25">
      <c r="A510" s="13">
        <f>IF(Tabla3[[#This Row],[Fare correción 2]]&gt;=1000,Tabla3[[#This Row],[Fare correción 2]]/10,Tabla3[[#This Row],[Fare correción 2]])</f>
        <v>22.524999999999999</v>
      </c>
      <c r="B510">
        <f>IF(Tabla3[[#This Row],[Fare corrección]]&gt;1000,Tabla3[[#This Row],[Fare corrección]]/1000,Tabla3[[#This Row],[Fare corrección]])</f>
        <v>22.524999999999999</v>
      </c>
      <c r="C510" s="1">
        <f>IF(ISNUMBER(Tabla3[[#This Row],[Fare]]),Tabla3[[#This Row],[Fare]],VALUE(SUBSTITUTE(Tabla3[[#This Row],[Fare]],".",",")))</f>
        <v>22525</v>
      </c>
      <c r="D510" s="1">
        <v>22525</v>
      </c>
    </row>
    <row r="511" spans="1:4" x14ac:dyDescent="0.25">
      <c r="A511" s="13">
        <f>IF(Tabla3[[#This Row],[Fare correción 2]]&gt;=1000,Tabla3[[#This Row],[Fare correción 2]]/10,Tabla3[[#This Row],[Fare correción 2]])</f>
        <v>564.95799999999997</v>
      </c>
      <c r="B511">
        <f>IF(Tabla3[[#This Row],[Fare corrección]]&gt;1000,Tabla3[[#This Row],[Fare corrección]]/1000,Tabla3[[#This Row],[Fare corrección]])</f>
        <v>564.95799999999997</v>
      </c>
      <c r="C511" s="1">
        <f>IF(ISNUMBER(Tabla3[[#This Row],[Fare]]),Tabla3[[#This Row],[Fare]],VALUE(SUBSTITUTE(Tabla3[[#This Row],[Fare]],".",",")))</f>
        <v>564958</v>
      </c>
      <c r="D511" s="1">
        <v>564958</v>
      </c>
    </row>
    <row r="512" spans="1:4" x14ac:dyDescent="0.25">
      <c r="A512" s="13">
        <f>IF(Tabla3[[#This Row],[Fare correción 2]]&gt;=1000,Tabla3[[#This Row],[Fare correción 2]]/10,Tabla3[[#This Row],[Fare correción 2]])</f>
        <v>7.75</v>
      </c>
      <c r="B512">
        <f>IF(Tabla3[[#This Row],[Fare corrección]]&gt;1000,Tabla3[[#This Row],[Fare corrección]]/1000,Tabla3[[#This Row],[Fare corrección]])</f>
        <v>7.75</v>
      </c>
      <c r="C512">
        <f>IF(ISNUMBER(Tabla3[[#This Row],[Fare]]),Tabla3[[#This Row],[Fare]],VALUE(SUBSTITUTE(Tabla3[[#This Row],[Fare]],".",",")))</f>
        <v>7.75</v>
      </c>
      <c r="D512" t="s">
        <v>961</v>
      </c>
    </row>
    <row r="513" spans="1:4" x14ac:dyDescent="0.25">
      <c r="A513" s="13">
        <f>IF(Tabla3[[#This Row],[Fare correción 2]]&gt;=1000,Tabla3[[#This Row],[Fare correción 2]]/10,Tabla3[[#This Row],[Fare correción 2]])</f>
        <v>8.0500000000000007</v>
      </c>
      <c r="B513">
        <f>IF(Tabla3[[#This Row],[Fare corrección]]&gt;1000,Tabla3[[#This Row],[Fare corrección]]/1000,Tabla3[[#This Row],[Fare corrección]])</f>
        <v>8.0500000000000007</v>
      </c>
      <c r="C513">
        <f>IF(ISNUMBER(Tabla3[[#This Row],[Fare]]),Tabla3[[#This Row],[Fare]],VALUE(SUBSTITUTE(Tabla3[[#This Row],[Fare]],".",",")))</f>
        <v>8.0500000000000007</v>
      </c>
      <c r="D513" t="s">
        <v>917</v>
      </c>
    </row>
    <row r="514" spans="1:4" x14ac:dyDescent="0.25">
      <c r="A514" s="13">
        <f>IF(Tabla3[[#This Row],[Fare correción 2]]&gt;=1000,Tabla3[[#This Row],[Fare correción 2]]/10,Tabla3[[#This Row],[Fare correción 2]])</f>
        <v>262.875</v>
      </c>
      <c r="B514">
        <f>IF(Tabla3[[#This Row],[Fare corrección]]&gt;1000,Tabla3[[#This Row],[Fare corrección]]/1000,Tabla3[[#This Row],[Fare corrección]])</f>
        <v>262.875</v>
      </c>
      <c r="C514" s="1">
        <f>IF(ISNUMBER(Tabla3[[#This Row],[Fare]]),Tabla3[[#This Row],[Fare]],VALUE(SUBSTITUTE(Tabla3[[#This Row],[Fare]],".",",")))</f>
        <v>262875</v>
      </c>
      <c r="D514" s="1">
        <v>262875</v>
      </c>
    </row>
    <row r="515" spans="1:4" x14ac:dyDescent="0.25">
      <c r="A515" s="13">
        <f>IF(Tabla3[[#This Row],[Fare correción 2]]&gt;=1000,Tabla3[[#This Row],[Fare correción 2]]/10,Tabla3[[#This Row],[Fare correción 2]])</f>
        <v>59.4</v>
      </c>
      <c r="B515">
        <f>IF(Tabla3[[#This Row],[Fare corrección]]&gt;1000,Tabla3[[#This Row],[Fare corrección]]/1000,Tabla3[[#This Row],[Fare corrección]])</f>
        <v>59.4</v>
      </c>
      <c r="C515">
        <f>IF(ISNUMBER(Tabla3[[#This Row],[Fare]]),Tabla3[[#This Row],[Fare]],VALUE(SUBSTITUTE(Tabla3[[#This Row],[Fare]],".",",")))</f>
        <v>59.4</v>
      </c>
      <c r="D515" t="s">
        <v>1702</v>
      </c>
    </row>
    <row r="516" spans="1:4" x14ac:dyDescent="0.25">
      <c r="A516" s="13">
        <f>IF(Tabla3[[#This Row],[Fare correción 2]]&gt;=1000,Tabla3[[#This Row],[Fare correción 2]]/10,Tabla3[[#This Row],[Fare correción 2]])</f>
        <v>74.957999999999998</v>
      </c>
      <c r="B516">
        <f>IF(Tabla3[[#This Row],[Fare corrección]]&gt;1000,Tabla3[[#This Row],[Fare corrección]]/1000,Tabla3[[#This Row],[Fare corrección]])</f>
        <v>74.957999999999998</v>
      </c>
      <c r="C516" s="1">
        <f>IF(ISNUMBER(Tabla3[[#This Row],[Fare]]),Tabla3[[#This Row],[Fare]],VALUE(SUBSTITUTE(Tabla3[[#This Row],[Fare]],".",",")))</f>
        <v>74958</v>
      </c>
      <c r="D516" s="1">
        <v>74958</v>
      </c>
    </row>
    <row r="517" spans="1:4" x14ac:dyDescent="0.25">
      <c r="A517" s="13">
        <f>IF(Tabla3[[#This Row],[Fare correción 2]]&gt;=1000,Tabla3[[#This Row],[Fare correción 2]]/10,Tabla3[[#This Row],[Fare correción 2]])</f>
        <v>340.20800000000003</v>
      </c>
      <c r="B517">
        <f>IF(Tabla3[[#This Row],[Fare corrección]]&gt;1000,Tabla3[[#This Row],[Fare corrección]]/1000,Tabla3[[#This Row],[Fare corrección]])</f>
        <v>340.20800000000003</v>
      </c>
      <c r="C517" s="1">
        <f>IF(ISNUMBER(Tabla3[[#This Row],[Fare]]),Tabla3[[#This Row],[Fare]],VALUE(SUBSTITUTE(Tabla3[[#This Row],[Fare]],".",",")))</f>
        <v>340208</v>
      </c>
      <c r="D517" s="1">
        <v>340208</v>
      </c>
    </row>
    <row r="518" spans="1:4" x14ac:dyDescent="0.25">
      <c r="A518" s="13">
        <f>IF(Tabla3[[#This Row],[Fare correción 2]]&gt;=1000,Tabla3[[#This Row],[Fare correción 2]]/10,Tabla3[[#This Row],[Fare correción 2]])</f>
        <v>10.5</v>
      </c>
      <c r="B518">
        <f>IF(Tabla3[[#This Row],[Fare corrección]]&gt;1000,Tabla3[[#This Row],[Fare corrección]]/1000,Tabla3[[#This Row],[Fare corrección]])</f>
        <v>10.5</v>
      </c>
      <c r="C518">
        <f>IF(ISNUMBER(Tabla3[[#This Row],[Fare]]),Tabla3[[#This Row],[Fare]],VALUE(SUBSTITUTE(Tabla3[[#This Row],[Fare]],".",",")))</f>
        <v>10.5</v>
      </c>
      <c r="D518" t="s">
        <v>964</v>
      </c>
    </row>
    <row r="519" spans="1:4" x14ac:dyDescent="0.25">
      <c r="A519" s="13">
        <f>IF(Tabla3[[#This Row],[Fare correción 2]]&gt;=1000,Tabla3[[#This Row],[Fare correción 2]]/10,Tabla3[[#This Row],[Fare correción 2]])</f>
        <v>24.15</v>
      </c>
      <c r="B519">
        <f>IF(Tabla3[[#This Row],[Fare corrección]]&gt;1000,Tabla3[[#This Row],[Fare corrección]]/1000,Tabla3[[#This Row],[Fare corrección]])</f>
        <v>24.15</v>
      </c>
      <c r="C519">
        <f>IF(ISNUMBER(Tabla3[[#This Row],[Fare]]),Tabla3[[#This Row],[Fare]],VALUE(SUBSTITUTE(Tabla3[[#This Row],[Fare]],".",",")))</f>
        <v>24.15</v>
      </c>
      <c r="D519" t="s">
        <v>1086</v>
      </c>
    </row>
    <row r="520" spans="1:4" x14ac:dyDescent="0.25">
      <c r="A520" s="13">
        <f>IF(Tabla3[[#This Row],[Fare correción 2]]&gt;=1000,Tabla3[[#This Row],[Fare correción 2]]/10,Tabla3[[#This Row],[Fare correción 2]])</f>
        <v>26</v>
      </c>
      <c r="B520">
        <f>IF(Tabla3[[#This Row],[Fare corrección]]&gt;1000,Tabla3[[#This Row],[Fare corrección]]/1000,Tabla3[[#This Row],[Fare corrección]])</f>
        <v>26</v>
      </c>
      <c r="C520">
        <f>IF(ISNUMBER(Tabla3[[#This Row],[Fare]]),Tabla3[[#This Row],[Fare]],VALUE(SUBSTITUTE(Tabla3[[#This Row],[Fare]],".",",")))</f>
        <v>26</v>
      </c>
      <c r="D520">
        <v>26</v>
      </c>
    </row>
    <row r="521" spans="1:4" x14ac:dyDescent="0.25">
      <c r="A521" s="13">
        <f>IF(Tabla3[[#This Row],[Fare correción 2]]&gt;=1000,Tabla3[[#This Row],[Fare correción 2]]/10,Tabla3[[#This Row],[Fare correción 2]])</f>
        <v>78.957999999999998</v>
      </c>
      <c r="B521">
        <f>IF(Tabla3[[#This Row],[Fare corrección]]&gt;1000,Tabla3[[#This Row],[Fare corrección]]/1000,Tabla3[[#This Row],[Fare corrección]])</f>
        <v>78.957999999999998</v>
      </c>
      <c r="C521" s="1">
        <f>IF(ISNUMBER(Tabla3[[#This Row],[Fare]]),Tabla3[[#This Row],[Fare]],VALUE(SUBSTITUTE(Tabla3[[#This Row],[Fare]],".",",")))</f>
        <v>78958</v>
      </c>
      <c r="D521" s="1">
        <v>78958</v>
      </c>
    </row>
    <row r="522" spans="1:4" x14ac:dyDescent="0.25">
      <c r="A522" s="13">
        <f>IF(Tabla3[[#This Row],[Fare correción 2]]&gt;=1000,Tabla3[[#This Row],[Fare correción 2]]/10,Tabla3[[#This Row],[Fare correción 2]])</f>
        <v>93.5</v>
      </c>
      <c r="B522">
        <f>IF(Tabla3[[#This Row],[Fare corrección]]&gt;1000,Tabla3[[#This Row],[Fare corrección]]/1000,Tabla3[[#This Row],[Fare corrección]])</f>
        <v>93.5</v>
      </c>
      <c r="C522">
        <f>IF(ISNUMBER(Tabla3[[#This Row],[Fare]]),Tabla3[[#This Row],[Fare]],VALUE(SUBSTITUTE(Tabla3[[#This Row],[Fare]],".",",")))</f>
        <v>93.5</v>
      </c>
      <c r="D522" t="s">
        <v>1712</v>
      </c>
    </row>
    <row r="523" spans="1:4" x14ac:dyDescent="0.25">
      <c r="A523" s="13">
        <f>IF(Tabla3[[#This Row],[Fare correción 2]]&gt;=1000,Tabla3[[#This Row],[Fare correción 2]]/10,Tabla3[[#This Row],[Fare correción 2]])</f>
        <v>78.957999999999998</v>
      </c>
      <c r="B523">
        <f>IF(Tabla3[[#This Row],[Fare corrección]]&gt;1000,Tabla3[[#This Row],[Fare corrección]]/1000,Tabla3[[#This Row],[Fare corrección]])</f>
        <v>78.957999999999998</v>
      </c>
      <c r="C523" s="1">
        <f>IF(ISNUMBER(Tabla3[[#This Row],[Fare]]),Tabla3[[#This Row],[Fare]],VALUE(SUBSTITUTE(Tabla3[[#This Row],[Fare]],".",",")))</f>
        <v>78958</v>
      </c>
      <c r="D523" s="1">
        <v>78958</v>
      </c>
    </row>
    <row r="524" spans="1:4" x14ac:dyDescent="0.25">
      <c r="A524" s="13">
        <f>IF(Tabla3[[#This Row],[Fare correción 2]]&gt;=1000,Tabla3[[#This Row],[Fare correción 2]]/10,Tabla3[[#This Row],[Fare correción 2]])</f>
        <v>7.2249999999999996</v>
      </c>
      <c r="B524">
        <f>IF(Tabla3[[#This Row],[Fare corrección]]&gt;1000,Tabla3[[#This Row],[Fare corrección]]/1000,Tabla3[[#This Row],[Fare corrección]])</f>
        <v>7.2249999999999996</v>
      </c>
      <c r="C524" s="1">
        <f>IF(ISNUMBER(Tabla3[[#This Row],[Fare]]),Tabla3[[#This Row],[Fare]],VALUE(SUBSTITUTE(Tabla3[[#This Row],[Fare]],".",",")))</f>
        <v>7225</v>
      </c>
      <c r="D524" s="1">
        <v>7225</v>
      </c>
    </row>
    <row r="525" spans="1:4" x14ac:dyDescent="0.25">
      <c r="A525" s="13">
        <f>IF(Tabla3[[#This Row],[Fare correción 2]]&gt;=1000,Tabla3[[#This Row],[Fare correción 2]]/10,Tabla3[[#This Row],[Fare correción 2]])</f>
        <v>579.79200000000003</v>
      </c>
      <c r="B525">
        <f>IF(Tabla3[[#This Row],[Fare corrección]]&gt;1000,Tabla3[[#This Row],[Fare corrección]]/1000,Tabla3[[#This Row],[Fare corrección]])</f>
        <v>579.79200000000003</v>
      </c>
      <c r="C525" s="1">
        <f>IF(ISNUMBER(Tabla3[[#This Row],[Fare]]),Tabla3[[#This Row],[Fare]],VALUE(SUBSTITUTE(Tabla3[[#This Row],[Fare]],".",",")))</f>
        <v>579792</v>
      </c>
      <c r="D525" s="1">
        <v>579792</v>
      </c>
    </row>
    <row r="526" spans="1:4" x14ac:dyDescent="0.25">
      <c r="A526" s="13">
        <f>IF(Tabla3[[#This Row],[Fare correción 2]]&gt;=1000,Tabla3[[#This Row],[Fare correción 2]]/10,Tabla3[[#This Row],[Fare correción 2]])</f>
        <v>72.292000000000002</v>
      </c>
      <c r="B526">
        <f>IF(Tabla3[[#This Row],[Fare corrección]]&gt;1000,Tabla3[[#This Row],[Fare corrección]]/1000,Tabla3[[#This Row],[Fare corrección]])</f>
        <v>72.292000000000002</v>
      </c>
      <c r="C526" s="1">
        <f>IF(ISNUMBER(Tabla3[[#This Row],[Fare]]),Tabla3[[#This Row],[Fare]],VALUE(SUBSTITUTE(Tabla3[[#This Row],[Fare]],".",",")))</f>
        <v>72292</v>
      </c>
      <c r="D526" s="1">
        <v>72292</v>
      </c>
    </row>
    <row r="527" spans="1:4" x14ac:dyDescent="0.25">
      <c r="A527" s="13">
        <f>IF(Tabla3[[#This Row],[Fare correción 2]]&gt;=1000,Tabla3[[#This Row],[Fare correción 2]]/10,Tabla3[[#This Row],[Fare correción 2]])</f>
        <v>7.75</v>
      </c>
      <c r="B527">
        <f>IF(Tabla3[[#This Row],[Fare corrección]]&gt;1000,Tabla3[[#This Row],[Fare corrección]]/1000,Tabla3[[#This Row],[Fare corrección]])</f>
        <v>7.75</v>
      </c>
      <c r="C527">
        <f>IF(ISNUMBER(Tabla3[[#This Row],[Fare]]),Tabla3[[#This Row],[Fare]],VALUE(SUBSTITUTE(Tabla3[[#This Row],[Fare]],".",",")))</f>
        <v>7.75</v>
      </c>
      <c r="D527" t="s">
        <v>961</v>
      </c>
    </row>
    <row r="528" spans="1:4" x14ac:dyDescent="0.25">
      <c r="A528" s="13">
        <f>IF(Tabla3[[#This Row],[Fare correción 2]]&gt;=1000,Tabla3[[#This Row],[Fare correción 2]]/10,Tabla3[[#This Row],[Fare correción 2]])</f>
        <v>10.5</v>
      </c>
      <c r="B528">
        <f>IF(Tabla3[[#This Row],[Fare corrección]]&gt;1000,Tabla3[[#This Row],[Fare corrección]]/1000,Tabla3[[#This Row],[Fare corrección]])</f>
        <v>10.5</v>
      </c>
      <c r="C528">
        <f>IF(ISNUMBER(Tabla3[[#This Row],[Fare]]),Tabla3[[#This Row],[Fare]],VALUE(SUBSTITUTE(Tabla3[[#This Row],[Fare]],".",",")))</f>
        <v>10.5</v>
      </c>
      <c r="D528" t="s">
        <v>964</v>
      </c>
    </row>
    <row r="529" spans="1:4" x14ac:dyDescent="0.25">
      <c r="A529" s="13">
        <f>IF(Tabla3[[#This Row],[Fare correción 2]]&gt;=1000,Tabla3[[#This Row],[Fare correción 2]]/10,Tabla3[[#This Row],[Fare correción 2]])</f>
        <v>221.7792</v>
      </c>
      <c r="B529">
        <f>IF(Tabla3[[#This Row],[Fare corrección]]&gt;1000,Tabla3[[#This Row],[Fare corrección]]/1000,Tabla3[[#This Row],[Fare corrección]])</f>
        <v>2217.7919999999999</v>
      </c>
      <c r="C529" s="1">
        <f>IF(ISNUMBER(Tabla3[[#This Row],[Fare]]),Tabla3[[#This Row],[Fare]],VALUE(SUBSTITUTE(Tabla3[[#This Row],[Fare]],".",",")))</f>
        <v>2217792</v>
      </c>
      <c r="D529" s="1">
        <v>2217792</v>
      </c>
    </row>
    <row r="530" spans="1:4" x14ac:dyDescent="0.25">
      <c r="A530" s="13">
        <f>IF(Tabla3[[#This Row],[Fare correción 2]]&gt;=1000,Tabla3[[#This Row],[Fare correción 2]]/10,Tabla3[[#This Row],[Fare correción 2]])</f>
        <v>7.9249999999999998</v>
      </c>
      <c r="B530">
        <f>IF(Tabla3[[#This Row],[Fare corrección]]&gt;1000,Tabla3[[#This Row],[Fare corrección]]/1000,Tabla3[[#This Row],[Fare corrección]])</f>
        <v>7.9249999999999998</v>
      </c>
      <c r="C530" s="1">
        <f>IF(ISNUMBER(Tabla3[[#This Row],[Fare]]),Tabla3[[#This Row],[Fare]],VALUE(SUBSTITUTE(Tabla3[[#This Row],[Fare]],".",",")))</f>
        <v>7925</v>
      </c>
      <c r="D530" s="1">
        <v>7925</v>
      </c>
    </row>
    <row r="531" spans="1:4" x14ac:dyDescent="0.25">
      <c r="A531" s="13">
        <f>IF(Tabla3[[#This Row],[Fare correción 2]]&gt;=1000,Tabla3[[#This Row],[Fare correción 2]]/10,Tabla3[[#This Row],[Fare correción 2]])</f>
        <v>11.5</v>
      </c>
      <c r="B531">
        <f>IF(Tabla3[[#This Row],[Fare corrección]]&gt;1000,Tabla3[[#This Row],[Fare corrección]]/1000,Tabla3[[#This Row],[Fare corrección]])</f>
        <v>11.5</v>
      </c>
      <c r="C531">
        <f>IF(ISNUMBER(Tabla3[[#This Row],[Fare]]),Tabla3[[#This Row],[Fare]],VALUE(SUBSTITUTE(Tabla3[[#This Row],[Fare]],".",",")))</f>
        <v>11.5</v>
      </c>
      <c r="D531" t="s">
        <v>1144</v>
      </c>
    </row>
    <row r="532" spans="1:4" x14ac:dyDescent="0.25">
      <c r="A532" s="13">
        <f>IF(Tabla3[[#This Row],[Fare correción 2]]&gt;=1000,Tabla3[[#This Row],[Fare correción 2]]/10,Tabla3[[#This Row],[Fare correción 2]])</f>
        <v>26</v>
      </c>
      <c r="B532">
        <f>IF(Tabla3[[#This Row],[Fare corrección]]&gt;1000,Tabla3[[#This Row],[Fare corrección]]/1000,Tabla3[[#This Row],[Fare corrección]])</f>
        <v>26</v>
      </c>
      <c r="C532">
        <f>IF(ISNUMBER(Tabla3[[#This Row],[Fare]]),Tabla3[[#This Row],[Fare]],VALUE(SUBSTITUTE(Tabla3[[#This Row],[Fare]],".",",")))</f>
        <v>26</v>
      </c>
      <c r="D532">
        <v>26</v>
      </c>
    </row>
    <row r="533" spans="1:4" x14ac:dyDescent="0.25">
      <c r="A533" s="13">
        <f>IF(Tabla3[[#This Row],[Fare correción 2]]&gt;=1000,Tabla3[[#This Row],[Fare correción 2]]/10,Tabla3[[#This Row],[Fare correción 2]])</f>
        <v>72.292000000000002</v>
      </c>
      <c r="B533">
        <f>IF(Tabla3[[#This Row],[Fare corrección]]&gt;1000,Tabla3[[#This Row],[Fare corrección]]/1000,Tabla3[[#This Row],[Fare corrección]])</f>
        <v>72.292000000000002</v>
      </c>
      <c r="C533" s="1">
        <f>IF(ISNUMBER(Tabla3[[#This Row],[Fare]]),Tabla3[[#This Row],[Fare]],VALUE(SUBSTITUTE(Tabla3[[#This Row],[Fare]],".",",")))</f>
        <v>72292</v>
      </c>
      <c r="D533" s="1">
        <v>72292</v>
      </c>
    </row>
    <row r="534" spans="1:4" x14ac:dyDescent="0.25">
      <c r="A534" s="13">
        <f>IF(Tabla3[[#This Row],[Fare correción 2]]&gt;=1000,Tabla3[[#This Row],[Fare correción 2]]/10,Tabla3[[#This Row],[Fare correción 2]])</f>
        <v>72.292000000000002</v>
      </c>
      <c r="B534">
        <f>IF(Tabla3[[#This Row],[Fare corrección]]&gt;1000,Tabla3[[#This Row],[Fare corrección]]/1000,Tabla3[[#This Row],[Fare corrección]])</f>
        <v>72.292000000000002</v>
      </c>
      <c r="C534" s="1">
        <f>IF(ISNUMBER(Tabla3[[#This Row],[Fare]]),Tabla3[[#This Row],[Fare]],VALUE(SUBSTITUTE(Tabla3[[#This Row],[Fare]],".",",")))</f>
        <v>72292</v>
      </c>
      <c r="D534" s="1">
        <v>72292</v>
      </c>
    </row>
    <row r="535" spans="1:4" x14ac:dyDescent="0.25">
      <c r="A535" s="13">
        <f>IF(Tabla3[[#This Row],[Fare correción 2]]&gt;=1000,Tabla3[[#This Row],[Fare correción 2]]/10,Tabla3[[#This Row],[Fare correción 2]])</f>
        <v>223.583</v>
      </c>
      <c r="B535">
        <f>IF(Tabla3[[#This Row],[Fare corrección]]&gt;1000,Tabla3[[#This Row],[Fare corrección]]/1000,Tabla3[[#This Row],[Fare corrección]])</f>
        <v>223.583</v>
      </c>
      <c r="C535" s="1">
        <f>IF(ISNUMBER(Tabla3[[#This Row],[Fare]]),Tabla3[[#This Row],[Fare]],VALUE(SUBSTITUTE(Tabla3[[#This Row],[Fare]],".",",")))</f>
        <v>223583</v>
      </c>
      <c r="D535" s="1">
        <v>223583</v>
      </c>
    </row>
    <row r="536" spans="1:4" x14ac:dyDescent="0.25">
      <c r="A536" s="13">
        <f>IF(Tabla3[[#This Row],[Fare correción 2]]&gt;=1000,Tabla3[[#This Row],[Fare correción 2]]/10,Tabla3[[#This Row],[Fare correción 2]])</f>
        <v>86.625</v>
      </c>
      <c r="B536">
        <f>IF(Tabla3[[#This Row],[Fare corrección]]&gt;1000,Tabla3[[#This Row],[Fare corrección]]/1000,Tabla3[[#This Row],[Fare corrección]])</f>
        <v>86.625</v>
      </c>
      <c r="C536" s="1">
        <f>IF(ISNUMBER(Tabla3[[#This Row],[Fare]]),Tabla3[[#This Row],[Fare]],VALUE(SUBSTITUTE(Tabla3[[#This Row],[Fare]],".",",")))</f>
        <v>86625</v>
      </c>
      <c r="D536" s="1">
        <v>86625</v>
      </c>
    </row>
    <row r="537" spans="1:4" x14ac:dyDescent="0.25">
      <c r="A537" s="13">
        <f>IF(Tabla3[[#This Row],[Fare correción 2]]&gt;=1000,Tabla3[[#This Row],[Fare correción 2]]/10,Tabla3[[#This Row],[Fare correción 2]])</f>
        <v>26.25</v>
      </c>
      <c r="B537">
        <f>IF(Tabla3[[#This Row],[Fare corrección]]&gt;1000,Tabla3[[#This Row],[Fare corrección]]/1000,Tabla3[[#This Row],[Fare corrección]])</f>
        <v>26.25</v>
      </c>
      <c r="C537">
        <f>IF(ISNUMBER(Tabla3[[#This Row],[Fare]]),Tabla3[[#This Row],[Fare]],VALUE(SUBSTITUTE(Tabla3[[#This Row],[Fare]],".",",")))</f>
        <v>26.25</v>
      </c>
      <c r="D537" t="s">
        <v>1295</v>
      </c>
    </row>
    <row r="538" spans="1:4" x14ac:dyDescent="0.25">
      <c r="A538" s="13">
        <f>IF(Tabla3[[#This Row],[Fare correción 2]]&gt;=1000,Tabla3[[#This Row],[Fare correción 2]]/10,Tabla3[[#This Row],[Fare correción 2]])</f>
        <v>26.55</v>
      </c>
      <c r="B538">
        <f>IF(Tabla3[[#This Row],[Fare corrección]]&gt;1000,Tabla3[[#This Row],[Fare corrección]]/1000,Tabla3[[#This Row],[Fare corrección]])</f>
        <v>26.55</v>
      </c>
      <c r="C538">
        <f>IF(ISNUMBER(Tabla3[[#This Row],[Fare]]),Tabla3[[#This Row],[Fare]],VALUE(SUBSTITUTE(Tabla3[[#This Row],[Fare]],".",",")))</f>
        <v>26.55</v>
      </c>
      <c r="D538" t="s">
        <v>930</v>
      </c>
    </row>
    <row r="539" spans="1:4" x14ac:dyDescent="0.25">
      <c r="A539" s="13">
        <f>IF(Tabla3[[#This Row],[Fare correción 2]]&gt;=1000,Tabla3[[#This Row],[Fare correción 2]]/10,Tabla3[[#This Row],[Fare correción 2]])</f>
        <v>106.425</v>
      </c>
      <c r="B539">
        <f>IF(Tabla3[[#This Row],[Fare corrección]]&gt;1000,Tabla3[[#This Row],[Fare corrección]]/1000,Tabla3[[#This Row],[Fare corrección]])</f>
        <v>106.425</v>
      </c>
      <c r="C539" s="1">
        <f>IF(ISNUMBER(Tabla3[[#This Row],[Fare]]),Tabla3[[#This Row],[Fare]],VALUE(SUBSTITUTE(Tabla3[[#This Row],[Fare]],".",",")))</f>
        <v>106425</v>
      </c>
      <c r="D539" s="1">
        <v>106425</v>
      </c>
    </row>
    <row r="540" spans="1:4" x14ac:dyDescent="0.25">
      <c r="A540" s="13">
        <f>IF(Tabla3[[#This Row],[Fare correción 2]]&gt;=1000,Tabla3[[#This Row],[Fare correción 2]]/10,Tabla3[[#This Row],[Fare correción 2]])</f>
        <v>14.5</v>
      </c>
      <c r="B540">
        <f>IF(Tabla3[[#This Row],[Fare corrección]]&gt;1000,Tabla3[[#This Row],[Fare corrección]]/1000,Tabla3[[#This Row],[Fare corrección]])</f>
        <v>14.5</v>
      </c>
      <c r="C540">
        <f>IF(ISNUMBER(Tabla3[[#This Row],[Fare]]),Tabla3[[#This Row],[Fare]],VALUE(SUBSTITUTE(Tabla3[[#This Row],[Fare]],".",",")))</f>
        <v>14.5</v>
      </c>
      <c r="D540" t="s">
        <v>1090</v>
      </c>
    </row>
    <row r="541" spans="1:4" x14ac:dyDescent="0.25">
      <c r="A541" s="13">
        <f>IF(Tabla3[[#This Row],[Fare correción 2]]&gt;=1000,Tabla3[[#This Row],[Fare correción 2]]/10,Tabla3[[#This Row],[Fare correción 2]])</f>
        <v>49.5</v>
      </c>
      <c r="B541">
        <f>IF(Tabla3[[#This Row],[Fare corrección]]&gt;1000,Tabla3[[#This Row],[Fare corrección]]/1000,Tabla3[[#This Row],[Fare corrección]])</f>
        <v>49.5</v>
      </c>
      <c r="C541">
        <f>IF(ISNUMBER(Tabla3[[#This Row],[Fare]]),Tabla3[[#This Row],[Fare]],VALUE(SUBSTITUTE(Tabla3[[#This Row],[Fare]],".",",")))</f>
        <v>49.5</v>
      </c>
      <c r="D541" t="s">
        <v>1738</v>
      </c>
    </row>
    <row r="542" spans="1:4" x14ac:dyDescent="0.25">
      <c r="A542" s="13">
        <f>IF(Tabla3[[#This Row],[Fare correción 2]]&gt;=1000,Tabla3[[#This Row],[Fare correción 2]]/10,Tabla3[[#This Row],[Fare correción 2]])</f>
        <v>71</v>
      </c>
      <c r="B542">
        <f>IF(Tabla3[[#This Row],[Fare corrección]]&gt;1000,Tabla3[[#This Row],[Fare corrección]]/1000,Tabla3[[#This Row],[Fare corrección]])</f>
        <v>71</v>
      </c>
      <c r="C542">
        <f>IF(ISNUMBER(Tabla3[[#This Row],[Fare]]),Tabla3[[#This Row],[Fare]],VALUE(SUBSTITUTE(Tabla3[[#This Row],[Fare]],".",",")))</f>
        <v>71</v>
      </c>
      <c r="D542">
        <v>71</v>
      </c>
    </row>
    <row r="543" spans="1:4" x14ac:dyDescent="0.25">
      <c r="A543" s="13">
        <f>IF(Tabla3[[#This Row],[Fare correción 2]]&gt;=1000,Tabla3[[#This Row],[Fare correción 2]]/10,Tabla3[[#This Row],[Fare correción 2]])</f>
        <v>31.274999999999999</v>
      </c>
      <c r="B543">
        <f>IF(Tabla3[[#This Row],[Fare corrección]]&gt;1000,Tabla3[[#This Row],[Fare corrección]]/1000,Tabla3[[#This Row],[Fare corrección]])</f>
        <v>31.274999999999999</v>
      </c>
      <c r="C543" s="1">
        <f>IF(ISNUMBER(Tabla3[[#This Row],[Fare]]),Tabla3[[#This Row],[Fare]],VALUE(SUBSTITUTE(Tabla3[[#This Row],[Fare]],".",",")))</f>
        <v>31275</v>
      </c>
      <c r="D543" s="1">
        <v>31275</v>
      </c>
    </row>
    <row r="544" spans="1:4" x14ac:dyDescent="0.25">
      <c r="A544" s="13">
        <f>IF(Tabla3[[#This Row],[Fare correción 2]]&gt;=1000,Tabla3[[#This Row],[Fare correción 2]]/10,Tabla3[[#This Row],[Fare correción 2]])</f>
        <v>31.274999999999999</v>
      </c>
      <c r="B544">
        <f>IF(Tabla3[[#This Row],[Fare corrección]]&gt;1000,Tabla3[[#This Row],[Fare corrección]]/1000,Tabla3[[#This Row],[Fare corrección]])</f>
        <v>31.274999999999999</v>
      </c>
      <c r="C544" s="1">
        <f>IF(ISNUMBER(Tabla3[[#This Row],[Fare]]),Tabla3[[#This Row],[Fare]],VALUE(SUBSTITUTE(Tabla3[[#This Row],[Fare]],".",",")))</f>
        <v>31275</v>
      </c>
      <c r="D544" s="1">
        <v>31275</v>
      </c>
    </row>
    <row r="545" spans="1:4" x14ac:dyDescent="0.25">
      <c r="A545" s="13">
        <f>IF(Tabla3[[#This Row],[Fare correción 2]]&gt;=1000,Tabla3[[#This Row],[Fare correción 2]]/10,Tabla3[[#This Row],[Fare correción 2]])</f>
        <v>26</v>
      </c>
      <c r="B545">
        <f>IF(Tabla3[[#This Row],[Fare corrección]]&gt;1000,Tabla3[[#This Row],[Fare corrección]]/1000,Tabla3[[#This Row],[Fare corrección]])</f>
        <v>26</v>
      </c>
      <c r="C545">
        <f>IF(ISNUMBER(Tabla3[[#This Row],[Fare]]),Tabla3[[#This Row],[Fare]],VALUE(SUBSTITUTE(Tabla3[[#This Row],[Fare]],".",",")))</f>
        <v>26</v>
      </c>
      <c r="D545">
        <v>26</v>
      </c>
    </row>
    <row r="546" spans="1:4" x14ac:dyDescent="0.25">
      <c r="A546" s="13">
        <f>IF(Tabla3[[#This Row],[Fare correción 2]]&gt;=1000,Tabla3[[#This Row],[Fare correción 2]]/10,Tabla3[[#This Row],[Fare correción 2]])</f>
        <v>106.425</v>
      </c>
      <c r="B546">
        <f>IF(Tabla3[[#This Row],[Fare corrección]]&gt;1000,Tabla3[[#This Row],[Fare corrección]]/1000,Tabla3[[#This Row],[Fare corrección]])</f>
        <v>106.425</v>
      </c>
      <c r="C546" s="1">
        <f>IF(ISNUMBER(Tabla3[[#This Row],[Fare]]),Tabla3[[#This Row],[Fare]],VALUE(SUBSTITUTE(Tabla3[[#This Row],[Fare]],".",",")))</f>
        <v>106425</v>
      </c>
      <c r="D546" s="1">
        <v>106425</v>
      </c>
    </row>
    <row r="547" spans="1:4" x14ac:dyDescent="0.25">
      <c r="A547" s="13">
        <f>IF(Tabla3[[#This Row],[Fare correción 2]]&gt;=1000,Tabla3[[#This Row],[Fare correción 2]]/10,Tabla3[[#This Row],[Fare correción 2]])</f>
        <v>26</v>
      </c>
      <c r="B547">
        <f>IF(Tabla3[[#This Row],[Fare corrección]]&gt;1000,Tabla3[[#This Row],[Fare corrección]]/1000,Tabla3[[#This Row],[Fare corrección]])</f>
        <v>26</v>
      </c>
      <c r="C547">
        <f>IF(ISNUMBER(Tabla3[[#This Row],[Fare]]),Tabla3[[#This Row],[Fare]],VALUE(SUBSTITUTE(Tabla3[[#This Row],[Fare]],".",",")))</f>
        <v>26</v>
      </c>
      <c r="D547">
        <v>26</v>
      </c>
    </row>
    <row r="548" spans="1:4" x14ac:dyDescent="0.25">
      <c r="A548" s="13">
        <f>IF(Tabla3[[#This Row],[Fare correción 2]]&gt;=1000,Tabla3[[#This Row],[Fare correción 2]]/10,Tabla3[[#This Row],[Fare correción 2]])</f>
        <v>26</v>
      </c>
      <c r="B548">
        <f>IF(Tabla3[[#This Row],[Fare corrección]]&gt;1000,Tabla3[[#This Row],[Fare corrección]]/1000,Tabla3[[#This Row],[Fare corrección]])</f>
        <v>26</v>
      </c>
      <c r="C548">
        <f>IF(ISNUMBER(Tabla3[[#This Row],[Fare]]),Tabla3[[#This Row],[Fare]],VALUE(SUBSTITUTE(Tabla3[[#This Row],[Fare]],".",",")))</f>
        <v>26</v>
      </c>
      <c r="D548">
        <v>26</v>
      </c>
    </row>
    <row r="549" spans="1:4" x14ac:dyDescent="0.25">
      <c r="A549" s="13">
        <f>IF(Tabla3[[#This Row],[Fare correción 2]]&gt;=1000,Tabla3[[#This Row],[Fare correción 2]]/10,Tabla3[[#This Row],[Fare correción 2]])</f>
        <v>138.625</v>
      </c>
      <c r="B549">
        <f>IF(Tabla3[[#This Row],[Fare corrección]]&gt;1000,Tabla3[[#This Row],[Fare corrección]]/1000,Tabla3[[#This Row],[Fare corrección]])</f>
        <v>138.625</v>
      </c>
      <c r="C549" s="1">
        <f>IF(ISNUMBER(Tabla3[[#This Row],[Fare]]),Tabla3[[#This Row],[Fare]],VALUE(SUBSTITUTE(Tabla3[[#This Row],[Fare]],".",",")))</f>
        <v>138625</v>
      </c>
      <c r="D549" s="1">
        <v>138625</v>
      </c>
    </row>
    <row r="550" spans="1:4" x14ac:dyDescent="0.25">
      <c r="A550" s="13">
        <f>IF(Tabla3[[#This Row],[Fare correción 2]]&gt;=1000,Tabla3[[#This Row],[Fare correción 2]]/10,Tabla3[[#This Row],[Fare correción 2]])</f>
        <v>20.524999999999999</v>
      </c>
      <c r="B550">
        <f>IF(Tabla3[[#This Row],[Fare corrección]]&gt;1000,Tabla3[[#This Row],[Fare corrección]]/1000,Tabla3[[#This Row],[Fare corrección]])</f>
        <v>20.524999999999999</v>
      </c>
      <c r="C550" s="1">
        <f>IF(ISNUMBER(Tabla3[[#This Row],[Fare]]),Tabla3[[#This Row],[Fare]],VALUE(SUBSTITUTE(Tabla3[[#This Row],[Fare]],".",",")))</f>
        <v>20525</v>
      </c>
      <c r="D550" s="1">
        <v>20525</v>
      </c>
    </row>
    <row r="551" spans="1:4" x14ac:dyDescent="0.25">
      <c r="A551" s="13">
        <f>IF(Tabla3[[#This Row],[Fare correción 2]]&gt;=1000,Tabla3[[#This Row],[Fare correción 2]]/10,Tabla3[[#This Row],[Fare correción 2]])</f>
        <v>36.75</v>
      </c>
      <c r="B551">
        <f>IF(Tabla3[[#This Row],[Fare corrección]]&gt;1000,Tabla3[[#This Row],[Fare corrección]]/1000,Tabla3[[#This Row],[Fare corrección]])</f>
        <v>36.75</v>
      </c>
      <c r="C551">
        <f>IF(ISNUMBER(Tabla3[[#This Row],[Fare]]),Tabla3[[#This Row],[Fare]],VALUE(SUBSTITUTE(Tabla3[[#This Row],[Fare]],".",",")))</f>
        <v>36.75</v>
      </c>
      <c r="D551" t="s">
        <v>1147</v>
      </c>
    </row>
    <row r="552" spans="1:4" x14ac:dyDescent="0.25">
      <c r="A552" s="13">
        <f>IF(Tabla3[[#This Row],[Fare correción 2]]&gt;=1000,Tabla3[[#This Row],[Fare correción 2]]/10,Tabla3[[#This Row],[Fare correción 2]])</f>
        <v>110.88330000000001</v>
      </c>
      <c r="B552">
        <f>IF(Tabla3[[#This Row],[Fare corrección]]&gt;1000,Tabla3[[#This Row],[Fare corrección]]/1000,Tabla3[[#This Row],[Fare corrección]])</f>
        <v>1108.8330000000001</v>
      </c>
      <c r="C552" s="1">
        <f>IF(ISNUMBER(Tabla3[[#This Row],[Fare]]),Tabla3[[#This Row],[Fare]],VALUE(SUBSTITUTE(Tabla3[[#This Row],[Fare]],".",",")))</f>
        <v>1108833</v>
      </c>
      <c r="D552" s="1">
        <v>1108833</v>
      </c>
    </row>
    <row r="553" spans="1:4" x14ac:dyDescent="0.25">
      <c r="A553" s="13">
        <f>IF(Tabla3[[#This Row],[Fare correción 2]]&gt;=1000,Tabla3[[#This Row],[Fare correción 2]]/10,Tabla3[[#This Row],[Fare correción 2]])</f>
        <v>26</v>
      </c>
      <c r="B553">
        <f>IF(Tabla3[[#This Row],[Fare corrección]]&gt;1000,Tabla3[[#This Row],[Fare corrección]]/1000,Tabla3[[#This Row],[Fare corrección]])</f>
        <v>26</v>
      </c>
      <c r="C553">
        <f>IF(ISNUMBER(Tabla3[[#This Row],[Fare]]),Tabla3[[#This Row],[Fare]],VALUE(SUBSTITUTE(Tabla3[[#This Row],[Fare]],".",",")))</f>
        <v>26</v>
      </c>
      <c r="D553">
        <v>26</v>
      </c>
    </row>
    <row r="554" spans="1:4" x14ac:dyDescent="0.25">
      <c r="A554" s="13">
        <f>IF(Tabla3[[#This Row],[Fare correción 2]]&gt;=1000,Tabla3[[#This Row],[Fare correción 2]]/10,Tabla3[[#This Row],[Fare correción 2]])</f>
        <v>78.292000000000002</v>
      </c>
      <c r="B554">
        <f>IF(Tabla3[[#This Row],[Fare corrección]]&gt;1000,Tabla3[[#This Row],[Fare corrección]]/1000,Tabla3[[#This Row],[Fare corrección]])</f>
        <v>78.292000000000002</v>
      </c>
      <c r="C554" s="1">
        <f>IF(ISNUMBER(Tabla3[[#This Row],[Fare]]),Tabla3[[#This Row],[Fare]],VALUE(SUBSTITUTE(Tabla3[[#This Row],[Fare]],".",",")))</f>
        <v>78292</v>
      </c>
      <c r="D554" s="1">
        <v>78292</v>
      </c>
    </row>
    <row r="555" spans="1:4" x14ac:dyDescent="0.25">
      <c r="A555" s="13">
        <f>IF(Tabla3[[#This Row],[Fare correción 2]]&gt;=1000,Tabla3[[#This Row],[Fare correción 2]]/10,Tabla3[[#This Row],[Fare correción 2]])</f>
        <v>7.2249999999999996</v>
      </c>
      <c r="B555">
        <f>IF(Tabla3[[#This Row],[Fare corrección]]&gt;1000,Tabla3[[#This Row],[Fare corrección]]/1000,Tabla3[[#This Row],[Fare corrección]])</f>
        <v>7.2249999999999996</v>
      </c>
      <c r="C555" s="1">
        <f>IF(ISNUMBER(Tabla3[[#This Row],[Fare]]),Tabla3[[#This Row],[Fare]],VALUE(SUBSTITUTE(Tabla3[[#This Row],[Fare]],".",",")))</f>
        <v>7225</v>
      </c>
      <c r="D555" s="1">
        <v>7225</v>
      </c>
    </row>
    <row r="556" spans="1:4" x14ac:dyDescent="0.25">
      <c r="A556" s="13">
        <f>IF(Tabla3[[#This Row],[Fare correción 2]]&gt;=1000,Tabla3[[#This Row],[Fare correción 2]]/10,Tabla3[[#This Row],[Fare correción 2]])</f>
        <v>7.7750000000000004</v>
      </c>
      <c r="B556">
        <f>IF(Tabla3[[#This Row],[Fare corrección]]&gt;1000,Tabla3[[#This Row],[Fare corrección]]/1000,Tabla3[[#This Row],[Fare corrección]])</f>
        <v>7.7750000000000004</v>
      </c>
      <c r="C556" s="1">
        <f>IF(ISNUMBER(Tabla3[[#This Row],[Fare]]),Tabla3[[#This Row],[Fare]],VALUE(SUBSTITUTE(Tabla3[[#This Row],[Fare]],".",",")))</f>
        <v>7775</v>
      </c>
      <c r="D556" s="1">
        <v>7775</v>
      </c>
    </row>
    <row r="557" spans="1:4" x14ac:dyDescent="0.25">
      <c r="A557" s="13">
        <f>IF(Tabla3[[#This Row],[Fare correción 2]]&gt;=1000,Tabla3[[#This Row],[Fare correción 2]]/10,Tabla3[[#This Row],[Fare correción 2]])</f>
        <v>26.55</v>
      </c>
      <c r="B557">
        <f>IF(Tabla3[[#This Row],[Fare corrección]]&gt;1000,Tabla3[[#This Row],[Fare corrección]]/1000,Tabla3[[#This Row],[Fare corrección]])</f>
        <v>26.55</v>
      </c>
      <c r="C557">
        <f>IF(ISNUMBER(Tabla3[[#This Row],[Fare]]),Tabla3[[#This Row],[Fare]],VALUE(SUBSTITUTE(Tabla3[[#This Row],[Fare]],".",",")))</f>
        <v>26.55</v>
      </c>
      <c r="D557" t="s">
        <v>930</v>
      </c>
    </row>
    <row r="558" spans="1:4" x14ac:dyDescent="0.25">
      <c r="A558" s="13">
        <f>IF(Tabla3[[#This Row],[Fare correción 2]]&gt;=1000,Tabla3[[#This Row],[Fare correción 2]]/10,Tabla3[[#This Row],[Fare correción 2]])</f>
        <v>39.6</v>
      </c>
      <c r="B558">
        <f>IF(Tabla3[[#This Row],[Fare corrección]]&gt;1000,Tabla3[[#This Row],[Fare corrección]]/1000,Tabla3[[#This Row],[Fare corrección]])</f>
        <v>39.6</v>
      </c>
      <c r="C558">
        <f>IF(ISNUMBER(Tabla3[[#This Row],[Fare]]),Tabla3[[#This Row],[Fare]],VALUE(SUBSTITUTE(Tabla3[[#This Row],[Fare]],".",",")))</f>
        <v>39.6</v>
      </c>
      <c r="D558" t="s">
        <v>1762</v>
      </c>
    </row>
    <row r="559" spans="1:4" x14ac:dyDescent="0.25">
      <c r="A559" s="13">
        <f>IF(Tabla3[[#This Row],[Fare correción 2]]&gt;=1000,Tabla3[[#This Row],[Fare correción 2]]/10,Tabla3[[#This Row],[Fare correción 2]])</f>
        <v>227.52500000000001</v>
      </c>
      <c r="B559">
        <f>IF(Tabla3[[#This Row],[Fare corrección]]&gt;1000,Tabla3[[#This Row],[Fare corrección]]/1000,Tabla3[[#This Row],[Fare corrección]])</f>
        <v>227.52500000000001</v>
      </c>
      <c r="C559" s="1">
        <f>IF(ISNUMBER(Tabla3[[#This Row],[Fare]]),Tabla3[[#This Row],[Fare]],VALUE(SUBSTITUTE(Tabla3[[#This Row],[Fare]],".",",")))</f>
        <v>227525</v>
      </c>
      <c r="D559" s="1">
        <v>227525</v>
      </c>
    </row>
    <row r="560" spans="1:4" x14ac:dyDescent="0.25">
      <c r="A560" s="13">
        <f>IF(Tabla3[[#This Row],[Fare correción 2]]&gt;=1000,Tabla3[[#This Row],[Fare correción 2]]/10,Tabla3[[#This Row],[Fare correción 2]])</f>
        <v>79.650000000000006</v>
      </c>
      <c r="B560">
        <f>IF(Tabla3[[#This Row],[Fare corrección]]&gt;1000,Tabla3[[#This Row],[Fare corrección]]/1000,Tabla3[[#This Row],[Fare corrección]])</f>
        <v>79.650000000000006</v>
      </c>
      <c r="C560">
        <f>IF(ISNUMBER(Tabla3[[#This Row],[Fare]]),Tabla3[[#This Row],[Fare]],VALUE(SUBSTITUTE(Tabla3[[#This Row],[Fare]],".",",")))</f>
        <v>79.650000000000006</v>
      </c>
      <c r="D560" t="s">
        <v>1332</v>
      </c>
    </row>
    <row r="561" spans="1:4" x14ac:dyDescent="0.25">
      <c r="A561" s="13">
        <f>IF(Tabla3[[#This Row],[Fare correción 2]]&gt;=1000,Tabla3[[#This Row],[Fare correción 2]]/10,Tabla3[[#This Row],[Fare correción 2]])</f>
        <v>17.399999999999999</v>
      </c>
      <c r="B561">
        <f>IF(Tabla3[[#This Row],[Fare corrección]]&gt;1000,Tabla3[[#This Row],[Fare corrección]]/1000,Tabla3[[#This Row],[Fare corrección]])</f>
        <v>17.399999999999999</v>
      </c>
      <c r="C561">
        <f>IF(ISNUMBER(Tabla3[[#This Row],[Fare]]),Tabla3[[#This Row],[Fare]],VALUE(SUBSTITUTE(Tabla3[[#This Row],[Fare]],".",",")))</f>
        <v>17.399999999999999</v>
      </c>
      <c r="D561" t="s">
        <v>1767</v>
      </c>
    </row>
    <row r="562" spans="1:4" x14ac:dyDescent="0.25">
      <c r="A562" s="13">
        <f>IF(Tabla3[[#This Row],[Fare correción 2]]&gt;=1000,Tabla3[[#This Row],[Fare correción 2]]/10,Tabla3[[#This Row],[Fare correción 2]])</f>
        <v>7.75</v>
      </c>
      <c r="B562">
        <f>IF(Tabla3[[#This Row],[Fare corrección]]&gt;1000,Tabla3[[#This Row],[Fare corrección]]/1000,Tabla3[[#This Row],[Fare corrección]])</f>
        <v>7.75</v>
      </c>
      <c r="C562">
        <f>IF(ISNUMBER(Tabla3[[#This Row],[Fare]]),Tabla3[[#This Row],[Fare]],VALUE(SUBSTITUTE(Tabla3[[#This Row],[Fare]],".",",")))</f>
        <v>7.75</v>
      </c>
      <c r="D562" t="s">
        <v>961</v>
      </c>
    </row>
    <row r="563" spans="1:4" x14ac:dyDescent="0.25">
      <c r="A563" s="13">
        <f>IF(Tabla3[[#This Row],[Fare correción 2]]&gt;=1000,Tabla3[[#This Row],[Fare correción 2]]/10,Tabla3[[#This Row],[Fare correción 2]])</f>
        <v>78.957999999999998</v>
      </c>
      <c r="B563">
        <f>IF(Tabla3[[#This Row],[Fare corrección]]&gt;1000,Tabla3[[#This Row],[Fare corrección]]/1000,Tabla3[[#This Row],[Fare corrección]])</f>
        <v>78.957999999999998</v>
      </c>
      <c r="C563" s="1">
        <f>IF(ISNUMBER(Tabla3[[#This Row],[Fare]]),Tabla3[[#This Row],[Fare]],VALUE(SUBSTITUTE(Tabla3[[#This Row],[Fare]],".",",")))</f>
        <v>78958</v>
      </c>
      <c r="D563" s="1">
        <v>78958</v>
      </c>
    </row>
    <row r="564" spans="1:4" x14ac:dyDescent="0.25">
      <c r="A564" s="13">
        <f>IF(Tabla3[[#This Row],[Fare correción 2]]&gt;=1000,Tabla3[[#This Row],[Fare correción 2]]/10,Tabla3[[#This Row],[Fare correción 2]])</f>
        <v>13.5</v>
      </c>
      <c r="B564">
        <f>IF(Tabla3[[#This Row],[Fare corrección]]&gt;1000,Tabla3[[#This Row],[Fare corrección]]/1000,Tabla3[[#This Row],[Fare corrección]])</f>
        <v>13.5</v>
      </c>
      <c r="C564">
        <f>IF(ISNUMBER(Tabla3[[#This Row],[Fare]]),Tabla3[[#This Row],[Fare]],VALUE(SUBSTITUTE(Tabla3[[#This Row],[Fare]],".",",")))</f>
        <v>13.5</v>
      </c>
      <c r="D564" t="s">
        <v>1285</v>
      </c>
    </row>
    <row r="565" spans="1:4" x14ac:dyDescent="0.25">
      <c r="A565" s="13">
        <f>IF(Tabla3[[#This Row],[Fare correción 2]]&gt;=1000,Tabla3[[#This Row],[Fare correción 2]]/10,Tabla3[[#This Row],[Fare correción 2]])</f>
        <v>8.0500000000000007</v>
      </c>
      <c r="B565">
        <f>IF(Tabla3[[#This Row],[Fare corrección]]&gt;1000,Tabla3[[#This Row],[Fare corrección]]/1000,Tabla3[[#This Row],[Fare corrección]])</f>
        <v>8.0500000000000007</v>
      </c>
      <c r="C565">
        <f>IF(ISNUMBER(Tabla3[[#This Row],[Fare]]),Tabla3[[#This Row],[Fare]],VALUE(SUBSTITUTE(Tabla3[[#This Row],[Fare]],".",",")))</f>
        <v>8.0500000000000007</v>
      </c>
      <c r="D565" t="s">
        <v>917</v>
      </c>
    </row>
    <row r="566" spans="1:4" x14ac:dyDescent="0.25">
      <c r="A566" s="13">
        <f>IF(Tabla3[[#This Row],[Fare correción 2]]&gt;=1000,Tabla3[[#This Row],[Fare correción 2]]/10,Tabla3[[#This Row],[Fare correción 2]])</f>
        <v>8.0500000000000007</v>
      </c>
      <c r="B566">
        <f>IF(Tabla3[[#This Row],[Fare corrección]]&gt;1000,Tabla3[[#This Row],[Fare corrección]]/1000,Tabla3[[#This Row],[Fare corrección]])</f>
        <v>8.0500000000000007</v>
      </c>
      <c r="C566">
        <f>IF(ISNUMBER(Tabla3[[#This Row],[Fare]]),Tabla3[[#This Row],[Fare]],VALUE(SUBSTITUTE(Tabla3[[#This Row],[Fare]],".",",")))</f>
        <v>8.0500000000000007</v>
      </c>
      <c r="D566" t="s">
        <v>917</v>
      </c>
    </row>
    <row r="567" spans="1:4" x14ac:dyDescent="0.25">
      <c r="A567" s="13">
        <f>IF(Tabla3[[#This Row],[Fare correción 2]]&gt;=1000,Tabla3[[#This Row],[Fare correción 2]]/10,Tabla3[[#This Row],[Fare correción 2]])</f>
        <v>24.15</v>
      </c>
      <c r="B567">
        <f>IF(Tabla3[[#This Row],[Fare corrección]]&gt;1000,Tabla3[[#This Row],[Fare corrección]]/1000,Tabla3[[#This Row],[Fare corrección]])</f>
        <v>24.15</v>
      </c>
      <c r="C567">
        <f>IF(ISNUMBER(Tabla3[[#This Row],[Fare]]),Tabla3[[#This Row],[Fare]],VALUE(SUBSTITUTE(Tabla3[[#This Row],[Fare]],".",",")))</f>
        <v>24.15</v>
      </c>
      <c r="D567" t="s">
        <v>1086</v>
      </c>
    </row>
    <row r="568" spans="1:4" x14ac:dyDescent="0.25">
      <c r="A568" s="13">
        <f>IF(Tabla3[[#This Row],[Fare correción 2]]&gt;=1000,Tabla3[[#This Row],[Fare correción 2]]/10,Tabla3[[#This Row],[Fare correción 2]])</f>
        <v>78.957999999999998</v>
      </c>
      <c r="B568">
        <f>IF(Tabla3[[#This Row],[Fare corrección]]&gt;1000,Tabla3[[#This Row],[Fare corrección]]/1000,Tabla3[[#This Row],[Fare corrección]])</f>
        <v>78.957999999999998</v>
      </c>
      <c r="C568" s="1">
        <f>IF(ISNUMBER(Tabla3[[#This Row],[Fare]]),Tabla3[[#This Row],[Fare]],VALUE(SUBSTITUTE(Tabla3[[#This Row],[Fare]],".",",")))</f>
        <v>78958</v>
      </c>
      <c r="D568" s="1">
        <v>78958</v>
      </c>
    </row>
    <row r="569" spans="1:4" x14ac:dyDescent="0.25">
      <c r="A569" s="13">
        <f>IF(Tabla3[[#This Row],[Fare correción 2]]&gt;=1000,Tabla3[[#This Row],[Fare correción 2]]/10,Tabla3[[#This Row],[Fare correción 2]])</f>
        <v>21.074999999999999</v>
      </c>
      <c r="B569">
        <f>IF(Tabla3[[#This Row],[Fare corrección]]&gt;1000,Tabla3[[#This Row],[Fare corrección]]/1000,Tabla3[[#This Row],[Fare corrección]])</f>
        <v>21.074999999999999</v>
      </c>
      <c r="C569" s="1">
        <f>IF(ISNUMBER(Tabla3[[#This Row],[Fare]]),Tabla3[[#This Row],[Fare]],VALUE(SUBSTITUTE(Tabla3[[#This Row],[Fare]],".",",")))</f>
        <v>21075</v>
      </c>
      <c r="D569" s="1">
        <v>21075</v>
      </c>
    </row>
    <row r="570" spans="1:4" x14ac:dyDescent="0.25">
      <c r="A570" s="13">
        <f>IF(Tabla3[[#This Row],[Fare correción 2]]&gt;=1000,Tabla3[[#This Row],[Fare correción 2]]/10,Tabla3[[#This Row],[Fare correción 2]])</f>
        <v>72.292000000000002</v>
      </c>
      <c r="B570">
        <f>IF(Tabla3[[#This Row],[Fare corrección]]&gt;1000,Tabla3[[#This Row],[Fare corrección]]/1000,Tabla3[[#This Row],[Fare corrección]])</f>
        <v>72.292000000000002</v>
      </c>
      <c r="C570" s="1">
        <f>IF(ISNUMBER(Tabla3[[#This Row],[Fare]]),Tabla3[[#This Row],[Fare]],VALUE(SUBSTITUTE(Tabla3[[#This Row],[Fare]],".",",")))</f>
        <v>72292</v>
      </c>
      <c r="D570" s="1">
        <v>72292</v>
      </c>
    </row>
    <row r="571" spans="1:4" x14ac:dyDescent="0.25">
      <c r="A571" s="13">
        <f>IF(Tabla3[[#This Row],[Fare correción 2]]&gt;=1000,Tabla3[[#This Row],[Fare correción 2]]/10,Tabla3[[#This Row],[Fare correción 2]])</f>
        <v>78.542000000000002</v>
      </c>
      <c r="B571">
        <f>IF(Tabla3[[#This Row],[Fare corrección]]&gt;1000,Tabla3[[#This Row],[Fare corrección]]/1000,Tabla3[[#This Row],[Fare corrección]])</f>
        <v>78.542000000000002</v>
      </c>
      <c r="C571" s="1">
        <f>IF(ISNUMBER(Tabla3[[#This Row],[Fare]]),Tabla3[[#This Row],[Fare]],VALUE(SUBSTITUTE(Tabla3[[#This Row],[Fare]],".",",")))</f>
        <v>78542</v>
      </c>
      <c r="D571" s="1">
        <v>78542</v>
      </c>
    </row>
    <row r="572" spans="1:4" x14ac:dyDescent="0.25">
      <c r="A572" s="13">
        <f>IF(Tabla3[[#This Row],[Fare correción 2]]&gt;=1000,Tabla3[[#This Row],[Fare correción 2]]/10,Tabla3[[#This Row],[Fare correción 2]])</f>
        <v>10.5</v>
      </c>
      <c r="B572">
        <f>IF(Tabla3[[#This Row],[Fare corrección]]&gt;1000,Tabla3[[#This Row],[Fare corrección]]/1000,Tabla3[[#This Row],[Fare corrección]])</f>
        <v>10.5</v>
      </c>
      <c r="C572">
        <f>IF(ISNUMBER(Tabla3[[#This Row],[Fare]]),Tabla3[[#This Row],[Fare]],VALUE(SUBSTITUTE(Tabla3[[#This Row],[Fare]],".",",")))</f>
        <v>10.5</v>
      </c>
      <c r="D572" t="s">
        <v>964</v>
      </c>
    </row>
    <row r="573" spans="1:4" x14ac:dyDescent="0.25">
      <c r="A573" s="13">
        <f>IF(Tabla3[[#This Row],[Fare correción 2]]&gt;=1000,Tabla3[[#This Row],[Fare correción 2]]/10,Tabla3[[#This Row],[Fare correción 2]])</f>
        <v>514.79200000000003</v>
      </c>
      <c r="B573">
        <f>IF(Tabla3[[#This Row],[Fare corrección]]&gt;1000,Tabla3[[#This Row],[Fare corrección]]/1000,Tabla3[[#This Row],[Fare corrección]])</f>
        <v>514.79200000000003</v>
      </c>
      <c r="C573" s="1">
        <f>IF(ISNUMBER(Tabla3[[#This Row],[Fare]]),Tabla3[[#This Row],[Fare]],VALUE(SUBSTITUTE(Tabla3[[#This Row],[Fare]],".",",")))</f>
        <v>514792</v>
      </c>
      <c r="D573" s="1">
        <v>514792</v>
      </c>
    </row>
    <row r="574" spans="1:4" x14ac:dyDescent="0.25">
      <c r="A574" s="13">
        <f>IF(Tabla3[[#This Row],[Fare correción 2]]&gt;=1000,Tabla3[[#This Row],[Fare correción 2]]/10,Tabla3[[#This Row],[Fare correción 2]])</f>
        <v>263.875</v>
      </c>
      <c r="B574">
        <f>IF(Tabla3[[#This Row],[Fare corrección]]&gt;1000,Tabla3[[#This Row],[Fare corrección]]/1000,Tabla3[[#This Row],[Fare corrección]])</f>
        <v>263.875</v>
      </c>
      <c r="C574" s="1">
        <f>IF(ISNUMBER(Tabla3[[#This Row],[Fare]]),Tabla3[[#This Row],[Fare]],VALUE(SUBSTITUTE(Tabla3[[#This Row],[Fare]],".",",")))</f>
        <v>263875</v>
      </c>
      <c r="D574" s="1">
        <v>263875</v>
      </c>
    </row>
    <row r="575" spans="1:4" x14ac:dyDescent="0.25">
      <c r="A575" s="13">
        <f>IF(Tabla3[[#This Row],[Fare correción 2]]&gt;=1000,Tabla3[[#This Row],[Fare correción 2]]/10,Tabla3[[#This Row],[Fare correción 2]])</f>
        <v>7.75</v>
      </c>
      <c r="B575">
        <f>IF(Tabla3[[#This Row],[Fare corrección]]&gt;1000,Tabla3[[#This Row],[Fare corrección]]/1000,Tabla3[[#This Row],[Fare corrección]])</f>
        <v>7.75</v>
      </c>
      <c r="C575">
        <f>IF(ISNUMBER(Tabla3[[#This Row],[Fare]]),Tabla3[[#This Row],[Fare]],VALUE(SUBSTITUTE(Tabla3[[#This Row],[Fare]],".",",")))</f>
        <v>7.75</v>
      </c>
      <c r="D575" t="s">
        <v>961</v>
      </c>
    </row>
    <row r="576" spans="1:4" x14ac:dyDescent="0.25">
      <c r="A576" s="13">
        <f>IF(Tabla3[[#This Row],[Fare correción 2]]&gt;=1000,Tabla3[[#This Row],[Fare correción 2]]/10,Tabla3[[#This Row],[Fare correción 2]])</f>
        <v>8.0500000000000007</v>
      </c>
      <c r="B576">
        <f>IF(Tabla3[[#This Row],[Fare corrección]]&gt;1000,Tabla3[[#This Row],[Fare corrección]]/1000,Tabla3[[#This Row],[Fare corrección]])</f>
        <v>8.0500000000000007</v>
      </c>
      <c r="C576">
        <f>IF(ISNUMBER(Tabla3[[#This Row],[Fare]]),Tabla3[[#This Row],[Fare]],VALUE(SUBSTITUTE(Tabla3[[#This Row],[Fare]],".",",")))</f>
        <v>8.0500000000000007</v>
      </c>
      <c r="D576" t="s">
        <v>917</v>
      </c>
    </row>
    <row r="577" spans="1:4" x14ac:dyDescent="0.25">
      <c r="A577" s="13">
        <f>IF(Tabla3[[#This Row],[Fare correción 2]]&gt;=1000,Tabla3[[#This Row],[Fare correción 2]]/10,Tabla3[[#This Row],[Fare correción 2]])</f>
        <v>14.5</v>
      </c>
      <c r="B577">
        <f>IF(Tabla3[[#This Row],[Fare corrección]]&gt;1000,Tabla3[[#This Row],[Fare corrección]]/1000,Tabla3[[#This Row],[Fare corrección]])</f>
        <v>14.5</v>
      </c>
      <c r="C577">
        <f>IF(ISNUMBER(Tabla3[[#This Row],[Fare]]),Tabla3[[#This Row],[Fare]],VALUE(SUBSTITUTE(Tabla3[[#This Row],[Fare]],".",",")))</f>
        <v>14.5</v>
      </c>
      <c r="D577" t="s">
        <v>1090</v>
      </c>
    </row>
    <row r="578" spans="1:4" x14ac:dyDescent="0.25">
      <c r="A578" s="13">
        <f>IF(Tabla3[[#This Row],[Fare correción 2]]&gt;=1000,Tabla3[[#This Row],[Fare correción 2]]/10,Tabla3[[#This Row],[Fare correción 2]])</f>
        <v>13</v>
      </c>
      <c r="B578">
        <f>IF(Tabla3[[#This Row],[Fare corrección]]&gt;1000,Tabla3[[#This Row],[Fare corrección]]/1000,Tabla3[[#This Row],[Fare corrección]])</f>
        <v>13</v>
      </c>
      <c r="C578">
        <f>IF(ISNUMBER(Tabla3[[#This Row],[Fare]]),Tabla3[[#This Row],[Fare]],VALUE(SUBSTITUTE(Tabla3[[#This Row],[Fare]],".",",")))</f>
        <v>13</v>
      </c>
      <c r="D578">
        <v>13</v>
      </c>
    </row>
    <row r="579" spans="1:4" x14ac:dyDescent="0.25">
      <c r="A579" s="13">
        <f>IF(Tabla3[[#This Row],[Fare correción 2]]&gt;=1000,Tabla3[[#This Row],[Fare correción 2]]/10,Tabla3[[#This Row],[Fare correción 2]])</f>
        <v>55.9</v>
      </c>
      <c r="B579">
        <f>IF(Tabla3[[#This Row],[Fare corrección]]&gt;1000,Tabla3[[#This Row],[Fare corrección]]/1000,Tabla3[[#This Row],[Fare corrección]])</f>
        <v>55.9</v>
      </c>
      <c r="C579">
        <f>IF(ISNUMBER(Tabla3[[#This Row],[Fare]]),Tabla3[[#This Row],[Fare]],VALUE(SUBSTITUTE(Tabla3[[#This Row],[Fare]],".",",")))</f>
        <v>55.9</v>
      </c>
      <c r="D579" t="s">
        <v>1588</v>
      </c>
    </row>
    <row r="580" spans="1:4" x14ac:dyDescent="0.25">
      <c r="A580" s="13">
        <f>IF(Tabla3[[#This Row],[Fare correción 2]]&gt;=1000,Tabla3[[#This Row],[Fare correción 2]]/10,Tabla3[[#This Row],[Fare correción 2]])</f>
        <v>144.583</v>
      </c>
      <c r="B580">
        <f>IF(Tabla3[[#This Row],[Fare corrección]]&gt;1000,Tabla3[[#This Row],[Fare corrección]]/1000,Tabla3[[#This Row],[Fare corrección]])</f>
        <v>144.583</v>
      </c>
      <c r="C580" s="1">
        <f>IF(ISNUMBER(Tabla3[[#This Row],[Fare]]),Tabla3[[#This Row],[Fare]],VALUE(SUBSTITUTE(Tabla3[[#This Row],[Fare]],".",",")))</f>
        <v>144583</v>
      </c>
      <c r="D580" s="1">
        <v>144583</v>
      </c>
    </row>
    <row r="581" spans="1:4" x14ac:dyDescent="0.25">
      <c r="A581" s="13">
        <f>IF(Tabla3[[#This Row],[Fare correción 2]]&gt;=1000,Tabla3[[#This Row],[Fare correción 2]]/10,Tabla3[[#This Row],[Fare correción 2]])</f>
        <v>7.9249999999999998</v>
      </c>
      <c r="B581">
        <f>IF(Tabla3[[#This Row],[Fare corrección]]&gt;1000,Tabla3[[#This Row],[Fare corrección]]/1000,Tabla3[[#This Row],[Fare corrección]])</f>
        <v>7.9249999999999998</v>
      </c>
      <c r="C581" s="1">
        <f>IF(ISNUMBER(Tabla3[[#This Row],[Fare]]),Tabla3[[#This Row],[Fare]],VALUE(SUBSTITUTE(Tabla3[[#This Row],[Fare]],".",",")))</f>
        <v>7925</v>
      </c>
      <c r="D581" s="1">
        <v>7925</v>
      </c>
    </row>
    <row r="582" spans="1:4" x14ac:dyDescent="0.25">
      <c r="A582" s="13">
        <f>IF(Tabla3[[#This Row],[Fare correción 2]]&gt;=1000,Tabla3[[#This Row],[Fare correción 2]]/10,Tabla3[[#This Row],[Fare correción 2]])</f>
        <v>30</v>
      </c>
      <c r="B582">
        <f>IF(Tabla3[[#This Row],[Fare corrección]]&gt;1000,Tabla3[[#This Row],[Fare corrección]]/1000,Tabla3[[#This Row],[Fare corrección]])</f>
        <v>30</v>
      </c>
      <c r="C582">
        <f>IF(ISNUMBER(Tabla3[[#This Row],[Fare]]),Tabla3[[#This Row],[Fare]],VALUE(SUBSTITUTE(Tabla3[[#This Row],[Fare]],".",",")))</f>
        <v>30</v>
      </c>
      <c r="D582">
        <v>30</v>
      </c>
    </row>
    <row r="583" spans="1:4" x14ac:dyDescent="0.25">
      <c r="A583" s="13">
        <f>IF(Tabla3[[#This Row],[Fare correción 2]]&gt;=1000,Tabla3[[#This Row],[Fare correción 2]]/10,Tabla3[[#This Row],[Fare correción 2]])</f>
        <v>110.88330000000001</v>
      </c>
      <c r="B583">
        <f>IF(Tabla3[[#This Row],[Fare corrección]]&gt;1000,Tabla3[[#This Row],[Fare corrección]]/1000,Tabla3[[#This Row],[Fare corrección]])</f>
        <v>1108.8330000000001</v>
      </c>
      <c r="C583" s="1">
        <f>IF(ISNUMBER(Tabla3[[#This Row],[Fare]]),Tabla3[[#This Row],[Fare]],VALUE(SUBSTITUTE(Tabla3[[#This Row],[Fare]],".",",")))</f>
        <v>1108833</v>
      </c>
      <c r="D583" s="1">
        <v>1108833</v>
      </c>
    </row>
    <row r="584" spans="1:4" x14ac:dyDescent="0.25">
      <c r="A584" s="13">
        <f>IF(Tabla3[[#This Row],[Fare correción 2]]&gt;=1000,Tabla3[[#This Row],[Fare correción 2]]/10,Tabla3[[#This Row],[Fare correción 2]])</f>
        <v>26</v>
      </c>
      <c r="B584">
        <f>IF(Tabla3[[#This Row],[Fare corrección]]&gt;1000,Tabla3[[#This Row],[Fare corrección]]/1000,Tabla3[[#This Row],[Fare corrección]])</f>
        <v>26</v>
      </c>
      <c r="C584">
        <f>IF(ISNUMBER(Tabla3[[#This Row],[Fare]]),Tabla3[[#This Row],[Fare]],VALUE(SUBSTITUTE(Tabla3[[#This Row],[Fare]],".",",")))</f>
        <v>26</v>
      </c>
      <c r="D584">
        <v>26</v>
      </c>
    </row>
    <row r="585" spans="1:4" x14ac:dyDescent="0.25">
      <c r="A585" s="13">
        <f>IF(Tabla3[[#This Row],[Fare correción 2]]&gt;=1000,Tabla3[[#This Row],[Fare correción 2]]/10,Tabla3[[#This Row],[Fare correción 2]])</f>
        <v>40.125</v>
      </c>
      <c r="B585">
        <f>IF(Tabla3[[#This Row],[Fare corrección]]&gt;1000,Tabla3[[#This Row],[Fare corrección]]/1000,Tabla3[[#This Row],[Fare corrección]])</f>
        <v>40.125</v>
      </c>
      <c r="C585" s="1">
        <f>IF(ISNUMBER(Tabla3[[#This Row],[Fare]]),Tabla3[[#This Row],[Fare]],VALUE(SUBSTITUTE(Tabla3[[#This Row],[Fare]],".",",")))</f>
        <v>40125</v>
      </c>
      <c r="D585" s="1">
        <v>40125</v>
      </c>
    </row>
    <row r="586" spans="1:4" x14ac:dyDescent="0.25">
      <c r="A586" s="13">
        <f>IF(Tabla3[[#This Row],[Fare correción 2]]&gt;=1000,Tabla3[[#This Row],[Fare correción 2]]/10,Tabla3[[#This Row],[Fare correción 2]])</f>
        <v>87.125</v>
      </c>
      <c r="B586">
        <f>IF(Tabla3[[#This Row],[Fare corrección]]&gt;1000,Tabla3[[#This Row],[Fare corrección]]/1000,Tabla3[[#This Row],[Fare corrección]])</f>
        <v>87.125</v>
      </c>
      <c r="C586" s="1">
        <f>IF(ISNUMBER(Tabla3[[#This Row],[Fare]]),Tabla3[[#This Row],[Fare]],VALUE(SUBSTITUTE(Tabla3[[#This Row],[Fare]],".",",")))</f>
        <v>87125</v>
      </c>
      <c r="D586" s="1">
        <v>87125</v>
      </c>
    </row>
    <row r="587" spans="1:4" x14ac:dyDescent="0.25">
      <c r="A587" s="13">
        <f>IF(Tabla3[[#This Row],[Fare correción 2]]&gt;=1000,Tabla3[[#This Row],[Fare correción 2]]/10,Tabla3[[#This Row],[Fare correción 2]])</f>
        <v>79.650000000000006</v>
      </c>
      <c r="B587">
        <f>IF(Tabla3[[#This Row],[Fare corrección]]&gt;1000,Tabla3[[#This Row],[Fare corrección]]/1000,Tabla3[[#This Row],[Fare corrección]])</f>
        <v>79.650000000000006</v>
      </c>
      <c r="C587">
        <f>IF(ISNUMBER(Tabla3[[#This Row],[Fare]]),Tabla3[[#This Row],[Fare]],VALUE(SUBSTITUTE(Tabla3[[#This Row],[Fare]],".",",")))</f>
        <v>79.650000000000006</v>
      </c>
      <c r="D587" t="s">
        <v>1332</v>
      </c>
    </row>
    <row r="588" spans="1:4" x14ac:dyDescent="0.25">
      <c r="A588" s="13">
        <f>IF(Tabla3[[#This Row],[Fare correción 2]]&gt;=1000,Tabla3[[#This Row],[Fare correción 2]]/10,Tabla3[[#This Row],[Fare correción 2]])</f>
        <v>15</v>
      </c>
      <c r="B588">
        <f>IF(Tabla3[[#This Row],[Fare corrección]]&gt;1000,Tabla3[[#This Row],[Fare corrección]]/1000,Tabla3[[#This Row],[Fare corrección]])</f>
        <v>15</v>
      </c>
      <c r="C588">
        <f>IF(ISNUMBER(Tabla3[[#This Row],[Fare]]),Tabla3[[#This Row],[Fare]],VALUE(SUBSTITUTE(Tabla3[[#This Row],[Fare]],".",",")))</f>
        <v>15</v>
      </c>
      <c r="D588">
        <v>15</v>
      </c>
    </row>
    <row r="589" spans="1:4" x14ac:dyDescent="0.25">
      <c r="A589" s="13">
        <f>IF(Tabla3[[#This Row],[Fare correción 2]]&gt;=1000,Tabla3[[#This Row],[Fare correción 2]]/10,Tabla3[[#This Row],[Fare correción 2]])</f>
        <v>79.2</v>
      </c>
      <c r="B589">
        <f>IF(Tabla3[[#This Row],[Fare corrección]]&gt;1000,Tabla3[[#This Row],[Fare corrección]]/1000,Tabla3[[#This Row],[Fare corrección]])</f>
        <v>79.2</v>
      </c>
      <c r="C589">
        <f>IF(ISNUMBER(Tabla3[[#This Row],[Fare]]),Tabla3[[#This Row],[Fare]],VALUE(SUBSTITUTE(Tabla3[[#This Row],[Fare]],".",",")))</f>
        <v>79.2</v>
      </c>
      <c r="D589" t="s">
        <v>1135</v>
      </c>
    </row>
    <row r="590" spans="1:4" x14ac:dyDescent="0.25">
      <c r="A590" s="13">
        <f>IF(Tabla3[[#This Row],[Fare correción 2]]&gt;=1000,Tabla3[[#This Row],[Fare correción 2]]/10,Tabla3[[#This Row],[Fare correción 2]])</f>
        <v>8.0500000000000007</v>
      </c>
      <c r="B590">
        <f>IF(Tabla3[[#This Row],[Fare corrección]]&gt;1000,Tabla3[[#This Row],[Fare corrección]]/1000,Tabla3[[#This Row],[Fare corrección]])</f>
        <v>8.0500000000000007</v>
      </c>
      <c r="C590">
        <f>IF(ISNUMBER(Tabla3[[#This Row],[Fare]]),Tabla3[[#This Row],[Fare]],VALUE(SUBSTITUTE(Tabla3[[#This Row],[Fare]],".",",")))</f>
        <v>8.0500000000000007</v>
      </c>
      <c r="D590" t="s">
        <v>917</v>
      </c>
    </row>
    <row r="591" spans="1:4" x14ac:dyDescent="0.25">
      <c r="A591" s="13">
        <f>IF(Tabla3[[#This Row],[Fare correción 2]]&gt;=1000,Tabla3[[#This Row],[Fare correción 2]]/10,Tabla3[[#This Row],[Fare correción 2]])</f>
        <v>8.0500000000000007</v>
      </c>
      <c r="B591">
        <f>IF(Tabla3[[#This Row],[Fare corrección]]&gt;1000,Tabla3[[#This Row],[Fare corrección]]/1000,Tabla3[[#This Row],[Fare corrección]])</f>
        <v>8.0500000000000007</v>
      </c>
      <c r="C591">
        <f>IF(ISNUMBER(Tabla3[[#This Row],[Fare]]),Tabla3[[#This Row],[Fare]],VALUE(SUBSTITUTE(Tabla3[[#This Row],[Fare]],".",",")))</f>
        <v>8.0500000000000007</v>
      </c>
      <c r="D591" t="s">
        <v>917</v>
      </c>
    </row>
    <row r="592" spans="1:4" x14ac:dyDescent="0.25">
      <c r="A592" s="13">
        <f>IF(Tabla3[[#This Row],[Fare correción 2]]&gt;=1000,Tabla3[[#This Row],[Fare correción 2]]/10,Tabla3[[#This Row],[Fare correción 2]])</f>
        <v>7.125</v>
      </c>
      <c r="B592">
        <f>IF(Tabla3[[#This Row],[Fare corrección]]&gt;1000,Tabla3[[#This Row],[Fare corrección]]/1000,Tabla3[[#This Row],[Fare corrección]])</f>
        <v>7.125</v>
      </c>
      <c r="C592" s="1">
        <f>IF(ISNUMBER(Tabla3[[#This Row],[Fare]]),Tabla3[[#This Row],[Fare]],VALUE(SUBSTITUTE(Tabla3[[#This Row],[Fare]],".",",")))</f>
        <v>7125</v>
      </c>
      <c r="D592" s="1">
        <v>7125</v>
      </c>
    </row>
    <row r="593" spans="1:4" x14ac:dyDescent="0.25">
      <c r="A593" s="13">
        <f>IF(Tabla3[[#This Row],[Fare correción 2]]&gt;=1000,Tabla3[[#This Row],[Fare correción 2]]/10,Tabla3[[#This Row],[Fare correción 2]])</f>
        <v>782.66700000000003</v>
      </c>
      <c r="B593">
        <f>IF(Tabla3[[#This Row],[Fare corrección]]&gt;1000,Tabla3[[#This Row],[Fare corrección]]/1000,Tabla3[[#This Row],[Fare corrección]])</f>
        <v>782.66700000000003</v>
      </c>
      <c r="C593" s="1">
        <f>IF(ISNUMBER(Tabla3[[#This Row],[Fare]]),Tabla3[[#This Row],[Fare]],VALUE(SUBSTITUTE(Tabla3[[#This Row],[Fare]],".",",")))</f>
        <v>782667</v>
      </c>
      <c r="D593" s="1">
        <v>782667</v>
      </c>
    </row>
    <row r="594" spans="1:4" x14ac:dyDescent="0.25">
      <c r="A594" s="13">
        <f>IF(Tabla3[[#This Row],[Fare correción 2]]&gt;=1000,Tabla3[[#This Row],[Fare correción 2]]/10,Tabla3[[#This Row],[Fare correción 2]])</f>
        <v>7.25</v>
      </c>
      <c r="B594">
        <f>IF(Tabla3[[#This Row],[Fare corrección]]&gt;1000,Tabla3[[#This Row],[Fare corrección]]/1000,Tabla3[[#This Row],[Fare corrección]])</f>
        <v>7.25</v>
      </c>
      <c r="C594">
        <f>IF(ISNUMBER(Tabla3[[#This Row],[Fare]]),Tabla3[[#This Row],[Fare]],VALUE(SUBSTITUTE(Tabla3[[#This Row],[Fare]],".",",")))</f>
        <v>7.25</v>
      </c>
      <c r="D594" t="s">
        <v>904</v>
      </c>
    </row>
    <row r="595" spans="1:4" x14ac:dyDescent="0.25">
      <c r="A595" s="13">
        <f>IF(Tabla3[[#This Row],[Fare correción 2]]&gt;=1000,Tabla3[[#This Row],[Fare correción 2]]/10,Tabla3[[#This Row],[Fare correción 2]])</f>
        <v>7.75</v>
      </c>
      <c r="B595">
        <f>IF(Tabla3[[#This Row],[Fare corrección]]&gt;1000,Tabla3[[#This Row],[Fare corrección]]/1000,Tabla3[[#This Row],[Fare corrección]])</f>
        <v>7.75</v>
      </c>
      <c r="C595">
        <f>IF(ISNUMBER(Tabla3[[#This Row],[Fare]]),Tabla3[[#This Row],[Fare]],VALUE(SUBSTITUTE(Tabla3[[#This Row],[Fare]],".",",")))</f>
        <v>7.75</v>
      </c>
      <c r="D595" t="s">
        <v>961</v>
      </c>
    </row>
    <row r="596" spans="1:4" x14ac:dyDescent="0.25">
      <c r="A596" s="13">
        <f>IF(Tabla3[[#This Row],[Fare correción 2]]&gt;=1000,Tabla3[[#This Row],[Fare correción 2]]/10,Tabla3[[#This Row],[Fare correción 2]])</f>
        <v>26</v>
      </c>
      <c r="B596">
        <f>IF(Tabla3[[#This Row],[Fare corrección]]&gt;1000,Tabla3[[#This Row],[Fare corrección]]/1000,Tabla3[[#This Row],[Fare corrección]])</f>
        <v>26</v>
      </c>
      <c r="C596">
        <f>IF(ISNUMBER(Tabla3[[#This Row],[Fare]]),Tabla3[[#This Row],[Fare]],VALUE(SUBSTITUTE(Tabla3[[#This Row],[Fare]],".",",")))</f>
        <v>26</v>
      </c>
      <c r="D596">
        <v>26</v>
      </c>
    </row>
    <row r="597" spans="1:4" x14ac:dyDescent="0.25">
      <c r="A597" s="13">
        <f>IF(Tabla3[[#This Row],[Fare correción 2]]&gt;=1000,Tabla3[[#This Row],[Fare correción 2]]/10,Tabla3[[#This Row],[Fare correción 2]])</f>
        <v>24.15</v>
      </c>
      <c r="B597">
        <f>IF(Tabla3[[#This Row],[Fare corrección]]&gt;1000,Tabla3[[#This Row],[Fare corrección]]/1000,Tabla3[[#This Row],[Fare corrección]])</f>
        <v>24.15</v>
      </c>
      <c r="C597">
        <f>IF(ISNUMBER(Tabla3[[#This Row],[Fare]]),Tabla3[[#This Row],[Fare]],VALUE(SUBSTITUTE(Tabla3[[#This Row],[Fare]],".",",")))</f>
        <v>24.15</v>
      </c>
      <c r="D597" t="s">
        <v>1086</v>
      </c>
    </row>
    <row r="598" spans="1:4" x14ac:dyDescent="0.25">
      <c r="A598" s="13">
        <f>IF(Tabla3[[#This Row],[Fare correción 2]]&gt;=1000,Tabla3[[#This Row],[Fare correción 2]]/10,Tabla3[[#This Row],[Fare correción 2]])</f>
        <v>33</v>
      </c>
      <c r="B598">
        <f>IF(Tabla3[[#This Row],[Fare corrección]]&gt;1000,Tabla3[[#This Row],[Fare corrección]]/1000,Tabla3[[#This Row],[Fare corrección]])</f>
        <v>33</v>
      </c>
      <c r="C598">
        <f>IF(ISNUMBER(Tabla3[[#This Row],[Fare]]),Tabla3[[#This Row],[Fare]],VALUE(SUBSTITUTE(Tabla3[[#This Row],[Fare]],".",",")))</f>
        <v>33</v>
      </c>
      <c r="D598">
        <v>33</v>
      </c>
    </row>
    <row r="599" spans="1:4" x14ac:dyDescent="0.25">
      <c r="A599" s="13">
        <f>IF(Tabla3[[#This Row],[Fare correción 2]]&gt;=1000,Tabla3[[#This Row],[Fare correción 2]]/10,Tabla3[[#This Row],[Fare correción 2]])</f>
        <v>0</v>
      </c>
      <c r="B599">
        <f>IF(Tabla3[[#This Row],[Fare corrección]]&gt;1000,Tabla3[[#This Row],[Fare corrección]]/1000,Tabla3[[#This Row],[Fare corrección]])</f>
        <v>0</v>
      </c>
      <c r="C599">
        <f>IF(ISNUMBER(Tabla3[[#This Row],[Fare]]),Tabla3[[#This Row],[Fare]],VALUE(SUBSTITUTE(Tabla3[[#This Row],[Fare]],".",",")))</f>
        <v>0</v>
      </c>
      <c r="D599">
        <v>0</v>
      </c>
    </row>
    <row r="600" spans="1:4" x14ac:dyDescent="0.25">
      <c r="A600" s="13">
        <f>IF(Tabla3[[#This Row],[Fare correción 2]]&gt;=1000,Tabla3[[#This Row],[Fare correción 2]]/10,Tabla3[[#This Row],[Fare correción 2]])</f>
        <v>7.2249999999999996</v>
      </c>
      <c r="B600">
        <f>IF(Tabla3[[#This Row],[Fare corrección]]&gt;1000,Tabla3[[#This Row],[Fare corrección]]/1000,Tabla3[[#This Row],[Fare corrección]])</f>
        <v>7.2249999999999996</v>
      </c>
      <c r="C600" s="1">
        <f>IF(ISNUMBER(Tabla3[[#This Row],[Fare]]),Tabla3[[#This Row],[Fare]],VALUE(SUBSTITUTE(Tabla3[[#This Row],[Fare]],".",",")))</f>
        <v>7225</v>
      </c>
      <c r="D600" s="1">
        <v>7225</v>
      </c>
    </row>
    <row r="601" spans="1:4" x14ac:dyDescent="0.25">
      <c r="A601" s="13">
        <f>IF(Tabla3[[#This Row],[Fare correción 2]]&gt;=1000,Tabla3[[#This Row],[Fare correción 2]]/10,Tabla3[[#This Row],[Fare correción 2]])</f>
        <v>569.29200000000003</v>
      </c>
      <c r="B601">
        <f>IF(Tabla3[[#This Row],[Fare corrección]]&gt;1000,Tabla3[[#This Row],[Fare corrección]]/1000,Tabla3[[#This Row],[Fare corrección]])</f>
        <v>569.29200000000003</v>
      </c>
      <c r="C601" s="1">
        <f>IF(ISNUMBER(Tabla3[[#This Row],[Fare]]),Tabla3[[#This Row],[Fare]],VALUE(SUBSTITUTE(Tabla3[[#This Row],[Fare]],".",",")))</f>
        <v>569292</v>
      </c>
      <c r="D601" s="1">
        <v>569292</v>
      </c>
    </row>
    <row r="602" spans="1:4" x14ac:dyDescent="0.25">
      <c r="A602" s="13">
        <f>IF(Tabla3[[#This Row],[Fare correción 2]]&gt;=1000,Tabla3[[#This Row],[Fare correción 2]]/10,Tabla3[[#This Row],[Fare correción 2]])</f>
        <v>27</v>
      </c>
      <c r="B602">
        <f>IF(Tabla3[[#This Row],[Fare corrección]]&gt;1000,Tabla3[[#This Row],[Fare corrección]]/1000,Tabla3[[#This Row],[Fare corrección]])</f>
        <v>27</v>
      </c>
      <c r="C602">
        <f>IF(ISNUMBER(Tabla3[[#This Row],[Fare]]),Tabla3[[#This Row],[Fare]],VALUE(SUBSTITUTE(Tabla3[[#This Row],[Fare]],".",",")))</f>
        <v>27</v>
      </c>
      <c r="D602">
        <v>27</v>
      </c>
    </row>
    <row r="603" spans="1:4" x14ac:dyDescent="0.25">
      <c r="A603" s="13">
        <f>IF(Tabla3[[#This Row],[Fare correción 2]]&gt;=1000,Tabla3[[#This Row],[Fare correción 2]]/10,Tabla3[[#This Row],[Fare correción 2]])</f>
        <v>78.957999999999998</v>
      </c>
      <c r="B603">
        <f>IF(Tabla3[[#This Row],[Fare corrección]]&gt;1000,Tabla3[[#This Row],[Fare corrección]]/1000,Tabla3[[#This Row],[Fare corrección]])</f>
        <v>78.957999999999998</v>
      </c>
      <c r="C603" s="1">
        <f>IF(ISNUMBER(Tabla3[[#This Row],[Fare]]),Tabla3[[#This Row],[Fare]],VALUE(SUBSTITUTE(Tabla3[[#This Row],[Fare]],".",",")))</f>
        <v>78958</v>
      </c>
      <c r="D603" s="1">
        <v>78958</v>
      </c>
    </row>
    <row r="604" spans="1:4" x14ac:dyDescent="0.25">
      <c r="A604" s="13">
        <f>IF(Tabla3[[#This Row],[Fare correción 2]]&gt;=1000,Tabla3[[#This Row],[Fare correción 2]]/10,Tabla3[[#This Row],[Fare correción 2]])</f>
        <v>42.4</v>
      </c>
      <c r="B604">
        <f>IF(Tabla3[[#This Row],[Fare corrección]]&gt;1000,Tabla3[[#This Row],[Fare corrección]]/1000,Tabla3[[#This Row],[Fare corrección]])</f>
        <v>42.4</v>
      </c>
      <c r="C604">
        <f>IF(ISNUMBER(Tabla3[[#This Row],[Fare]]),Tabla3[[#This Row],[Fare]],VALUE(SUBSTITUTE(Tabla3[[#This Row],[Fare]],".",",")))</f>
        <v>42.4</v>
      </c>
      <c r="D604" t="s">
        <v>1828</v>
      </c>
    </row>
    <row r="605" spans="1:4" x14ac:dyDescent="0.25">
      <c r="A605" s="13">
        <f>IF(Tabla3[[#This Row],[Fare correción 2]]&gt;=1000,Tabla3[[#This Row],[Fare correción 2]]/10,Tabla3[[#This Row],[Fare correción 2]])</f>
        <v>8.0500000000000007</v>
      </c>
      <c r="B605">
        <f>IF(Tabla3[[#This Row],[Fare corrección]]&gt;1000,Tabla3[[#This Row],[Fare corrección]]/1000,Tabla3[[#This Row],[Fare corrección]])</f>
        <v>8.0500000000000007</v>
      </c>
      <c r="C605">
        <f>IF(ISNUMBER(Tabla3[[#This Row],[Fare]]),Tabla3[[#This Row],[Fare]],VALUE(SUBSTITUTE(Tabla3[[#This Row],[Fare]],".",",")))</f>
        <v>8.0500000000000007</v>
      </c>
      <c r="D605" t="s">
        <v>917</v>
      </c>
    </row>
    <row r="606" spans="1:4" x14ac:dyDescent="0.25">
      <c r="A606" s="13">
        <f>IF(Tabla3[[#This Row],[Fare correción 2]]&gt;=1000,Tabla3[[#This Row],[Fare correción 2]]/10,Tabla3[[#This Row],[Fare correción 2]])</f>
        <v>26.55</v>
      </c>
      <c r="B606">
        <f>IF(Tabla3[[#This Row],[Fare corrección]]&gt;1000,Tabla3[[#This Row],[Fare corrección]]/1000,Tabla3[[#This Row],[Fare corrección]])</f>
        <v>26.55</v>
      </c>
      <c r="C606">
        <f>IF(ISNUMBER(Tabla3[[#This Row],[Fare]]),Tabla3[[#This Row],[Fare]],VALUE(SUBSTITUTE(Tabla3[[#This Row],[Fare]],".",",")))</f>
        <v>26.55</v>
      </c>
      <c r="D606" t="s">
        <v>930</v>
      </c>
    </row>
    <row r="607" spans="1:4" x14ac:dyDescent="0.25">
      <c r="A607" s="13">
        <f>IF(Tabla3[[#This Row],[Fare correción 2]]&gt;=1000,Tabla3[[#This Row],[Fare correción 2]]/10,Tabla3[[#This Row],[Fare correción 2]])</f>
        <v>15.55</v>
      </c>
      <c r="B607">
        <f>IF(Tabla3[[#This Row],[Fare corrección]]&gt;1000,Tabla3[[#This Row],[Fare corrección]]/1000,Tabla3[[#This Row],[Fare corrección]])</f>
        <v>15.55</v>
      </c>
      <c r="C607">
        <f>IF(ISNUMBER(Tabla3[[#This Row],[Fare]]),Tabla3[[#This Row],[Fare]],VALUE(SUBSTITUTE(Tabla3[[#This Row],[Fare]],".",",")))</f>
        <v>15.55</v>
      </c>
      <c r="D607" t="s">
        <v>1832</v>
      </c>
    </row>
    <row r="608" spans="1:4" x14ac:dyDescent="0.25">
      <c r="A608" s="13">
        <f>IF(Tabla3[[#This Row],[Fare correción 2]]&gt;=1000,Tabla3[[#This Row],[Fare correción 2]]/10,Tabla3[[#This Row],[Fare correción 2]])</f>
        <v>78.957999999999998</v>
      </c>
      <c r="B608">
        <f>IF(Tabla3[[#This Row],[Fare corrección]]&gt;1000,Tabla3[[#This Row],[Fare corrección]]/1000,Tabla3[[#This Row],[Fare corrección]])</f>
        <v>78.957999999999998</v>
      </c>
      <c r="C608" s="1">
        <f>IF(ISNUMBER(Tabla3[[#This Row],[Fare]]),Tabla3[[#This Row],[Fare]],VALUE(SUBSTITUTE(Tabla3[[#This Row],[Fare]],".",",")))</f>
        <v>78958</v>
      </c>
      <c r="D608" s="1">
        <v>78958</v>
      </c>
    </row>
    <row r="609" spans="1:4" x14ac:dyDescent="0.25">
      <c r="A609" s="13">
        <f>IF(Tabla3[[#This Row],[Fare correción 2]]&gt;=1000,Tabla3[[#This Row],[Fare correción 2]]/10,Tabla3[[#This Row],[Fare correción 2]])</f>
        <v>30.5</v>
      </c>
      <c r="B609">
        <f>IF(Tabla3[[#This Row],[Fare corrección]]&gt;1000,Tabla3[[#This Row],[Fare corrección]]/1000,Tabla3[[#This Row],[Fare corrección]])</f>
        <v>30.5</v>
      </c>
      <c r="C609">
        <f>IF(ISNUMBER(Tabla3[[#This Row],[Fare]]),Tabla3[[#This Row],[Fare]],VALUE(SUBSTITUTE(Tabla3[[#This Row],[Fare]],".",",")))</f>
        <v>30.5</v>
      </c>
      <c r="D609" t="s">
        <v>1394</v>
      </c>
    </row>
    <row r="610" spans="1:4" x14ac:dyDescent="0.25">
      <c r="A610" s="13">
        <f>IF(Tabla3[[#This Row],[Fare correción 2]]&gt;=1000,Tabla3[[#This Row],[Fare correción 2]]/10,Tabla3[[#This Row],[Fare correción 2]])</f>
        <v>415.79199999999997</v>
      </c>
      <c r="B610">
        <f>IF(Tabla3[[#This Row],[Fare corrección]]&gt;1000,Tabla3[[#This Row],[Fare corrección]]/1000,Tabla3[[#This Row],[Fare corrección]])</f>
        <v>415.79199999999997</v>
      </c>
      <c r="C610" s="1">
        <f>IF(ISNUMBER(Tabla3[[#This Row],[Fare]]),Tabla3[[#This Row],[Fare]],VALUE(SUBSTITUTE(Tabla3[[#This Row],[Fare]],".",",")))</f>
        <v>415792</v>
      </c>
      <c r="D610" s="1">
        <v>415792</v>
      </c>
    </row>
    <row r="611" spans="1:4" x14ac:dyDescent="0.25">
      <c r="A611" s="13">
        <f>IF(Tabla3[[#This Row],[Fare correción 2]]&gt;=1000,Tabla3[[#This Row],[Fare correción 2]]/10,Tabla3[[#This Row],[Fare correción 2]])</f>
        <v>153.46250000000001</v>
      </c>
      <c r="B611">
        <f>IF(Tabla3[[#This Row],[Fare corrección]]&gt;1000,Tabla3[[#This Row],[Fare corrección]]/1000,Tabla3[[#This Row],[Fare corrección]])</f>
        <v>1534.625</v>
      </c>
      <c r="C611" s="1">
        <f>IF(ISNUMBER(Tabla3[[#This Row],[Fare]]),Tabla3[[#This Row],[Fare]],VALUE(SUBSTITUTE(Tabla3[[#This Row],[Fare]],".",",")))</f>
        <v>1534625</v>
      </c>
      <c r="D611" s="1">
        <v>1534625</v>
      </c>
    </row>
    <row r="612" spans="1:4" x14ac:dyDescent="0.25">
      <c r="A612" s="13">
        <f>IF(Tabla3[[#This Row],[Fare correción 2]]&gt;=1000,Tabla3[[#This Row],[Fare correción 2]]/10,Tabla3[[#This Row],[Fare correción 2]])</f>
        <v>31.274999999999999</v>
      </c>
      <c r="B612">
        <f>IF(Tabla3[[#This Row],[Fare corrección]]&gt;1000,Tabla3[[#This Row],[Fare corrección]]/1000,Tabla3[[#This Row],[Fare corrección]])</f>
        <v>31.274999999999999</v>
      </c>
      <c r="C612" s="1">
        <f>IF(ISNUMBER(Tabla3[[#This Row],[Fare]]),Tabla3[[#This Row],[Fare]],VALUE(SUBSTITUTE(Tabla3[[#This Row],[Fare]],".",",")))</f>
        <v>31275</v>
      </c>
      <c r="D612" s="1">
        <v>31275</v>
      </c>
    </row>
    <row r="613" spans="1:4" x14ac:dyDescent="0.25">
      <c r="A613" s="13">
        <f>IF(Tabla3[[#This Row],[Fare correción 2]]&gt;=1000,Tabla3[[#This Row],[Fare correción 2]]/10,Tabla3[[#This Row],[Fare correción 2]])</f>
        <v>7.05</v>
      </c>
      <c r="B613">
        <f>IF(Tabla3[[#This Row],[Fare corrección]]&gt;1000,Tabla3[[#This Row],[Fare corrección]]/1000,Tabla3[[#This Row],[Fare corrección]])</f>
        <v>7.05</v>
      </c>
      <c r="C613">
        <f>IF(ISNUMBER(Tabla3[[#This Row],[Fare]]),Tabla3[[#This Row],[Fare]],VALUE(SUBSTITUTE(Tabla3[[#This Row],[Fare]],".",",")))</f>
        <v>7.05</v>
      </c>
      <c r="D613" t="s">
        <v>1121</v>
      </c>
    </row>
    <row r="614" spans="1:4" x14ac:dyDescent="0.25">
      <c r="A614" s="13">
        <f>IF(Tabla3[[#This Row],[Fare correción 2]]&gt;=1000,Tabla3[[#This Row],[Fare correción 2]]/10,Tabla3[[#This Row],[Fare correción 2]])</f>
        <v>15.5</v>
      </c>
      <c r="B614">
        <f>IF(Tabla3[[#This Row],[Fare corrección]]&gt;1000,Tabla3[[#This Row],[Fare corrección]]/1000,Tabla3[[#This Row],[Fare corrección]])</f>
        <v>15.5</v>
      </c>
      <c r="C614">
        <f>IF(ISNUMBER(Tabla3[[#This Row],[Fare]]),Tabla3[[#This Row],[Fare]],VALUE(SUBSTITUTE(Tabla3[[#This Row],[Fare]],".",",")))</f>
        <v>15.5</v>
      </c>
      <c r="D614" t="s">
        <v>982</v>
      </c>
    </row>
    <row r="615" spans="1:4" x14ac:dyDescent="0.25">
      <c r="A615" s="13">
        <f>IF(Tabla3[[#This Row],[Fare correción 2]]&gt;=1000,Tabla3[[#This Row],[Fare correción 2]]/10,Tabla3[[#This Row],[Fare correción 2]])</f>
        <v>7.75</v>
      </c>
      <c r="B615">
        <f>IF(Tabla3[[#This Row],[Fare corrección]]&gt;1000,Tabla3[[#This Row],[Fare corrección]]/1000,Tabla3[[#This Row],[Fare corrección]])</f>
        <v>7.75</v>
      </c>
      <c r="C615">
        <f>IF(ISNUMBER(Tabla3[[#This Row],[Fare]]),Tabla3[[#This Row],[Fare]],VALUE(SUBSTITUTE(Tabla3[[#This Row],[Fare]],".",",")))</f>
        <v>7.75</v>
      </c>
      <c r="D615" t="s">
        <v>961</v>
      </c>
    </row>
    <row r="616" spans="1:4" x14ac:dyDescent="0.25">
      <c r="A616" s="13">
        <f>IF(Tabla3[[#This Row],[Fare correción 2]]&gt;=1000,Tabla3[[#This Row],[Fare correción 2]]/10,Tabla3[[#This Row],[Fare correción 2]])</f>
        <v>8.0500000000000007</v>
      </c>
      <c r="B616">
        <f>IF(Tabla3[[#This Row],[Fare corrección]]&gt;1000,Tabla3[[#This Row],[Fare corrección]]/1000,Tabla3[[#This Row],[Fare corrección]])</f>
        <v>8.0500000000000007</v>
      </c>
      <c r="C616">
        <f>IF(ISNUMBER(Tabla3[[#This Row],[Fare]]),Tabla3[[#This Row],[Fare]],VALUE(SUBSTITUTE(Tabla3[[#This Row],[Fare]],".",",")))</f>
        <v>8.0500000000000007</v>
      </c>
      <c r="D616" t="s">
        <v>917</v>
      </c>
    </row>
    <row r="617" spans="1:4" x14ac:dyDescent="0.25">
      <c r="A617" s="13">
        <f>IF(Tabla3[[#This Row],[Fare correción 2]]&gt;=1000,Tabla3[[#This Row],[Fare correción 2]]/10,Tabla3[[#This Row],[Fare correción 2]])</f>
        <v>65</v>
      </c>
      <c r="B617">
        <f>IF(Tabla3[[#This Row],[Fare corrección]]&gt;1000,Tabla3[[#This Row],[Fare corrección]]/1000,Tabla3[[#This Row],[Fare corrección]])</f>
        <v>65</v>
      </c>
      <c r="C617">
        <f>IF(ISNUMBER(Tabla3[[#This Row],[Fare]]),Tabla3[[#This Row],[Fare]],VALUE(SUBSTITUTE(Tabla3[[#This Row],[Fare]],".",",")))</f>
        <v>65</v>
      </c>
      <c r="D617">
        <v>65</v>
      </c>
    </row>
    <row r="618" spans="1:4" x14ac:dyDescent="0.25">
      <c r="A618" s="13">
        <f>IF(Tabla3[[#This Row],[Fare correción 2]]&gt;=1000,Tabla3[[#This Row],[Fare correción 2]]/10,Tabla3[[#This Row],[Fare correción 2]])</f>
        <v>14.4</v>
      </c>
      <c r="B618">
        <f>IF(Tabla3[[#This Row],[Fare corrección]]&gt;1000,Tabla3[[#This Row],[Fare corrección]]/1000,Tabla3[[#This Row],[Fare corrección]])</f>
        <v>14.4</v>
      </c>
      <c r="C618">
        <f>IF(ISNUMBER(Tabla3[[#This Row],[Fare]]),Tabla3[[#This Row],[Fare]],VALUE(SUBSTITUTE(Tabla3[[#This Row],[Fare]],".",",")))</f>
        <v>14.4</v>
      </c>
      <c r="D618" t="s">
        <v>1571</v>
      </c>
    </row>
    <row r="619" spans="1:4" x14ac:dyDescent="0.25">
      <c r="A619" s="13">
        <f>IF(Tabla3[[#This Row],[Fare correción 2]]&gt;=1000,Tabla3[[#This Row],[Fare correción 2]]/10,Tabla3[[#This Row],[Fare correción 2]])</f>
        <v>16.100000000000001</v>
      </c>
      <c r="B619">
        <f>IF(Tabla3[[#This Row],[Fare corrección]]&gt;1000,Tabla3[[#This Row],[Fare corrección]]/1000,Tabla3[[#This Row],[Fare corrección]])</f>
        <v>16.100000000000001</v>
      </c>
      <c r="C619">
        <f>IF(ISNUMBER(Tabla3[[#This Row],[Fare]]),Tabla3[[#This Row],[Fare]],VALUE(SUBSTITUTE(Tabla3[[#This Row],[Fare]],".",",")))</f>
        <v>16.100000000000001</v>
      </c>
      <c r="D619" t="s">
        <v>1177</v>
      </c>
    </row>
    <row r="620" spans="1:4" x14ac:dyDescent="0.25">
      <c r="A620" s="13">
        <f>IF(Tabla3[[#This Row],[Fare correción 2]]&gt;=1000,Tabla3[[#This Row],[Fare correción 2]]/10,Tabla3[[#This Row],[Fare correción 2]])</f>
        <v>39</v>
      </c>
      <c r="B620">
        <f>IF(Tabla3[[#This Row],[Fare corrección]]&gt;1000,Tabla3[[#This Row],[Fare corrección]]/1000,Tabla3[[#This Row],[Fare corrección]])</f>
        <v>39</v>
      </c>
      <c r="C620">
        <f>IF(ISNUMBER(Tabla3[[#This Row],[Fare]]),Tabla3[[#This Row],[Fare]],VALUE(SUBSTITUTE(Tabla3[[#This Row],[Fare]],".",",")))</f>
        <v>39</v>
      </c>
      <c r="D620">
        <v>39</v>
      </c>
    </row>
    <row r="621" spans="1:4" x14ac:dyDescent="0.25">
      <c r="A621" s="13">
        <f>IF(Tabla3[[#This Row],[Fare correción 2]]&gt;=1000,Tabla3[[#This Row],[Fare correción 2]]/10,Tabla3[[#This Row],[Fare correción 2]])</f>
        <v>10.5</v>
      </c>
      <c r="B621">
        <f>IF(Tabla3[[#This Row],[Fare corrección]]&gt;1000,Tabla3[[#This Row],[Fare corrección]]/1000,Tabla3[[#This Row],[Fare corrección]])</f>
        <v>10.5</v>
      </c>
      <c r="C621">
        <f>IF(ISNUMBER(Tabla3[[#This Row],[Fare]]),Tabla3[[#This Row],[Fare]],VALUE(SUBSTITUTE(Tabla3[[#This Row],[Fare]],".",",")))</f>
        <v>10.5</v>
      </c>
      <c r="D621" t="s">
        <v>964</v>
      </c>
    </row>
    <row r="622" spans="1:4" x14ac:dyDescent="0.25">
      <c r="A622" s="13">
        <f>IF(Tabla3[[#This Row],[Fare correción 2]]&gt;=1000,Tabla3[[#This Row],[Fare correción 2]]/10,Tabla3[[#This Row],[Fare correción 2]])</f>
        <v>144.542</v>
      </c>
      <c r="B622">
        <f>IF(Tabla3[[#This Row],[Fare corrección]]&gt;1000,Tabla3[[#This Row],[Fare corrección]]/1000,Tabla3[[#This Row],[Fare corrección]])</f>
        <v>144.542</v>
      </c>
      <c r="C622" s="1">
        <f>IF(ISNUMBER(Tabla3[[#This Row],[Fare]]),Tabla3[[#This Row],[Fare]],VALUE(SUBSTITUTE(Tabla3[[#This Row],[Fare]],".",",")))</f>
        <v>144542</v>
      </c>
      <c r="D622" s="1">
        <v>144542</v>
      </c>
    </row>
    <row r="623" spans="1:4" x14ac:dyDescent="0.25">
      <c r="A623" s="13">
        <f>IF(Tabla3[[#This Row],[Fare correción 2]]&gt;=1000,Tabla3[[#This Row],[Fare correción 2]]/10,Tabla3[[#This Row],[Fare correción 2]])</f>
        <v>525.54200000000003</v>
      </c>
      <c r="B623">
        <f>IF(Tabla3[[#This Row],[Fare corrección]]&gt;1000,Tabla3[[#This Row],[Fare corrección]]/1000,Tabla3[[#This Row],[Fare corrección]])</f>
        <v>525.54200000000003</v>
      </c>
      <c r="C623" s="1">
        <f>IF(ISNUMBER(Tabla3[[#This Row],[Fare]]),Tabla3[[#This Row],[Fare]],VALUE(SUBSTITUTE(Tabla3[[#This Row],[Fare]],".",",")))</f>
        <v>525542</v>
      </c>
      <c r="D623" s="1">
        <v>525542</v>
      </c>
    </row>
    <row r="624" spans="1:4" x14ac:dyDescent="0.25">
      <c r="A624" s="13">
        <f>IF(Tabla3[[#This Row],[Fare correción 2]]&gt;=1000,Tabla3[[#This Row],[Fare correción 2]]/10,Tabla3[[#This Row],[Fare correción 2]])</f>
        <v>157.417</v>
      </c>
      <c r="B624">
        <f>IF(Tabla3[[#This Row],[Fare corrección]]&gt;1000,Tabla3[[#This Row],[Fare corrección]]/1000,Tabla3[[#This Row],[Fare corrección]])</f>
        <v>157.417</v>
      </c>
      <c r="C624" s="1">
        <f>IF(ISNUMBER(Tabla3[[#This Row],[Fare]]),Tabla3[[#This Row],[Fare]],VALUE(SUBSTITUTE(Tabla3[[#This Row],[Fare]],".",",")))</f>
        <v>157417</v>
      </c>
      <c r="D624" s="1">
        <v>157417</v>
      </c>
    </row>
    <row r="625" spans="1:4" x14ac:dyDescent="0.25">
      <c r="A625" s="13">
        <f>IF(Tabla3[[#This Row],[Fare correción 2]]&gt;=1000,Tabla3[[#This Row],[Fare correción 2]]/10,Tabla3[[#This Row],[Fare correción 2]])</f>
        <v>78.542000000000002</v>
      </c>
      <c r="B625">
        <f>IF(Tabla3[[#This Row],[Fare corrección]]&gt;1000,Tabla3[[#This Row],[Fare corrección]]/1000,Tabla3[[#This Row],[Fare corrección]])</f>
        <v>78.542000000000002</v>
      </c>
      <c r="C625" s="1">
        <f>IF(ISNUMBER(Tabla3[[#This Row],[Fare]]),Tabla3[[#This Row],[Fare]],VALUE(SUBSTITUTE(Tabla3[[#This Row],[Fare]],".",",")))</f>
        <v>78542</v>
      </c>
      <c r="D625" s="1">
        <v>78542</v>
      </c>
    </row>
    <row r="626" spans="1:4" x14ac:dyDescent="0.25">
      <c r="A626" s="13">
        <f>IF(Tabla3[[#This Row],[Fare correción 2]]&gt;=1000,Tabla3[[#This Row],[Fare correción 2]]/10,Tabla3[[#This Row],[Fare correción 2]])</f>
        <v>16.100000000000001</v>
      </c>
      <c r="B626">
        <f>IF(Tabla3[[#This Row],[Fare corrección]]&gt;1000,Tabla3[[#This Row],[Fare corrección]]/1000,Tabla3[[#This Row],[Fare corrección]])</f>
        <v>16.100000000000001</v>
      </c>
      <c r="C626">
        <f>IF(ISNUMBER(Tabla3[[#This Row],[Fare]]),Tabla3[[#This Row],[Fare]],VALUE(SUBSTITUTE(Tabla3[[#This Row],[Fare]],".",",")))</f>
        <v>16.100000000000001</v>
      </c>
      <c r="D626" t="s">
        <v>1177</v>
      </c>
    </row>
    <row r="627" spans="1:4" x14ac:dyDescent="0.25">
      <c r="A627" s="13">
        <f>IF(Tabla3[[#This Row],[Fare correción 2]]&gt;=1000,Tabla3[[#This Row],[Fare correción 2]]/10,Tabla3[[#This Row],[Fare correción 2]])</f>
        <v>323.20800000000003</v>
      </c>
      <c r="B627">
        <f>IF(Tabla3[[#This Row],[Fare corrección]]&gt;1000,Tabla3[[#This Row],[Fare corrección]]/1000,Tabla3[[#This Row],[Fare corrección]])</f>
        <v>323.20800000000003</v>
      </c>
      <c r="C627" s="1">
        <f>IF(ISNUMBER(Tabla3[[#This Row],[Fare]]),Tabla3[[#This Row],[Fare]],VALUE(SUBSTITUTE(Tabla3[[#This Row],[Fare]],".",",")))</f>
        <v>323208</v>
      </c>
      <c r="D627" s="1">
        <v>323208</v>
      </c>
    </row>
    <row r="628" spans="1:4" x14ac:dyDescent="0.25">
      <c r="A628" s="13">
        <f>IF(Tabla3[[#This Row],[Fare correción 2]]&gt;=1000,Tabla3[[#This Row],[Fare correción 2]]/10,Tabla3[[#This Row],[Fare correción 2]])</f>
        <v>12.35</v>
      </c>
      <c r="B628">
        <f>IF(Tabla3[[#This Row],[Fare corrección]]&gt;1000,Tabla3[[#This Row],[Fare corrección]]/1000,Tabla3[[#This Row],[Fare corrección]])</f>
        <v>12.35</v>
      </c>
      <c r="C628">
        <f>IF(ISNUMBER(Tabla3[[#This Row],[Fare]]),Tabla3[[#This Row],[Fare]],VALUE(SUBSTITUTE(Tabla3[[#This Row],[Fare]],".",",")))</f>
        <v>12.35</v>
      </c>
      <c r="D628" t="s">
        <v>1402</v>
      </c>
    </row>
    <row r="629" spans="1:4" x14ac:dyDescent="0.25">
      <c r="A629" s="13">
        <f>IF(Tabla3[[#This Row],[Fare correción 2]]&gt;=1000,Tabla3[[#This Row],[Fare correción 2]]/10,Tabla3[[#This Row],[Fare correción 2]])</f>
        <v>779.58299999999997</v>
      </c>
      <c r="B629">
        <f>IF(Tabla3[[#This Row],[Fare corrección]]&gt;1000,Tabla3[[#This Row],[Fare corrección]]/1000,Tabla3[[#This Row],[Fare corrección]])</f>
        <v>779.58299999999997</v>
      </c>
      <c r="C629" s="1">
        <f>IF(ISNUMBER(Tabla3[[#This Row],[Fare]]),Tabla3[[#This Row],[Fare]],VALUE(SUBSTITUTE(Tabla3[[#This Row],[Fare]],".",",")))</f>
        <v>779583</v>
      </c>
      <c r="D629" s="1">
        <v>779583</v>
      </c>
    </row>
    <row r="630" spans="1:4" x14ac:dyDescent="0.25">
      <c r="A630" s="13">
        <f>IF(Tabla3[[#This Row],[Fare correción 2]]&gt;=1000,Tabla3[[#This Row],[Fare correción 2]]/10,Tabla3[[#This Row],[Fare correción 2]])</f>
        <v>78.957999999999998</v>
      </c>
      <c r="B630">
        <f>IF(Tabla3[[#This Row],[Fare corrección]]&gt;1000,Tabla3[[#This Row],[Fare corrección]]/1000,Tabla3[[#This Row],[Fare corrección]])</f>
        <v>78.957999999999998</v>
      </c>
      <c r="C630" s="1">
        <f>IF(ISNUMBER(Tabla3[[#This Row],[Fare]]),Tabla3[[#This Row],[Fare]],VALUE(SUBSTITUTE(Tabla3[[#This Row],[Fare]],".",",")))</f>
        <v>78958</v>
      </c>
      <c r="D630" s="1">
        <v>78958</v>
      </c>
    </row>
    <row r="631" spans="1:4" x14ac:dyDescent="0.25">
      <c r="A631" s="13">
        <f>IF(Tabla3[[#This Row],[Fare correción 2]]&gt;=1000,Tabla3[[#This Row],[Fare correción 2]]/10,Tabla3[[#This Row],[Fare correción 2]])</f>
        <v>77.332999999999998</v>
      </c>
      <c r="B631">
        <f>IF(Tabla3[[#This Row],[Fare corrección]]&gt;1000,Tabla3[[#This Row],[Fare corrección]]/1000,Tabla3[[#This Row],[Fare corrección]])</f>
        <v>77.332999999999998</v>
      </c>
      <c r="C631" s="1">
        <f>IF(ISNUMBER(Tabla3[[#This Row],[Fare]]),Tabla3[[#This Row],[Fare]],VALUE(SUBSTITUTE(Tabla3[[#This Row],[Fare]],".",",")))</f>
        <v>77333</v>
      </c>
      <c r="D631" s="1">
        <v>77333</v>
      </c>
    </row>
    <row r="632" spans="1:4" x14ac:dyDescent="0.25">
      <c r="A632" s="13">
        <f>IF(Tabla3[[#This Row],[Fare correción 2]]&gt;=1000,Tabla3[[#This Row],[Fare correción 2]]/10,Tabla3[[#This Row],[Fare correción 2]])</f>
        <v>30</v>
      </c>
      <c r="B632">
        <f>IF(Tabla3[[#This Row],[Fare corrección]]&gt;1000,Tabla3[[#This Row],[Fare corrección]]/1000,Tabla3[[#This Row],[Fare corrección]])</f>
        <v>30</v>
      </c>
      <c r="C632">
        <f>IF(ISNUMBER(Tabla3[[#This Row],[Fare]]),Tabla3[[#This Row],[Fare]],VALUE(SUBSTITUTE(Tabla3[[#This Row],[Fare]],".",",")))</f>
        <v>30</v>
      </c>
      <c r="D632">
        <v>30</v>
      </c>
    </row>
    <row r="633" spans="1:4" x14ac:dyDescent="0.25">
      <c r="A633" s="13">
        <f>IF(Tabla3[[#This Row],[Fare correción 2]]&gt;=1000,Tabla3[[#This Row],[Fare correción 2]]/10,Tabla3[[#This Row],[Fare correción 2]])</f>
        <v>70.542000000000002</v>
      </c>
      <c r="B633">
        <f>IF(Tabla3[[#This Row],[Fare corrección]]&gt;1000,Tabla3[[#This Row],[Fare corrección]]/1000,Tabla3[[#This Row],[Fare corrección]])</f>
        <v>70.542000000000002</v>
      </c>
      <c r="C633" s="1">
        <f>IF(ISNUMBER(Tabla3[[#This Row],[Fare]]),Tabla3[[#This Row],[Fare]],VALUE(SUBSTITUTE(Tabla3[[#This Row],[Fare]],".",",")))</f>
        <v>70542</v>
      </c>
      <c r="D633" s="1">
        <v>70542</v>
      </c>
    </row>
    <row r="634" spans="1:4" x14ac:dyDescent="0.25">
      <c r="A634" s="13">
        <f>IF(Tabla3[[#This Row],[Fare correción 2]]&gt;=1000,Tabla3[[#This Row],[Fare correción 2]]/10,Tabla3[[#This Row],[Fare correción 2]])</f>
        <v>30.5</v>
      </c>
      <c r="B634">
        <f>IF(Tabla3[[#This Row],[Fare corrección]]&gt;1000,Tabla3[[#This Row],[Fare corrección]]/1000,Tabla3[[#This Row],[Fare corrección]])</f>
        <v>30.5</v>
      </c>
      <c r="C634">
        <f>IF(ISNUMBER(Tabla3[[#This Row],[Fare]]),Tabla3[[#This Row],[Fare]],VALUE(SUBSTITUTE(Tabla3[[#This Row],[Fare]],".",",")))</f>
        <v>30.5</v>
      </c>
      <c r="D634" t="s">
        <v>1394</v>
      </c>
    </row>
    <row r="635" spans="1:4" x14ac:dyDescent="0.25">
      <c r="A635" s="13">
        <f>IF(Tabla3[[#This Row],[Fare correción 2]]&gt;=1000,Tabla3[[#This Row],[Fare correción 2]]/10,Tabla3[[#This Row],[Fare correción 2]])</f>
        <v>0</v>
      </c>
      <c r="B635">
        <f>IF(Tabla3[[#This Row],[Fare corrección]]&gt;1000,Tabla3[[#This Row],[Fare corrección]]/1000,Tabla3[[#This Row],[Fare corrección]])</f>
        <v>0</v>
      </c>
      <c r="C635">
        <f>IF(ISNUMBER(Tabla3[[#This Row],[Fare]]),Tabla3[[#This Row],[Fare]],VALUE(SUBSTITUTE(Tabla3[[#This Row],[Fare]],".",",")))</f>
        <v>0</v>
      </c>
      <c r="D635">
        <v>0</v>
      </c>
    </row>
    <row r="636" spans="1:4" x14ac:dyDescent="0.25">
      <c r="A636" s="13">
        <f>IF(Tabla3[[#This Row],[Fare correción 2]]&gt;=1000,Tabla3[[#This Row],[Fare correción 2]]/10,Tabla3[[#This Row],[Fare correción 2]])</f>
        <v>27.9</v>
      </c>
      <c r="B636">
        <f>IF(Tabla3[[#This Row],[Fare corrección]]&gt;1000,Tabla3[[#This Row],[Fare corrección]]/1000,Tabla3[[#This Row],[Fare corrección]])</f>
        <v>27.9</v>
      </c>
      <c r="C636">
        <f>IF(ISNUMBER(Tabla3[[#This Row],[Fare]]),Tabla3[[#This Row],[Fare]],VALUE(SUBSTITUTE(Tabla3[[#This Row],[Fare]],".",",")))</f>
        <v>27.9</v>
      </c>
      <c r="D636" t="s">
        <v>1015</v>
      </c>
    </row>
    <row r="637" spans="1:4" x14ac:dyDescent="0.25">
      <c r="A637" s="13">
        <f>IF(Tabla3[[#This Row],[Fare correción 2]]&gt;=1000,Tabla3[[#This Row],[Fare correción 2]]/10,Tabla3[[#This Row],[Fare correción 2]])</f>
        <v>13</v>
      </c>
      <c r="B637">
        <f>IF(Tabla3[[#This Row],[Fare corrección]]&gt;1000,Tabla3[[#This Row],[Fare corrección]]/1000,Tabla3[[#This Row],[Fare corrección]])</f>
        <v>13</v>
      </c>
      <c r="C637">
        <f>IF(ISNUMBER(Tabla3[[#This Row],[Fare]]),Tabla3[[#This Row],[Fare]],VALUE(SUBSTITUTE(Tabla3[[#This Row],[Fare]],".",",")))</f>
        <v>13</v>
      </c>
      <c r="D637">
        <v>13</v>
      </c>
    </row>
    <row r="638" spans="1:4" x14ac:dyDescent="0.25">
      <c r="A638" s="13">
        <f>IF(Tabla3[[#This Row],[Fare correción 2]]&gt;=1000,Tabla3[[#This Row],[Fare correción 2]]/10,Tabla3[[#This Row],[Fare correción 2]])</f>
        <v>7.9249999999999998</v>
      </c>
      <c r="B638">
        <f>IF(Tabla3[[#This Row],[Fare corrección]]&gt;1000,Tabla3[[#This Row],[Fare corrección]]/1000,Tabla3[[#This Row],[Fare corrección]])</f>
        <v>7.9249999999999998</v>
      </c>
      <c r="C638" s="1">
        <f>IF(ISNUMBER(Tabla3[[#This Row],[Fare]]),Tabla3[[#This Row],[Fare]],VALUE(SUBSTITUTE(Tabla3[[#This Row],[Fare]],".",",")))</f>
        <v>7925</v>
      </c>
      <c r="D638" s="1">
        <v>7925</v>
      </c>
    </row>
    <row r="639" spans="1:4" x14ac:dyDescent="0.25">
      <c r="A639" s="13">
        <f>IF(Tabla3[[#This Row],[Fare correción 2]]&gt;=1000,Tabla3[[#This Row],[Fare correción 2]]/10,Tabla3[[#This Row],[Fare correción 2]])</f>
        <v>26.25</v>
      </c>
      <c r="B639">
        <f>IF(Tabla3[[#This Row],[Fare corrección]]&gt;1000,Tabla3[[#This Row],[Fare corrección]]/1000,Tabla3[[#This Row],[Fare corrección]])</f>
        <v>26.25</v>
      </c>
      <c r="C639">
        <f>IF(ISNUMBER(Tabla3[[#This Row],[Fare]]),Tabla3[[#This Row],[Fare]],VALUE(SUBSTITUTE(Tabla3[[#This Row],[Fare]],".",",")))</f>
        <v>26.25</v>
      </c>
      <c r="D639" t="s">
        <v>1295</v>
      </c>
    </row>
    <row r="640" spans="1:4" x14ac:dyDescent="0.25">
      <c r="A640" s="13">
        <f>IF(Tabla3[[#This Row],[Fare correción 2]]&gt;=1000,Tabla3[[#This Row],[Fare correción 2]]/10,Tabla3[[#This Row],[Fare correción 2]])</f>
        <v>396.875</v>
      </c>
      <c r="B640">
        <f>IF(Tabla3[[#This Row],[Fare corrección]]&gt;1000,Tabla3[[#This Row],[Fare corrección]]/1000,Tabla3[[#This Row],[Fare corrección]])</f>
        <v>396.875</v>
      </c>
      <c r="C640" s="1">
        <f>IF(ISNUMBER(Tabla3[[#This Row],[Fare]]),Tabla3[[#This Row],[Fare]],VALUE(SUBSTITUTE(Tabla3[[#This Row],[Fare]],".",",")))</f>
        <v>396875</v>
      </c>
      <c r="D640" s="1">
        <v>396875</v>
      </c>
    </row>
    <row r="641" spans="1:4" x14ac:dyDescent="0.25">
      <c r="A641" s="13">
        <f>IF(Tabla3[[#This Row],[Fare correción 2]]&gt;=1000,Tabla3[[#This Row],[Fare correción 2]]/10,Tabla3[[#This Row],[Fare correción 2]])</f>
        <v>16.100000000000001</v>
      </c>
      <c r="B641">
        <f>IF(Tabla3[[#This Row],[Fare corrección]]&gt;1000,Tabla3[[#This Row],[Fare corrección]]/1000,Tabla3[[#This Row],[Fare corrección]])</f>
        <v>16.100000000000001</v>
      </c>
      <c r="C641">
        <f>IF(ISNUMBER(Tabla3[[#This Row],[Fare]]),Tabla3[[#This Row],[Fare]],VALUE(SUBSTITUTE(Tabla3[[#This Row],[Fare]],".",",")))</f>
        <v>16.100000000000001</v>
      </c>
      <c r="D641" t="s">
        <v>1177</v>
      </c>
    </row>
    <row r="642" spans="1:4" x14ac:dyDescent="0.25">
      <c r="A642" s="13">
        <f>IF(Tabla3[[#This Row],[Fare correción 2]]&gt;=1000,Tabla3[[#This Row],[Fare correción 2]]/10,Tabla3[[#This Row],[Fare correción 2]])</f>
        <v>78.542000000000002</v>
      </c>
      <c r="B642">
        <f>IF(Tabla3[[#This Row],[Fare corrección]]&gt;1000,Tabla3[[#This Row],[Fare corrección]]/1000,Tabla3[[#This Row],[Fare corrección]])</f>
        <v>78.542000000000002</v>
      </c>
      <c r="C642" s="1">
        <f>IF(ISNUMBER(Tabla3[[#This Row],[Fare]]),Tabla3[[#This Row],[Fare]],VALUE(SUBSTITUTE(Tabla3[[#This Row],[Fare]],".",",")))</f>
        <v>78542</v>
      </c>
      <c r="D642" s="1">
        <v>78542</v>
      </c>
    </row>
    <row r="643" spans="1:4" x14ac:dyDescent="0.25">
      <c r="A643" s="13">
        <f>IF(Tabla3[[#This Row],[Fare correción 2]]&gt;=1000,Tabla3[[#This Row],[Fare correción 2]]/10,Tabla3[[#This Row],[Fare correción 2]])</f>
        <v>69.3</v>
      </c>
      <c r="B643">
        <f>IF(Tabla3[[#This Row],[Fare corrección]]&gt;1000,Tabla3[[#This Row],[Fare corrección]]/1000,Tabla3[[#This Row],[Fare corrección]])</f>
        <v>69.3</v>
      </c>
      <c r="C643">
        <f>IF(ISNUMBER(Tabla3[[#This Row],[Fare]]),Tabla3[[#This Row],[Fare]],VALUE(SUBSTITUTE(Tabla3[[#This Row],[Fare]],".",",")))</f>
        <v>69.3</v>
      </c>
      <c r="D643" t="s">
        <v>1502</v>
      </c>
    </row>
    <row r="644" spans="1:4" x14ac:dyDescent="0.25">
      <c r="A644" s="13">
        <f>IF(Tabla3[[#This Row],[Fare correción 2]]&gt;=1000,Tabla3[[#This Row],[Fare correción 2]]/10,Tabla3[[#This Row],[Fare correción 2]])</f>
        <v>27.9</v>
      </c>
      <c r="B644">
        <f>IF(Tabla3[[#This Row],[Fare corrección]]&gt;1000,Tabla3[[#This Row],[Fare corrección]]/1000,Tabla3[[#This Row],[Fare corrección]])</f>
        <v>27.9</v>
      </c>
      <c r="C644">
        <f>IF(ISNUMBER(Tabla3[[#This Row],[Fare]]),Tabla3[[#This Row],[Fare]],VALUE(SUBSTITUTE(Tabla3[[#This Row],[Fare]],".",",")))</f>
        <v>27.9</v>
      </c>
      <c r="D644" t="s">
        <v>1015</v>
      </c>
    </row>
    <row r="645" spans="1:4" x14ac:dyDescent="0.25">
      <c r="A645" s="13">
        <f>IF(Tabla3[[#This Row],[Fare correción 2]]&gt;=1000,Tabla3[[#This Row],[Fare correción 2]]/10,Tabla3[[#This Row],[Fare correción 2]])</f>
        <v>564.95799999999997</v>
      </c>
      <c r="B645">
        <f>IF(Tabla3[[#This Row],[Fare corrección]]&gt;1000,Tabla3[[#This Row],[Fare corrección]]/1000,Tabla3[[#This Row],[Fare corrección]])</f>
        <v>564.95799999999997</v>
      </c>
      <c r="C645" s="1">
        <f>IF(ISNUMBER(Tabla3[[#This Row],[Fare]]),Tabla3[[#This Row],[Fare]],VALUE(SUBSTITUTE(Tabla3[[#This Row],[Fare]],".",",")))</f>
        <v>564958</v>
      </c>
      <c r="D645" s="1">
        <v>564958</v>
      </c>
    </row>
    <row r="646" spans="1:4" x14ac:dyDescent="0.25">
      <c r="A646" s="13">
        <f>IF(Tabla3[[#This Row],[Fare correción 2]]&gt;=1000,Tabla3[[#This Row],[Fare correción 2]]/10,Tabla3[[#This Row],[Fare correción 2]])</f>
        <v>192.583</v>
      </c>
      <c r="B646">
        <f>IF(Tabla3[[#This Row],[Fare corrección]]&gt;1000,Tabla3[[#This Row],[Fare corrección]]/1000,Tabla3[[#This Row],[Fare corrección]])</f>
        <v>192.583</v>
      </c>
      <c r="C646" s="1">
        <f>IF(ISNUMBER(Tabla3[[#This Row],[Fare]]),Tabla3[[#This Row],[Fare]],VALUE(SUBSTITUTE(Tabla3[[#This Row],[Fare]],".",",")))</f>
        <v>192583</v>
      </c>
      <c r="D646" s="1">
        <v>192583</v>
      </c>
    </row>
    <row r="647" spans="1:4" x14ac:dyDescent="0.25">
      <c r="A647" s="13">
        <f>IF(Tabla3[[#This Row],[Fare correción 2]]&gt;=1000,Tabla3[[#This Row],[Fare correción 2]]/10,Tabla3[[#This Row],[Fare correción 2]])</f>
        <v>767.29200000000003</v>
      </c>
      <c r="B647">
        <f>IF(Tabla3[[#This Row],[Fare corrección]]&gt;1000,Tabla3[[#This Row],[Fare corrección]]/1000,Tabla3[[#This Row],[Fare corrección]])</f>
        <v>767.29200000000003</v>
      </c>
      <c r="C647" s="1">
        <f>IF(ISNUMBER(Tabla3[[#This Row],[Fare]]),Tabla3[[#This Row],[Fare]],VALUE(SUBSTITUTE(Tabla3[[#This Row],[Fare]],".",",")))</f>
        <v>767292</v>
      </c>
      <c r="D647" s="1">
        <v>767292</v>
      </c>
    </row>
    <row r="648" spans="1:4" x14ac:dyDescent="0.25">
      <c r="A648" s="13">
        <f>IF(Tabla3[[#This Row],[Fare correción 2]]&gt;=1000,Tabla3[[#This Row],[Fare correción 2]]/10,Tabla3[[#This Row],[Fare correción 2]])</f>
        <v>78.957999999999998</v>
      </c>
      <c r="B648">
        <f>IF(Tabla3[[#This Row],[Fare corrección]]&gt;1000,Tabla3[[#This Row],[Fare corrección]]/1000,Tabla3[[#This Row],[Fare corrección]])</f>
        <v>78.957999999999998</v>
      </c>
      <c r="C648" s="1">
        <f>IF(ISNUMBER(Tabla3[[#This Row],[Fare]]),Tabla3[[#This Row],[Fare]],VALUE(SUBSTITUTE(Tabla3[[#This Row],[Fare]],".",",")))</f>
        <v>78958</v>
      </c>
      <c r="D648" s="1">
        <v>78958</v>
      </c>
    </row>
    <row r="649" spans="1:4" x14ac:dyDescent="0.25">
      <c r="A649" s="13">
        <f>IF(Tabla3[[#This Row],[Fare correción 2]]&gt;=1000,Tabla3[[#This Row],[Fare correción 2]]/10,Tabla3[[#This Row],[Fare correción 2]])</f>
        <v>35.5</v>
      </c>
      <c r="B649">
        <f>IF(Tabla3[[#This Row],[Fare corrección]]&gt;1000,Tabla3[[#This Row],[Fare corrección]]/1000,Tabla3[[#This Row],[Fare corrección]])</f>
        <v>35.5</v>
      </c>
      <c r="C649">
        <f>IF(ISNUMBER(Tabla3[[#This Row],[Fare]]),Tabla3[[#This Row],[Fare]],VALUE(SUBSTITUTE(Tabla3[[#This Row],[Fare]],".",",")))</f>
        <v>35.5</v>
      </c>
      <c r="D649" t="s">
        <v>946</v>
      </c>
    </row>
    <row r="650" spans="1:4" x14ac:dyDescent="0.25">
      <c r="A650" s="13">
        <f>IF(Tabla3[[#This Row],[Fare correción 2]]&gt;=1000,Tabla3[[#This Row],[Fare correción 2]]/10,Tabla3[[#This Row],[Fare correción 2]])</f>
        <v>7.55</v>
      </c>
      <c r="B650">
        <f>IF(Tabla3[[#This Row],[Fare corrección]]&gt;1000,Tabla3[[#This Row],[Fare corrección]]/1000,Tabla3[[#This Row],[Fare corrección]])</f>
        <v>7.55</v>
      </c>
      <c r="C650">
        <f>IF(ISNUMBER(Tabla3[[#This Row],[Fare]]),Tabla3[[#This Row],[Fare]],VALUE(SUBSTITUTE(Tabla3[[#This Row],[Fare]],".",",")))</f>
        <v>7.55</v>
      </c>
      <c r="D650" t="s">
        <v>1291</v>
      </c>
    </row>
    <row r="651" spans="1:4" x14ac:dyDescent="0.25">
      <c r="A651" s="13">
        <f>IF(Tabla3[[#This Row],[Fare correción 2]]&gt;=1000,Tabla3[[#This Row],[Fare correción 2]]/10,Tabla3[[#This Row],[Fare correción 2]])</f>
        <v>7.55</v>
      </c>
      <c r="B651">
        <f>IF(Tabla3[[#This Row],[Fare corrección]]&gt;1000,Tabla3[[#This Row],[Fare corrección]]/1000,Tabla3[[#This Row],[Fare corrección]])</f>
        <v>7.55</v>
      </c>
      <c r="C651">
        <f>IF(ISNUMBER(Tabla3[[#This Row],[Fare]]),Tabla3[[#This Row],[Fare]],VALUE(SUBSTITUTE(Tabla3[[#This Row],[Fare]],".",",")))</f>
        <v>7.55</v>
      </c>
      <c r="D651" t="s">
        <v>1291</v>
      </c>
    </row>
    <row r="652" spans="1:4" x14ac:dyDescent="0.25">
      <c r="A652" s="13">
        <f>IF(Tabla3[[#This Row],[Fare correción 2]]&gt;=1000,Tabla3[[#This Row],[Fare correción 2]]/10,Tabla3[[#This Row],[Fare correción 2]])</f>
        <v>78.957999999999998</v>
      </c>
      <c r="B652">
        <f>IF(Tabla3[[#This Row],[Fare corrección]]&gt;1000,Tabla3[[#This Row],[Fare corrección]]/1000,Tabla3[[#This Row],[Fare corrección]])</f>
        <v>78.957999999999998</v>
      </c>
      <c r="C652" s="1">
        <f>IF(ISNUMBER(Tabla3[[#This Row],[Fare]]),Tabla3[[#This Row],[Fare]],VALUE(SUBSTITUTE(Tabla3[[#This Row],[Fare]],".",",")))</f>
        <v>78958</v>
      </c>
      <c r="D652" s="1">
        <v>78958</v>
      </c>
    </row>
    <row r="653" spans="1:4" x14ac:dyDescent="0.25">
      <c r="A653" s="13">
        <f>IF(Tabla3[[#This Row],[Fare correción 2]]&gt;=1000,Tabla3[[#This Row],[Fare correción 2]]/10,Tabla3[[#This Row],[Fare correción 2]])</f>
        <v>23</v>
      </c>
      <c r="B653">
        <f>IF(Tabla3[[#This Row],[Fare corrección]]&gt;1000,Tabla3[[#This Row],[Fare corrección]]/1000,Tabla3[[#This Row],[Fare corrección]])</f>
        <v>23</v>
      </c>
      <c r="C653">
        <f>IF(ISNUMBER(Tabla3[[#This Row],[Fare]]),Tabla3[[#This Row],[Fare]],VALUE(SUBSTITUTE(Tabla3[[#This Row],[Fare]],".",",")))</f>
        <v>23</v>
      </c>
      <c r="D653">
        <v>23</v>
      </c>
    </row>
    <row r="654" spans="1:4" x14ac:dyDescent="0.25">
      <c r="A654" s="13">
        <f>IF(Tabla3[[#This Row],[Fare correción 2]]&gt;=1000,Tabla3[[#This Row],[Fare correción 2]]/10,Tabla3[[#This Row],[Fare correción 2]])</f>
        <v>84.332999999999998</v>
      </c>
      <c r="B654">
        <f>IF(Tabla3[[#This Row],[Fare corrección]]&gt;1000,Tabla3[[#This Row],[Fare corrección]]/1000,Tabla3[[#This Row],[Fare corrección]])</f>
        <v>84.332999999999998</v>
      </c>
      <c r="C654" s="1">
        <f>IF(ISNUMBER(Tabla3[[#This Row],[Fare]]),Tabla3[[#This Row],[Fare]],VALUE(SUBSTITUTE(Tabla3[[#This Row],[Fare]],".",",")))</f>
        <v>84333</v>
      </c>
      <c r="D654" s="1">
        <v>84333</v>
      </c>
    </row>
    <row r="655" spans="1:4" x14ac:dyDescent="0.25">
      <c r="A655" s="13">
        <f>IF(Tabla3[[#This Row],[Fare correción 2]]&gt;=1000,Tabla3[[#This Row],[Fare correción 2]]/10,Tabla3[[#This Row],[Fare correción 2]])</f>
        <v>78.292000000000002</v>
      </c>
      <c r="B655">
        <f>IF(Tabla3[[#This Row],[Fare corrección]]&gt;1000,Tabla3[[#This Row],[Fare corrección]]/1000,Tabla3[[#This Row],[Fare corrección]])</f>
        <v>78.292000000000002</v>
      </c>
      <c r="C655" s="1">
        <f>IF(ISNUMBER(Tabla3[[#This Row],[Fare]]),Tabla3[[#This Row],[Fare]],VALUE(SUBSTITUTE(Tabla3[[#This Row],[Fare]],".",",")))</f>
        <v>78292</v>
      </c>
      <c r="D655" s="1">
        <v>78292</v>
      </c>
    </row>
    <row r="656" spans="1:4" x14ac:dyDescent="0.25">
      <c r="A656" s="13">
        <f>IF(Tabla3[[#This Row],[Fare correción 2]]&gt;=1000,Tabla3[[#This Row],[Fare correción 2]]/10,Tabla3[[#This Row],[Fare correción 2]])</f>
        <v>6.75</v>
      </c>
      <c r="B656">
        <f>IF(Tabla3[[#This Row],[Fare corrección]]&gt;1000,Tabla3[[#This Row],[Fare corrección]]/1000,Tabla3[[#This Row],[Fare corrección]])</f>
        <v>6.75</v>
      </c>
      <c r="C656">
        <f>IF(ISNUMBER(Tabla3[[#This Row],[Fare]]),Tabla3[[#This Row],[Fare]],VALUE(SUBSTITUTE(Tabla3[[#This Row],[Fare]],".",",")))</f>
        <v>6.75</v>
      </c>
      <c r="D656" t="s">
        <v>1142</v>
      </c>
    </row>
    <row r="657" spans="1:4" x14ac:dyDescent="0.25">
      <c r="A657" s="13">
        <f>IF(Tabla3[[#This Row],[Fare correción 2]]&gt;=1000,Tabla3[[#This Row],[Fare correción 2]]/10,Tabla3[[#This Row],[Fare correción 2]])</f>
        <v>73.5</v>
      </c>
      <c r="B657">
        <f>IF(Tabla3[[#This Row],[Fare corrección]]&gt;1000,Tabla3[[#This Row],[Fare corrección]]/1000,Tabla3[[#This Row],[Fare corrección]])</f>
        <v>73.5</v>
      </c>
      <c r="C657">
        <f>IF(ISNUMBER(Tabla3[[#This Row],[Fare]]),Tabla3[[#This Row],[Fare]],VALUE(SUBSTITUTE(Tabla3[[#This Row],[Fare]],".",",")))</f>
        <v>73.5</v>
      </c>
      <c r="D657" t="s">
        <v>1031</v>
      </c>
    </row>
    <row r="658" spans="1:4" x14ac:dyDescent="0.25">
      <c r="A658" s="13">
        <f>IF(Tabla3[[#This Row],[Fare correción 2]]&gt;=1000,Tabla3[[#This Row],[Fare correción 2]]/10,Tabla3[[#This Row],[Fare correción 2]])</f>
        <v>78.957999999999998</v>
      </c>
      <c r="B658">
        <f>IF(Tabla3[[#This Row],[Fare corrección]]&gt;1000,Tabla3[[#This Row],[Fare corrección]]/1000,Tabla3[[#This Row],[Fare corrección]])</f>
        <v>78.957999999999998</v>
      </c>
      <c r="C658" s="1">
        <f>IF(ISNUMBER(Tabla3[[#This Row],[Fare]]),Tabla3[[#This Row],[Fare]],VALUE(SUBSTITUTE(Tabla3[[#This Row],[Fare]],".",",")))</f>
        <v>78958</v>
      </c>
      <c r="D658" s="1">
        <v>78958</v>
      </c>
    </row>
    <row r="659" spans="1:4" x14ac:dyDescent="0.25">
      <c r="A659" s="13">
        <f>IF(Tabla3[[#This Row],[Fare correción 2]]&gt;=1000,Tabla3[[#This Row],[Fare correción 2]]/10,Tabla3[[#This Row],[Fare correción 2]])</f>
        <v>15.5</v>
      </c>
      <c r="B659">
        <f>IF(Tabla3[[#This Row],[Fare corrección]]&gt;1000,Tabla3[[#This Row],[Fare corrección]]/1000,Tabla3[[#This Row],[Fare corrección]])</f>
        <v>15.5</v>
      </c>
      <c r="C659">
        <f>IF(ISNUMBER(Tabla3[[#This Row],[Fare]]),Tabla3[[#This Row],[Fare]],VALUE(SUBSTITUTE(Tabla3[[#This Row],[Fare]],".",",")))</f>
        <v>15.5</v>
      </c>
      <c r="D659" t="s">
        <v>982</v>
      </c>
    </row>
    <row r="660" spans="1:4" x14ac:dyDescent="0.25">
      <c r="A660" s="13">
        <f>IF(Tabla3[[#This Row],[Fare correción 2]]&gt;=1000,Tabla3[[#This Row],[Fare correción 2]]/10,Tabla3[[#This Row],[Fare correción 2]])</f>
        <v>13</v>
      </c>
      <c r="B660">
        <f>IF(Tabla3[[#This Row],[Fare corrección]]&gt;1000,Tabla3[[#This Row],[Fare corrección]]/1000,Tabla3[[#This Row],[Fare corrección]])</f>
        <v>13</v>
      </c>
      <c r="C660">
        <f>IF(ISNUMBER(Tabla3[[#This Row],[Fare]]),Tabla3[[#This Row],[Fare]],VALUE(SUBSTITUTE(Tabla3[[#This Row],[Fare]],".",",")))</f>
        <v>13</v>
      </c>
      <c r="D660">
        <v>13</v>
      </c>
    </row>
    <row r="661" spans="1:4" x14ac:dyDescent="0.25">
      <c r="A661" s="13">
        <f>IF(Tabla3[[#This Row],[Fare correción 2]]&gt;=1000,Tabla3[[#This Row],[Fare correción 2]]/10,Tabla3[[#This Row],[Fare correción 2]])</f>
        <v>113.27500000000001</v>
      </c>
      <c r="B661">
        <f>IF(Tabla3[[#This Row],[Fare corrección]]&gt;1000,Tabla3[[#This Row],[Fare corrección]]/1000,Tabla3[[#This Row],[Fare corrección]])</f>
        <v>113.27500000000001</v>
      </c>
      <c r="C661" s="1">
        <f>IF(ISNUMBER(Tabla3[[#This Row],[Fare]]),Tabla3[[#This Row],[Fare]],VALUE(SUBSTITUTE(Tabla3[[#This Row],[Fare]],".",",")))</f>
        <v>113275</v>
      </c>
      <c r="D661" s="1">
        <v>113275</v>
      </c>
    </row>
    <row r="662" spans="1:4" x14ac:dyDescent="0.25">
      <c r="A662" s="13">
        <f>IF(Tabla3[[#This Row],[Fare correción 2]]&gt;=1000,Tabla3[[#This Row],[Fare correción 2]]/10,Tabla3[[#This Row],[Fare correción 2]])</f>
        <v>133.65</v>
      </c>
      <c r="B662">
        <f>IF(Tabla3[[#This Row],[Fare corrección]]&gt;1000,Tabla3[[#This Row],[Fare corrección]]/1000,Tabla3[[#This Row],[Fare corrección]])</f>
        <v>133.65</v>
      </c>
      <c r="C662">
        <f>IF(ISNUMBER(Tabla3[[#This Row],[Fare]]),Tabla3[[#This Row],[Fare]],VALUE(SUBSTITUTE(Tabla3[[#This Row],[Fare]],".",",")))</f>
        <v>133.65</v>
      </c>
      <c r="D662" t="s">
        <v>1455</v>
      </c>
    </row>
    <row r="663" spans="1:4" x14ac:dyDescent="0.25">
      <c r="A663" s="13">
        <f>IF(Tabla3[[#This Row],[Fare correción 2]]&gt;=1000,Tabla3[[#This Row],[Fare correción 2]]/10,Tabla3[[#This Row],[Fare correción 2]])</f>
        <v>7.2249999999999996</v>
      </c>
      <c r="B663">
        <f>IF(Tabla3[[#This Row],[Fare corrección]]&gt;1000,Tabla3[[#This Row],[Fare corrección]]/1000,Tabla3[[#This Row],[Fare corrección]])</f>
        <v>7.2249999999999996</v>
      </c>
      <c r="C663" s="1">
        <f>IF(ISNUMBER(Tabla3[[#This Row],[Fare]]),Tabla3[[#This Row],[Fare]],VALUE(SUBSTITUTE(Tabla3[[#This Row],[Fare]],".",",")))</f>
        <v>7225</v>
      </c>
      <c r="D663" s="1">
        <v>7225</v>
      </c>
    </row>
    <row r="664" spans="1:4" x14ac:dyDescent="0.25">
      <c r="A664" s="13">
        <f>IF(Tabla3[[#This Row],[Fare correción 2]]&gt;=1000,Tabla3[[#This Row],[Fare correción 2]]/10,Tabla3[[#This Row],[Fare correción 2]])</f>
        <v>255.875</v>
      </c>
      <c r="B664">
        <f>IF(Tabla3[[#This Row],[Fare corrección]]&gt;1000,Tabla3[[#This Row],[Fare corrección]]/1000,Tabla3[[#This Row],[Fare corrección]])</f>
        <v>255.875</v>
      </c>
      <c r="C664" s="1">
        <f>IF(ISNUMBER(Tabla3[[#This Row],[Fare]]),Tabla3[[#This Row],[Fare]],VALUE(SUBSTITUTE(Tabla3[[#This Row],[Fare]],".",",")))</f>
        <v>255875</v>
      </c>
      <c r="D664" s="1">
        <v>255875</v>
      </c>
    </row>
    <row r="665" spans="1:4" x14ac:dyDescent="0.25">
      <c r="A665" s="13">
        <f>IF(Tabla3[[#This Row],[Fare correción 2]]&gt;=1000,Tabla3[[#This Row],[Fare correción 2]]/10,Tabla3[[#This Row],[Fare correción 2]])</f>
        <v>74.957999999999998</v>
      </c>
      <c r="B665">
        <f>IF(Tabla3[[#This Row],[Fare corrección]]&gt;1000,Tabla3[[#This Row],[Fare corrección]]/1000,Tabla3[[#This Row],[Fare corrección]])</f>
        <v>74.957999999999998</v>
      </c>
      <c r="C665" s="1">
        <f>IF(ISNUMBER(Tabla3[[#This Row],[Fare]]),Tabla3[[#This Row],[Fare]],VALUE(SUBSTITUTE(Tabla3[[#This Row],[Fare]],".",",")))</f>
        <v>74958</v>
      </c>
      <c r="D665" s="1">
        <v>74958</v>
      </c>
    </row>
    <row r="666" spans="1:4" x14ac:dyDescent="0.25">
      <c r="A666" s="13">
        <f>IF(Tabla3[[#This Row],[Fare correción 2]]&gt;=1000,Tabla3[[#This Row],[Fare correción 2]]/10,Tabla3[[#This Row],[Fare correción 2]])</f>
        <v>7.9249999999999998</v>
      </c>
      <c r="B666">
        <f>IF(Tabla3[[#This Row],[Fare corrección]]&gt;1000,Tabla3[[#This Row],[Fare corrección]]/1000,Tabla3[[#This Row],[Fare corrección]])</f>
        <v>7.9249999999999998</v>
      </c>
      <c r="C666" s="1">
        <f>IF(ISNUMBER(Tabla3[[#This Row],[Fare]]),Tabla3[[#This Row],[Fare]],VALUE(SUBSTITUTE(Tabla3[[#This Row],[Fare]],".",",")))</f>
        <v>7925</v>
      </c>
      <c r="D666" s="1">
        <v>7925</v>
      </c>
    </row>
    <row r="667" spans="1:4" x14ac:dyDescent="0.25">
      <c r="A667" s="13">
        <f>IF(Tabla3[[#This Row],[Fare correción 2]]&gt;=1000,Tabla3[[#This Row],[Fare correción 2]]/10,Tabla3[[#This Row],[Fare correción 2]])</f>
        <v>73.5</v>
      </c>
      <c r="B667">
        <f>IF(Tabla3[[#This Row],[Fare corrección]]&gt;1000,Tabla3[[#This Row],[Fare corrección]]/1000,Tabla3[[#This Row],[Fare corrección]])</f>
        <v>73.5</v>
      </c>
      <c r="C667">
        <f>IF(ISNUMBER(Tabla3[[#This Row],[Fare]]),Tabla3[[#This Row],[Fare]],VALUE(SUBSTITUTE(Tabla3[[#This Row],[Fare]],".",",")))</f>
        <v>73.5</v>
      </c>
      <c r="D667" t="s">
        <v>1031</v>
      </c>
    </row>
    <row r="668" spans="1:4" x14ac:dyDescent="0.25">
      <c r="A668" s="13">
        <f>IF(Tabla3[[#This Row],[Fare correción 2]]&gt;=1000,Tabla3[[#This Row],[Fare correción 2]]/10,Tabla3[[#This Row],[Fare correción 2]])</f>
        <v>13</v>
      </c>
      <c r="B668">
        <f>IF(Tabla3[[#This Row],[Fare corrección]]&gt;1000,Tabla3[[#This Row],[Fare corrección]]/1000,Tabla3[[#This Row],[Fare corrección]])</f>
        <v>13</v>
      </c>
      <c r="C668">
        <f>IF(ISNUMBER(Tabla3[[#This Row],[Fare]]),Tabla3[[#This Row],[Fare]],VALUE(SUBSTITUTE(Tabla3[[#This Row],[Fare]],".",",")))</f>
        <v>13</v>
      </c>
      <c r="D668">
        <v>13</v>
      </c>
    </row>
    <row r="669" spans="1:4" x14ac:dyDescent="0.25">
      <c r="A669" s="13">
        <f>IF(Tabla3[[#This Row],[Fare correción 2]]&gt;=1000,Tabla3[[#This Row],[Fare correción 2]]/10,Tabla3[[#This Row],[Fare correción 2]])</f>
        <v>7.7750000000000004</v>
      </c>
      <c r="B669">
        <f>IF(Tabla3[[#This Row],[Fare corrección]]&gt;1000,Tabla3[[#This Row],[Fare corrección]]/1000,Tabla3[[#This Row],[Fare corrección]])</f>
        <v>7.7750000000000004</v>
      </c>
      <c r="C669" s="1">
        <f>IF(ISNUMBER(Tabla3[[#This Row],[Fare]]),Tabla3[[#This Row],[Fare]],VALUE(SUBSTITUTE(Tabla3[[#This Row],[Fare]],".",",")))</f>
        <v>7775</v>
      </c>
      <c r="D669" s="1">
        <v>7775</v>
      </c>
    </row>
    <row r="670" spans="1:4" x14ac:dyDescent="0.25">
      <c r="A670" s="13">
        <f>IF(Tabla3[[#This Row],[Fare correción 2]]&gt;=1000,Tabla3[[#This Row],[Fare correción 2]]/10,Tabla3[[#This Row],[Fare correción 2]])</f>
        <v>8.0500000000000007</v>
      </c>
      <c r="B670">
        <f>IF(Tabla3[[#This Row],[Fare corrección]]&gt;1000,Tabla3[[#This Row],[Fare corrección]]/1000,Tabla3[[#This Row],[Fare corrección]])</f>
        <v>8.0500000000000007</v>
      </c>
      <c r="C670">
        <f>IF(ISNUMBER(Tabla3[[#This Row],[Fare]]),Tabla3[[#This Row],[Fare]],VALUE(SUBSTITUTE(Tabla3[[#This Row],[Fare]],".",",")))</f>
        <v>8.0500000000000007</v>
      </c>
      <c r="D670" t="s">
        <v>917</v>
      </c>
    </row>
    <row r="671" spans="1:4" x14ac:dyDescent="0.25">
      <c r="A671" s="13">
        <f>IF(Tabla3[[#This Row],[Fare correción 2]]&gt;=1000,Tabla3[[#This Row],[Fare correción 2]]/10,Tabla3[[#This Row],[Fare correción 2]])</f>
        <v>52</v>
      </c>
      <c r="B671">
        <f>IF(Tabla3[[#This Row],[Fare corrección]]&gt;1000,Tabla3[[#This Row],[Fare corrección]]/1000,Tabla3[[#This Row],[Fare corrección]])</f>
        <v>52</v>
      </c>
      <c r="C671">
        <f>IF(ISNUMBER(Tabla3[[#This Row],[Fare]]),Tabla3[[#This Row],[Fare]],VALUE(SUBSTITUTE(Tabla3[[#This Row],[Fare]],".",",")))</f>
        <v>52</v>
      </c>
      <c r="D671">
        <v>52</v>
      </c>
    </row>
    <row r="672" spans="1:4" x14ac:dyDescent="0.25">
      <c r="A672" s="13">
        <f>IF(Tabla3[[#This Row],[Fare correción 2]]&gt;=1000,Tabla3[[#This Row],[Fare correción 2]]/10,Tabla3[[#This Row],[Fare correción 2]])</f>
        <v>39</v>
      </c>
      <c r="B672">
        <f>IF(Tabla3[[#This Row],[Fare corrección]]&gt;1000,Tabla3[[#This Row],[Fare corrección]]/1000,Tabla3[[#This Row],[Fare corrección]])</f>
        <v>39</v>
      </c>
      <c r="C672">
        <f>IF(ISNUMBER(Tabla3[[#This Row],[Fare]]),Tabla3[[#This Row],[Fare]],VALUE(SUBSTITUTE(Tabla3[[#This Row],[Fare]],".",",")))</f>
        <v>39</v>
      </c>
      <c r="D672">
        <v>39</v>
      </c>
    </row>
    <row r="673" spans="1:4" x14ac:dyDescent="0.25">
      <c r="A673" s="13">
        <f>IF(Tabla3[[#This Row],[Fare correción 2]]&gt;=1000,Tabla3[[#This Row],[Fare correción 2]]/10,Tabla3[[#This Row],[Fare correción 2]])</f>
        <v>52</v>
      </c>
      <c r="B673">
        <f>IF(Tabla3[[#This Row],[Fare corrección]]&gt;1000,Tabla3[[#This Row],[Fare corrección]]/1000,Tabla3[[#This Row],[Fare corrección]])</f>
        <v>52</v>
      </c>
      <c r="C673">
        <f>IF(ISNUMBER(Tabla3[[#This Row],[Fare]]),Tabla3[[#This Row],[Fare]],VALUE(SUBSTITUTE(Tabla3[[#This Row],[Fare]],".",",")))</f>
        <v>52</v>
      </c>
      <c r="D673">
        <v>52</v>
      </c>
    </row>
    <row r="674" spans="1:4" x14ac:dyDescent="0.25">
      <c r="A674" s="13">
        <f>IF(Tabla3[[#This Row],[Fare correción 2]]&gt;=1000,Tabla3[[#This Row],[Fare correción 2]]/10,Tabla3[[#This Row],[Fare correción 2]])</f>
        <v>10.5</v>
      </c>
      <c r="B674">
        <f>IF(Tabla3[[#This Row],[Fare corrección]]&gt;1000,Tabla3[[#This Row],[Fare corrección]]/1000,Tabla3[[#This Row],[Fare corrección]])</f>
        <v>10.5</v>
      </c>
      <c r="C674">
        <f>IF(ISNUMBER(Tabla3[[#This Row],[Fare]]),Tabla3[[#This Row],[Fare]],VALUE(SUBSTITUTE(Tabla3[[#This Row],[Fare]],".",",")))</f>
        <v>10.5</v>
      </c>
      <c r="D674" t="s">
        <v>964</v>
      </c>
    </row>
    <row r="675" spans="1:4" x14ac:dyDescent="0.25">
      <c r="A675" s="13">
        <f>IF(Tabla3[[#This Row],[Fare correción 2]]&gt;=1000,Tabla3[[#This Row],[Fare correción 2]]/10,Tabla3[[#This Row],[Fare correción 2]])</f>
        <v>13</v>
      </c>
      <c r="B675">
        <f>IF(Tabla3[[#This Row],[Fare corrección]]&gt;1000,Tabla3[[#This Row],[Fare corrección]]/1000,Tabla3[[#This Row],[Fare corrección]])</f>
        <v>13</v>
      </c>
      <c r="C675">
        <f>IF(ISNUMBER(Tabla3[[#This Row],[Fare]]),Tabla3[[#This Row],[Fare]],VALUE(SUBSTITUTE(Tabla3[[#This Row],[Fare]],".",",")))</f>
        <v>13</v>
      </c>
      <c r="D675">
        <v>13</v>
      </c>
    </row>
    <row r="676" spans="1:4" x14ac:dyDescent="0.25">
      <c r="A676" s="13">
        <f>IF(Tabla3[[#This Row],[Fare correción 2]]&gt;=1000,Tabla3[[#This Row],[Fare correción 2]]/10,Tabla3[[#This Row],[Fare correción 2]])</f>
        <v>0</v>
      </c>
      <c r="B676">
        <f>IF(Tabla3[[#This Row],[Fare corrección]]&gt;1000,Tabla3[[#This Row],[Fare corrección]]/1000,Tabla3[[#This Row],[Fare corrección]])</f>
        <v>0</v>
      </c>
      <c r="C676">
        <f>IF(ISNUMBER(Tabla3[[#This Row],[Fare]]),Tabla3[[#This Row],[Fare]],VALUE(SUBSTITUTE(Tabla3[[#This Row],[Fare]],".",",")))</f>
        <v>0</v>
      </c>
      <c r="D676">
        <v>0</v>
      </c>
    </row>
    <row r="677" spans="1:4" x14ac:dyDescent="0.25">
      <c r="A677" s="13">
        <f>IF(Tabla3[[#This Row],[Fare correción 2]]&gt;=1000,Tabla3[[#This Row],[Fare correción 2]]/10,Tabla3[[#This Row],[Fare correción 2]])</f>
        <v>7.7750000000000004</v>
      </c>
      <c r="B677">
        <f>IF(Tabla3[[#This Row],[Fare corrección]]&gt;1000,Tabla3[[#This Row],[Fare corrección]]/1000,Tabla3[[#This Row],[Fare corrección]])</f>
        <v>7.7750000000000004</v>
      </c>
      <c r="C677" s="1">
        <f>IF(ISNUMBER(Tabla3[[#This Row],[Fare]]),Tabla3[[#This Row],[Fare]],VALUE(SUBSTITUTE(Tabla3[[#This Row],[Fare]],".",",")))</f>
        <v>7775</v>
      </c>
      <c r="D677" s="1">
        <v>7775</v>
      </c>
    </row>
    <row r="678" spans="1:4" x14ac:dyDescent="0.25">
      <c r="A678" s="13">
        <f>IF(Tabla3[[#This Row],[Fare correción 2]]&gt;=1000,Tabla3[[#This Row],[Fare correción 2]]/10,Tabla3[[#This Row],[Fare correción 2]])</f>
        <v>8.0500000000000007</v>
      </c>
      <c r="B678">
        <f>IF(Tabla3[[#This Row],[Fare corrección]]&gt;1000,Tabla3[[#This Row],[Fare corrección]]/1000,Tabla3[[#This Row],[Fare corrección]])</f>
        <v>8.0500000000000007</v>
      </c>
      <c r="C678">
        <f>IF(ISNUMBER(Tabla3[[#This Row],[Fare]]),Tabla3[[#This Row],[Fare]],VALUE(SUBSTITUTE(Tabla3[[#This Row],[Fare]],".",",")))</f>
        <v>8.0500000000000007</v>
      </c>
      <c r="D678" t="s">
        <v>917</v>
      </c>
    </row>
    <row r="679" spans="1:4" x14ac:dyDescent="0.25">
      <c r="A679" s="13">
        <f>IF(Tabla3[[#This Row],[Fare correción 2]]&gt;=1000,Tabla3[[#This Row],[Fare correción 2]]/10,Tabla3[[#This Row],[Fare correción 2]])</f>
        <v>98.417000000000002</v>
      </c>
      <c r="B679">
        <f>IF(Tabla3[[#This Row],[Fare corrección]]&gt;1000,Tabla3[[#This Row],[Fare corrección]]/1000,Tabla3[[#This Row],[Fare corrección]])</f>
        <v>98.417000000000002</v>
      </c>
      <c r="C679" s="1">
        <f>IF(ISNUMBER(Tabla3[[#This Row],[Fare]]),Tabla3[[#This Row],[Fare]],VALUE(SUBSTITUTE(Tabla3[[#This Row],[Fare]],".",",")))</f>
        <v>98417</v>
      </c>
      <c r="D679" s="1">
        <v>98417</v>
      </c>
    </row>
    <row r="680" spans="1:4" x14ac:dyDescent="0.25">
      <c r="A680" s="13">
        <f>IF(Tabla3[[#This Row],[Fare correción 2]]&gt;=1000,Tabla3[[#This Row],[Fare correción 2]]/10,Tabla3[[#This Row],[Fare correción 2]])</f>
        <v>46.9</v>
      </c>
      <c r="B680">
        <f>IF(Tabla3[[#This Row],[Fare corrección]]&gt;1000,Tabla3[[#This Row],[Fare corrección]]/1000,Tabla3[[#This Row],[Fare corrección]])</f>
        <v>46.9</v>
      </c>
      <c r="C680">
        <f>IF(ISNUMBER(Tabla3[[#This Row],[Fare]]),Tabla3[[#This Row],[Fare]],VALUE(SUBSTITUTE(Tabla3[[#This Row],[Fare]],".",",")))</f>
        <v>46.9</v>
      </c>
      <c r="D680" t="s">
        <v>1008</v>
      </c>
    </row>
    <row r="681" spans="1:4" x14ac:dyDescent="0.25">
      <c r="A681" s="13">
        <f>IF(Tabla3[[#This Row],[Fare correción 2]]&gt;=1000,Tabla3[[#This Row],[Fare correción 2]]/10,Tabla3[[#This Row],[Fare correción 2]])</f>
        <v>512.32920000000001</v>
      </c>
      <c r="B681">
        <f>IF(Tabla3[[#This Row],[Fare corrección]]&gt;1000,Tabla3[[#This Row],[Fare corrección]]/1000,Tabla3[[#This Row],[Fare corrección]])</f>
        <v>5123.2920000000004</v>
      </c>
      <c r="C681" s="1">
        <f>IF(ISNUMBER(Tabla3[[#This Row],[Fare]]),Tabla3[[#This Row],[Fare]],VALUE(SUBSTITUTE(Tabla3[[#This Row],[Fare]],".",",")))</f>
        <v>5123292</v>
      </c>
      <c r="D681" s="1">
        <v>5123292</v>
      </c>
    </row>
    <row r="682" spans="1:4" x14ac:dyDescent="0.25">
      <c r="A682" s="13">
        <f>IF(Tabla3[[#This Row],[Fare correción 2]]&gt;=1000,Tabla3[[#This Row],[Fare correción 2]]/10,Tabla3[[#This Row],[Fare correción 2]])</f>
        <v>81.375</v>
      </c>
      <c r="B682">
        <f>IF(Tabla3[[#This Row],[Fare corrección]]&gt;1000,Tabla3[[#This Row],[Fare corrección]]/1000,Tabla3[[#This Row],[Fare corrección]])</f>
        <v>81.375</v>
      </c>
      <c r="C682" s="1">
        <f>IF(ISNUMBER(Tabla3[[#This Row],[Fare]]),Tabla3[[#This Row],[Fare]],VALUE(SUBSTITUTE(Tabla3[[#This Row],[Fare]],".",",")))</f>
        <v>81375</v>
      </c>
      <c r="D682" s="1">
        <v>81375</v>
      </c>
    </row>
    <row r="683" spans="1:4" x14ac:dyDescent="0.25">
      <c r="A683" s="13">
        <f>IF(Tabla3[[#This Row],[Fare correción 2]]&gt;=1000,Tabla3[[#This Row],[Fare correción 2]]/10,Tabla3[[#This Row],[Fare correción 2]])</f>
        <v>767.29200000000003</v>
      </c>
      <c r="B683">
        <f>IF(Tabla3[[#This Row],[Fare corrección]]&gt;1000,Tabla3[[#This Row],[Fare corrección]]/1000,Tabla3[[#This Row],[Fare corrección]])</f>
        <v>767.29200000000003</v>
      </c>
      <c r="C683" s="1">
        <f>IF(ISNUMBER(Tabla3[[#This Row],[Fare]]),Tabla3[[#This Row],[Fare]],VALUE(SUBSTITUTE(Tabla3[[#This Row],[Fare]],".",",")))</f>
        <v>767292</v>
      </c>
      <c r="D683" s="1">
        <v>767292</v>
      </c>
    </row>
    <row r="684" spans="1:4" x14ac:dyDescent="0.25">
      <c r="A684" s="13">
        <f>IF(Tabla3[[#This Row],[Fare correción 2]]&gt;=1000,Tabla3[[#This Row],[Fare correción 2]]/10,Tabla3[[#This Row],[Fare correción 2]])</f>
        <v>9.2249999999999996</v>
      </c>
      <c r="B684">
        <f>IF(Tabla3[[#This Row],[Fare corrección]]&gt;1000,Tabla3[[#This Row],[Fare corrección]]/1000,Tabla3[[#This Row],[Fare corrección]])</f>
        <v>9.2249999999999996</v>
      </c>
      <c r="C684" s="1">
        <f>IF(ISNUMBER(Tabla3[[#This Row],[Fare]]),Tabla3[[#This Row],[Fare]],VALUE(SUBSTITUTE(Tabla3[[#This Row],[Fare]],".",",")))</f>
        <v>9225</v>
      </c>
      <c r="D684" s="1">
        <v>9225</v>
      </c>
    </row>
    <row r="685" spans="1:4" x14ac:dyDescent="0.25">
      <c r="A685" s="13">
        <f>IF(Tabla3[[#This Row],[Fare correción 2]]&gt;=1000,Tabla3[[#This Row],[Fare correción 2]]/10,Tabla3[[#This Row],[Fare correción 2]])</f>
        <v>46.9</v>
      </c>
      <c r="B685">
        <f>IF(Tabla3[[#This Row],[Fare corrección]]&gt;1000,Tabla3[[#This Row],[Fare corrección]]/1000,Tabla3[[#This Row],[Fare corrección]])</f>
        <v>46.9</v>
      </c>
      <c r="C685">
        <f>IF(ISNUMBER(Tabla3[[#This Row],[Fare]]),Tabla3[[#This Row],[Fare]],VALUE(SUBSTITUTE(Tabla3[[#This Row],[Fare]],".",",")))</f>
        <v>46.9</v>
      </c>
      <c r="D685" t="s">
        <v>1008</v>
      </c>
    </row>
    <row r="686" spans="1:4" x14ac:dyDescent="0.25">
      <c r="A686" s="13">
        <f>IF(Tabla3[[#This Row],[Fare correción 2]]&gt;=1000,Tabla3[[#This Row],[Fare correción 2]]/10,Tabla3[[#This Row],[Fare correción 2]])</f>
        <v>39</v>
      </c>
      <c r="B686">
        <f>IF(Tabla3[[#This Row],[Fare corrección]]&gt;1000,Tabla3[[#This Row],[Fare corrección]]/1000,Tabla3[[#This Row],[Fare corrección]])</f>
        <v>39</v>
      </c>
      <c r="C686">
        <f>IF(ISNUMBER(Tabla3[[#This Row],[Fare]]),Tabla3[[#This Row],[Fare]],VALUE(SUBSTITUTE(Tabla3[[#This Row],[Fare]],".",",")))</f>
        <v>39</v>
      </c>
      <c r="D686">
        <v>39</v>
      </c>
    </row>
    <row r="687" spans="1:4" x14ac:dyDescent="0.25">
      <c r="A687" s="13">
        <f>IF(Tabla3[[#This Row],[Fare correción 2]]&gt;=1000,Tabla3[[#This Row],[Fare correción 2]]/10,Tabla3[[#This Row],[Fare correción 2]])</f>
        <v>415.79199999999997</v>
      </c>
      <c r="B687">
        <f>IF(Tabla3[[#This Row],[Fare corrección]]&gt;1000,Tabla3[[#This Row],[Fare corrección]]/1000,Tabla3[[#This Row],[Fare corrección]])</f>
        <v>415.79199999999997</v>
      </c>
      <c r="C687" s="1">
        <f>IF(ISNUMBER(Tabla3[[#This Row],[Fare]]),Tabla3[[#This Row],[Fare]],VALUE(SUBSTITUTE(Tabla3[[#This Row],[Fare]],".",",")))</f>
        <v>415792</v>
      </c>
      <c r="D687" s="1">
        <v>415792</v>
      </c>
    </row>
    <row r="688" spans="1:4" x14ac:dyDescent="0.25">
      <c r="A688" s="13">
        <f>IF(Tabla3[[#This Row],[Fare correción 2]]&gt;=1000,Tabla3[[#This Row],[Fare correción 2]]/10,Tabla3[[#This Row],[Fare correción 2]])</f>
        <v>396.875</v>
      </c>
      <c r="B688">
        <f>IF(Tabla3[[#This Row],[Fare corrección]]&gt;1000,Tabla3[[#This Row],[Fare corrección]]/1000,Tabla3[[#This Row],[Fare corrección]])</f>
        <v>396.875</v>
      </c>
      <c r="C688" s="1">
        <f>IF(ISNUMBER(Tabla3[[#This Row],[Fare]]),Tabla3[[#This Row],[Fare]],VALUE(SUBSTITUTE(Tabla3[[#This Row],[Fare]],".",",")))</f>
        <v>396875</v>
      </c>
      <c r="D688" s="1">
        <v>396875</v>
      </c>
    </row>
    <row r="689" spans="1:4" x14ac:dyDescent="0.25">
      <c r="A689" s="13">
        <f>IF(Tabla3[[#This Row],[Fare correción 2]]&gt;=1000,Tabla3[[#This Row],[Fare correción 2]]/10,Tabla3[[#This Row],[Fare correción 2]])</f>
        <v>101.708</v>
      </c>
      <c r="B689">
        <f>IF(Tabla3[[#This Row],[Fare corrección]]&gt;1000,Tabla3[[#This Row],[Fare corrección]]/1000,Tabla3[[#This Row],[Fare corrección]])</f>
        <v>101.708</v>
      </c>
      <c r="C689" s="1">
        <f>IF(ISNUMBER(Tabla3[[#This Row],[Fare]]),Tabla3[[#This Row],[Fare]],VALUE(SUBSTITUTE(Tabla3[[#This Row],[Fare]],".",",")))</f>
        <v>101708</v>
      </c>
      <c r="D689" s="1">
        <v>101708</v>
      </c>
    </row>
    <row r="690" spans="1:4" x14ac:dyDescent="0.25">
      <c r="A690" s="13">
        <f>IF(Tabla3[[#This Row],[Fare correción 2]]&gt;=1000,Tabla3[[#This Row],[Fare correción 2]]/10,Tabla3[[#This Row],[Fare correción 2]])</f>
        <v>77.957999999999998</v>
      </c>
      <c r="B690">
        <f>IF(Tabla3[[#This Row],[Fare corrección]]&gt;1000,Tabla3[[#This Row],[Fare corrección]]/1000,Tabla3[[#This Row],[Fare corrección]])</f>
        <v>77.957999999999998</v>
      </c>
      <c r="C690" s="1">
        <f>IF(ISNUMBER(Tabla3[[#This Row],[Fare]]),Tabla3[[#This Row],[Fare]],VALUE(SUBSTITUTE(Tabla3[[#This Row],[Fare]],".",",")))</f>
        <v>77958</v>
      </c>
      <c r="D690" s="1">
        <v>77958</v>
      </c>
    </row>
    <row r="691" spans="1:4" x14ac:dyDescent="0.25">
      <c r="A691" s="13">
        <f>IF(Tabla3[[#This Row],[Fare correción 2]]&gt;=1000,Tabla3[[#This Row],[Fare correción 2]]/10,Tabla3[[#This Row],[Fare correción 2]])</f>
        <v>211.33750000000001</v>
      </c>
      <c r="B691">
        <f>IF(Tabla3[[#This Row],[Fare corrección]]&gt;1000,Tabla3[[#This Row],[Fare corrección]]/1000,Tabla3[[#This Row],[Fare corrección]])</f>
        <v>2113.375</v>
      </c>
      <c r="C691" s="1">
        <f>IF(ISNUMBER(Tabla3[[#This Row],[Fare]]),Tabla3[[#This Row],[Fare]],VALUE(SUBSTITUTE(Tabla3[[#This Row],[Fare]],".",",")))</f>
        <v>2113375</v>
      </c>
      <c r="D691" s="1">
        <v>2113375</v>
      </c>
    </row>
    <row r="692" spans="1:4" x14ac:dyDescent="0.25">
      <c r="A692" s="13">
        <f>IF(Tabla3[[#This Row],[Fare correción 2]]&gt;=1000,Tabla3[[#This Row],[Fare correción 2]]/10,Tabla3[[#This Row],[Fare correción 2]])</f>
        <v>57</v>
      </c>
      <c r="B692">
        <f>IF(Tabla3[[#This Row],[Fare corrección]]&gt;1000,Tabla3[[#This Row],[Fare corrección]]/1000,Tabla3[[#This Row],[Fare corrección]])</f>
        <v>57</v>
      </c>
      <c r="C692">
        <f>IF(ISNUMBER(Tabla3[[#This Row],[Fare]]),Tabla3[[#This Row],[Fare]],VALUE(SUBSTITUTE(Tabla3[[#This Row],[Fare]],".",",")))</f>
        <v>57</v>
      </c>
      <c r="D692">
        <v>57</v>
      </c>
    </row>
    <row r="693" spans="1:4" x14ac:dyDescent="0.25">
      <c r="A693" s="13">
        <f>IF(Tabla3[[#This Row],[Fare correción 2]]&gt;=1000,Tabla3[[#This Row],[Fare correción 2]]/10,Tabla3[[#This Row],[Fare correción 2]])</f>
        <v>134.167</v>
      </c>
      <c r="B693">
        <f>IF(Tabla3[[#This Row],[Fare corrección]]&gt;1000,Tabla3[[#This Row],[Fare corrección]]/1000,Tabla3[[#This Row],[Fare corrección]])</f>
        <v>134.167</v>
      </c>
      <c r="C693" s="1">
        <f>IF(ISNUMBER(Tabla3[[#This Row],[Fare]]),Tabla3[[#This Row],[Fare]],VALUE(SUBSTITUTE(Tabla3[[#This Row],[Fare]],".",",")))</f>
        <v>134167</v>
      </c>
      <c r="D693" s="1">
        <v>134167</v>
      </c>
    </row>
    <row r="694" spans="1:4" x14ac:dyDescent="0.25">
      <c r="A694" s="13">
        <f>IF(Tabla3[[#This Row],[Fare correción 2]]&gt;=1000,Tabla3[[#This Row],[Fare correción 2]]/10,Tabla3[[#This Row],[Fare correción 2]])</f>
        <v>564.95799999999997</v>
      </c>
      <c r="B694">
        <f>IF(Tabla3[[#This Row],[Fare corrección]]&gt;1000,Tabla3[[#This Row],[Fare corrección]]/1000,Tabla3[[#This Row],[Fare corrección]])</f>
        <v>564.95799999999997</v>
      </c>
      <c r="C694" s="1">
        <f>IF(ISNUMBER(Tabla3[[#This Row],[Fare]]),Tabla3[[#This Row],[Fare]],VALUE(SUBSTITUTE(Tabla3[[#This Row],[Fare]],".",",")))</f>
        <v>564958</v>
      </c>
      <c r="D694" s="1">
        <v>564958</v>
      </c>
    </row>
    <row r="695" spans="1:4" x14ac:dyDescent="0.25">
      <c r="A695" s="13">
        <f>IF(Tabla3[[#This Row],[Fare correción 2]]&gt;=1000,Tabla3[[#This Row],[Fare correción 2]]/10,Tabla3[[#This Row],[Fare correción 2]])</f>
        <v>7.2249999999999996</v>
      </c>
      <c r="B695">
        <f>IF(Tabla3[[#This Row],[Fare corrección]]&gt;1000,Tabla3[[#This Row],[Fare corrección]]/1000,Tabla3[[#This Row],[Fare corrección]])</f>
        <v>7.2249999999999996</v>
      </c>
      <c r="C695" s="1">
        <f>IF(ISNUMBER(Tabla3[[#This Row],[Fare]]),Tabla3[[#This Row],[Fare]],VALUE(SUBSTITUTE(Tabla3[[#This Row],[Fare]],".",",")))</f>
        <v>7225</v>
      </c>
      <c r="D695" s="1">
        <v>7225</v>
      </c>
    </row>
    <row r="696" spans="1:4" x14ac:dyDescent="0.25">
      <c r="A696" s="13">
        <f>IF(Tabla3[[#This Row],[Fare correción 2]]&gt;=1000,Tabla3[[#This Row],[Fare correción 2]]/10,Tabla3[[#This Row],[Fare correción 2]])</f>
        <v>26.55</v>
      </c>
      <c r="B696">
        <f>IF(Tabla3[[#This Row],[Fare corrección]]&gt;1000,Tabla3[[#This Row],[Fare corrección]]/1000,Tabla3[[#This Row],[Fare corrección]])</f>
        <v>26.55</v>
      </c>
      <c r="C696">
        <f>IF(ISNUMBER(Tabla3[[#This Row],[Fare]]),Tabla3[[#This Row],[Fare]],VALUE(SUBSTITUTE(Tabla3[[#This Row],[Fare]],".",",")))</f>
        <v>26.55</v>
      </c>
      <c r="D696" t="s">
        <v>930</v>
      </c>
    </row>
    <row r="697" spans="1:4" x14ac:dyDescent="0.25">
      <c r="A697" s="13">
        <f>IF(Tabla3[[#This Row],[Fare correción 2]]&gt;=1000,Tabla3[[#This Row],[Fare correción 2]]/10,Tabla3[[#This Row],[Fare correción 2]])</f>
        <v>13.5</v>
      </c>
      <c r="B697">
        <f>IF(Tabla3[[#This Row],[Fare corrección]]&gt;1000,Tabla3[[#This Row],[Fare corrección]]/1000,Tabla3[[#This Row],[Fare corrección]])</f>
        <v>13.5</v>
      </c>
      <c r="C697">
        <f>IF(ISNUMBER(Tabla3[[#This Row],[Fare]]),Tabla3[[#This Row],[Fare]],VALUE(SUBSTITUTE(Tabla3[[#This Row],[Fare]],".",",")))</f>
        <v>13.5</v>
      </c>
      <c r="D697" t="s">
        <v>1285</v>
      </c>
    </row>
    <row r="698" spans="1:4" x14ac:dyDescent="0.25">
      <c r="A698" s="13">
        <f>IF(Tabla3[[#This Row],[Fare correción 2]]&gt;=1000,Tabla3[[#This Row],[Fare correción 2]]/10,Tabla3[[#This Row],[Fare correción 2]])</f>
        <v>8.0500000000000007</v>
      </c>
      <c r="B698">
        <f>IF(Tabla3[[#This Row],[Fare corrección]]&gt;1000,Tabla3[[#This Row],[Fare corrección]]/1000,Tabla3[[#This Row],[Fare corrección]])</f>
        <v>8.0500000000000007</v>
      </c>
      <c r="C698">
        <f>IF(ISNUMBER(Tabla3[[#This Row],[Fare]]),Tabla3[[#This Row],[Fare]],VALUE(SUBSTITUTE(Tabla3[[#This Row],[Fare]],".",",")))</f>
        <v>8.0500000000000007</v>
      </c>
      <c r="D698" t="s">
        <v>917</v>
      </c>
    </row>
    <row r="699" spans="1:4" x14ac:dyDescent="0.25">
      <c r="A699" s="13">
        <f>IF(Tabla3[[#This Row],[Fare correción 2]]&gt;=1000,Tabla3[[#This Row],[Fare correción 2]]/10,Tabla3[[#This Row],[Fare correción 2]])</f>
        <v>77.332999999999998</v>
      </c>
      <c r="B699">
        <f>IF(Tabla3[[#This Row],[Fare corrección]]&gt;1000,Tabla3[[#This Row],[Fare corrección]]/1000,Tabla3[[#This Row],[Fare corrección]])</f>
        <v>77.332999999999998</v>
      </c>
      <c r="C699" s="1">
        <f>IF(ISNUMBER(Tabla3[[#This Row],[Fare]]),Tabla3[[#This Row],[Fare]],VALUE(SUBSTITUTE(Tabla3[[#This Row],[Fare]],".",",")))</f>
        <v>77333</v>
      </c>
      <c r="D699" s="1">
        <v>77333</v>
      </c>
    </row>
    <row r="700" spans="1:4" x14ac:dyDescent="0.25">
      <c r="A700" s="13">
        <f>IF(Tabla3[[#This Row],[Fare correción 2]]&gt;=1000,Tabla3[[#This Row],[Fare correción 2]]/10,Tabla3[[#This Row],[Fare correción 2]])</f>
        <v>110.88330000000001</v>
      </c>
      <c r="B700">
        <f>IF(Tabla3[[#This Row],[Fare corrección]]&gt;1000,Tabla3[[#This Row],[Fare corrección]]/1000,Tabla3[[#This Row],[Fare corrección]])</f>
        <v>1108.8330000000001</v>
      </c>
      <c r="C700" s="1">
        <f>IF(ISNUMBER(Tabla3[[#This Row],[Fare]]),Tabla3[[#This Row],[Fare]],VALUE(SUBSTITUTE(Tabla3[[#This Row],[Fare]],".",",")))</f>
        <v>1108833</v>
      </c>
      <c r="D700" s="1">
        <v>1108833</v>
      </c>
    </row>
    <row r="701" spans="1:4" x14ac:dyDescent="0.25">
      <c r="A701" s="13">
        <f>IF(Tabla3[[#This Row],[Fare correción 2]]&gt;=1000,Tabla3[[#This Row],[Fare correción 2]]/10,Tabla3[[#This Row],[Fare correción 2]])</f>
        <v>7.65</v>
      </c>
      <c r="B701">
        <f>IF(Tabla3[[#This Row],[Fare corrección]]&gt;1000,Tabla3[[#This Row],[Fare corrección]]/1000,Tabla3[[#This Row],[Fare corrección]])</f>
        <v>7.65</v>
      </c>
      <c r="C701">
        <f>IF(ISNUMBER(Tabla3[[#This Row],[Fare]]),Tabla3[[#This Row],[Fare]],VALUE(SUBSTITUTE(Tabla3[[#This Row],[Fare]],".",",")))</f>
        <v>7.65</v>
      </c>
      <c r="D701" t="s">
        <v>1035</v>
      </c>
    </row>
    <row r="702" spans="1:4" x14ac:dyDescent="0.25">
      <c r="A702" s="13">
        <f>IF(Tabla3[[#This Row],[Fare correción 2]]&gt;=1000,Tabla3[[#This Row],[Fare correción 2]]/10,Tabla3[[#This Row],[Fare correción 2]])</f>
        <v>227.52500000000001</v>
      </c>
      <c r="B702">
        <f>IF(Tabla3[[#This Row],[Fare corrección]]&gt;1000,Tabla3[[#This Row],[Fare corrección]]/1000,Tabla3[[#This Row],[Fare corrección]])</f>
        <v>227.52500000000001</v>
      </c>
      <c r="C702" s="1">
        <f>IF(ISNUMBER(Tabla3[[#This Row],[Fare]]),Tabla3[[#This Row],[Fare]],VALUE(SUBSTITUTE(Tabla3[[#This Row],[Fare]],".",",")))</f>
        <v>227525</v>
      </c>
      <c r="D702" s="1">
        <v>227525</v>
      </c>
    </row>
    <row r="703" spans="1:4" x14ac:dyDescent="0.25">
      <c r="A703" s="13">
        <f>IF(Tabla3[[#This Row],[Fare correción 2]]&gt;=1000,Tabla3[[#This Row],[Fare correción 2]]/10,Tabla3[[#This Row],[Fare correción 2]])</f>
        <v>262.875</v>
      </c>
      <c r="B703">
        <f>IF(Tabla3[[#This Row],[Fare corrección]]&gt;1000,Tabla3[[#This Row],[Fare corrección]]/1000,Tabla3[[#This Row],[Fare corrección]])</f>
        <v>262.875</v>
      </c>
      <c r="C703" s="1">
        <f>IF(ISNUMBER(Tabla3[[#This Row],[Fare]]),Tabla3[[#This Row],[Fare]],VALUE(SUBSTITUTE(Tabla3[[#This Row],[Fare]],".",",")))</f>
        <v>262875</v>
      </c>
      <c r="D703" s="1">
        <v>262875</v>
      </c>
    </row>
    <row r="704" spans="1:4" x14ac:dyDescent="0.25">
      <c r="A704" s="13">
        <f>IF(Tabla3[[#This Row],[Fare correción 2]]&gt;=1000,Tabla3[[#This Row],[Fare correción 2]]/10,Tabla3[[#This Row],[Fare correción 2]])</f>
        <v>144.542</v>
      </c>
      <c r="B704">
        <f>IF(Tabla3[[#This Row],[Fare corrección]]&gt;1000,Tabla3[[#This Row],[Fare corrección]]/1000,Tabla3[[#This Row],[Fare corrección]])</f>
        <v>144.542</v>
      </c>
      <c r="C704" s="1">
        <f>IF(ISNUMBER(Tabla3[[#This Row],[Fare]]),Tabla3[[#This Row],[Fare]],VALUE(SUBSTITUTE(Tabla3[[#This Row],[Fare]],".",",")))</f>
        <v>144542</v>
      </c>
      <c r="D704" s="1">
        <v>144542</v>
      </c>
    </row>
    <row r="705" spans="1:4" x14ac:dyDescent="0.25">
      <c r="A705" s="13">
        <f>IF(Tabla3[[#This Row],[Fare correción 2]]&gt;=1000,Tabla3[[#This Row],[Fare correción 2]]/10,Tabla3[[#This Row],[Fare correción 2]])</f>
        <v>77.417000000000002</v>
      </c>
      <c r="B705">
        <f>IF(Tabla3[[#This Row],[Fare corrección]]&gt;1000,Tabla3[[#This Row],[Fare corrección]]/1000,Tabla3[[#This Row],[Fare corrección]])</f>
        <v>77.417000000000002</v>
      </c>
      <c r="C705" s="1">
        <f>IF(ISNUMBER(Tabla3[[#This Row],[Fare]]),Tabla3[[#This Row],[Fare]],VALUE(SUBSTITUTE(Tabla3[[#This Row],[Fare]],".",",")))</f>
        <v>77417</v>
      </c>
      <c r="D705" s="1">
        <v>77417</v>
      </c>
    </row>
    <row r="706" spans="1:4" x14ac:dyDescent="0.25">
      <c r="A706" s="13">
        <f>IF(Tabla3[[#This Row],[Fare correción 2]]&gt;=1000,Tabla3[[#This Row],[Fare correción 2]]/10,Tabla3[[#This Row],[Fare correción 2]])</f>
        <v>78.542000000000002</v>
      </c>
      <c r="B706">
        <f>IF(Tabla3[[#This Row],[Fare corrección]]&gt;1000,Tabla3[[#This Row],[Fare corrección]]/1000,Tabla3[[#This Row],[Fare corrección]])</f>
        <v>78.542000000000002</v>
      </c>
      <c r="C706" s="1">
        <f>IF(ISNUMBER(Tabla3[[#This Row],[Fare]]),Tabla3[[#This Row],[Fare]],VALUE(SUBSTITUTE(Tabla3[[#This Row],[Fare]],".",",")))</f>
        <v>78542</v>
      </c>
      <c r="D706" s="1">
        <v>78542</v>
      </c>
    </row>
    <row r="707" spans="1:4" x14ac:dyDescent="0.25">
      <c r="A707" s="13">
        <f>IF(Tabla3[[#This Row],[Fare correción 2]]&gt;=1000,Tabla3[[#This Row],[Fare correción 2]]/10,Tabla3[[#This Row],[Fare correción 2]])</f>
        <v>26</v>
      </c>
      <c r="B707">
        <f>IF(Tabla3[[#This Row],[Fare corrección]]&gt;1000,Tabla3[[#This Row],[Fare corrección]]/1000,Tabla3[[#This Row],[Fare corrección]])</f>
        <v>26</v>
      </c>
      <c r="C707">
        <f>IF(ISNUMBER(Tabla3[[#This Row],[Fare]]),Tabla3[[#This Row],[Fare]],VALUE(SUBSTITUTE(Tabla3[[#This Row],[Fare]],".",",")))</f>
        <v>26</v>
      </c>
      <c r="D707">
        <v>26</v>
      </c>
    </row>
    <row r="708" spans="1:4" x14ac:dyDescent="0.25">
      <c r="A708" s="13">
        <f>IF(Tabla3[[#This Row],[Fare correción 2]]&gt;=1000,Tabla3[[#This Row],[Fare correción 2]]/10,Tabla3[[#This Row],[Fare correción 2]])</f>
        <v>13.5</v>
      </c>
      <c r="B708">
        <f>IF(Tabla3[[#This Row],[Fare corrección]]&gt;1000,Tabla3[[#This Row],[Fare corrección]]/1000,Tabla3[[#This Row],[Fare corrección]])</f>
        <v>13.5</v>
      </c>
      <c r="C708">
        <f>IF(ISNUMBER(Tabla3[[#This Row],[Fare]]),Tabla3[[#This Row],[Fare]],VALUE(SUBSTITUTE(Tabla3[[#This Row],[Fare]],".",",")))</f>
        <v>13.5</v>
      </c>
      <c r="D708" t="s">
        <v>1285</v>
      </c>
    </row>
    <row r="709" spans="1:4" x14ac:dyDescent="0.25">
      <c r="A709" s="13">
        <f>IF(Tabla3[[#This Row],[Fare correción 2]]&gt;=1000,Tabla3[[#This Row],[Fare correción 2]]/10,Tabla3[[#This Row],[Fare correción 2]])</f>
        <v>262.875</v>
      </c>
      <c r="B709">
        <f>IF(Tabla3[[#This Row],[Fare corrección]]&gt;1000,Tabla3[[#This Row],[Fare corrección]]/1000,Tabla3[[#This Row],[Fare corrección]])</f>
        <v>262.875</v>
      </c>
      <c r="C709" s="1">
        <f>IF(ISNUMBER(Tabla3[[#This Row],[Fare]]),Tabla3[[#This Row],[Fare]],VALUE(SUBSTITUTE(Tabla3[[#This Row],[Fare]],".",",")))</f>
        <v>262875</v>
      </c>
      <c r="D709" s="1">
        <v>262875</v>
      </c>
    </row>
    <row r="710" spans="1:4" x14ac:dyDescent="0.25">
      <c r="A710" s="13">
        <f>IF(Tabla3[[#This Row],[Fare correción 2]]&gt;=1000,Tabla3[[#This Row],[Fare correción 2]]/10,Tabla3[[#This Row],[Fare correción 2]])</f>
        <v>151.55000000000001</v>
      </c>
      <c r="B710">
        <f>IF(Tabla3[[#This Row],[Fare corrección]]&gt;1000,Tabla3[[#This Row],[Fare corrección]]/1000,Tabla3[[#This Row],[Fare corrección]])</f>
        <v>151.55000000000001</v>
      </c>
      <c r="C710">
        <f>IF(ISNUMBER(Tabla3[[#This Row],[Fare]]),Tabla3[[#This Row],[Fare]],VALUE(SUBSTITUTE(Tabla3[[#This Row],[Fare]],".",",")))</f>
        <v>151.55000000000001</v>
      </c>
      <c r="D710" t="s">
        <v>1391</v>
      </c>
    </row>
    <row r="711" spans="1:4" x14ac:dyDescent="0.25">
      <c r="A711" s="13">
        <f>IF(Tabla3[[#This Row],[Fare correción 2]]&gt;=1000,Tabla3[[#This Row],[Fare correción 2]]/10,Tabla3[[#This Row],[Fare correción 2]])</f>
        <v>152.458</v>
      </c>
      <c r="B711">
        <f>IF(Tabla3[[#This Row],[Fare corrección]]&gt;1000,Tabla3[[#This Row],[Fare corrección]]/1000,Tabla3[[#This Row],[Fare corrección]])</f>
        <v>152.458</v>
      </c>
      <c r="C711" s="1">
        <f>IF(ISNUMBER(Tabla3[[#This Row],[Fare]]),Tabla3[[#This Row],[Fare]],VALUE(SUBSTITUTE(Tabla3[[#This Row],[Fare]],".",",")))</f>
        <v>152458</v>
      </c>
      <c r="D711" s="1">
        <v>152458</v>
      </c>
    </row>
    <row r="712" spans="1:4" x14ac:dyDescent="0.25">
      <c r="A712" s="13">
        <f>IF(Tabla3[[#This Row],[Fare correción 2]]&gt;=1000,Tabla3[[#This Row],[Fare correción 2]]/10,Tabla3[[#This Row],[Fare correción 2]])</f>
        <v>495.04199999999997</v>
      </c>
      <c r="B712">
        <f>IF(Tabla3[[#This Row],[Fare corrección]]&gt;1000,Tabla3[[#This Row],[Fare corrección]]/1000,Tabla3[[#This Row],[Fare corrección]])</f>
        <v>495.04199999999997</v>
      </c>
      <c r="C712" s="1">
        <f>IF(ISNUMBER(Tabla3[[#This Row],[Fare]]),Tabla3[[#This Row],[Fare]],VALUE(SUBSTITUTE(Tabla3[[#This Row],[Fare]],".",",")))</f>
        <v>495042</v>
      </c>
      <c r="D712" s="1">
        <v>495042</v>
      </c>
    </row>
    <row r="713" spans="1:4" x14ac:dyDescent="0.25">
      <c r="A713" s="13">
        <f>IF(Tabla3[[#This Row],[Fare correción 2]]&gt;=1000,Tabla3[[#This Row],[Fare correción 2]]/10,Tabla3[[#This Row],[Fare correción 2]])</f>
        <v>26.55</v>
      </c>
      <c r="B713">
        <f>IF(Tabla3[[#This Row],[Fare corrección]]&gt;1000,Tabla3[[#This Row],[Fare corrección]]/1000,Tabla3[[#This Row],[Fare corrección]])</f>
        <v>26.55</v>
      </c>
      <c r="C713">
        <f>IF(ISNUMBER(Tabla3[[#This Row],[Fare]]),Tabla3[[#This Row],[Fare]],VALUE(SUBSTITUTE(Tabla3[[#This Row],[Fare]],".",",")))</f>
        <v>26.55</v>
      </c>
      <c r="D713" t="s">
        <v>930</v>
      </c>
    </row>
    <row r="714" spans="1:4" x14ac:dyDescent="0.25">
      <c r="A714" s="13">
        <f>IF(Tabla3[[#This Row],[Fare correción 2]]&gt;=1000,Tabla3[[#This Row],[Fare correción 2]]/10,Tabla3[[#This Row],[Fare correción 2]])</f>
        <v>52</v>
      </c>
      <c r="B714">
        <f>IF(Tabla3[[#This Row],[Fare corrección]]&gt;1000,Tabla3[[#This Row],[Fare corrección]]/1000,Tabla3[[#This Row],[Fare corrección]])</f>
        <v>52</v>
      </c>
      <c r="C714">
        <f>IF(ISNUMBER(Tabla3[[#This Row],[Fare]]),Tabla3[[#This Row],[Fare]],VALUE(SUBSTITUTE(Tabla3[[#This Row],[Fare]],".",",")))</f>
        <v>52</v>
      </c>
      <c r="D714">
        <v>52</v>
      </c>
    </row>
    <row r="715" spans="1:4" x14ac:dyDescent="0.25">
      <c r="A715" s="13">
        <f>IF(Tabla3[[#This Row],[Fare correción 2]]&gt;=1000,Tabla3[[#This Row],[Fare correción 2]]/10,Tabla3[[#This Row],[Fare correción 2]])</f>
        <v>94.832999999999998</v>
      </c>
      <c r="B715">
        <f>IF(Tabla3[[#This Row],[Fare corrección]]&gt;1000,Tabla3[[#This Row],[Fare corrección]]/1000,Tabla3[[#This Row],[Fare corrección]])</f>
        <v>94.832999999999998</v>
      </c>
      <c r="C715" s="1">
        <f>IF(ISNUMBER(Tabla3[[#This Row],[Fare]]),Tabla3[[#This Row],[Fare]],VALUE(SUBSTITUTE(Tabla3[[#This Row],[Fare]],".",",")))</f>
        <v>94833</v>
      </c>
      <c r="D715" s="1">
        <v>94833</v>
      </c>
    </row>
    <row r="716" spans="1:4" x14ac:dyDescent="0.25">
      <c r="A716" s="13">
        <f>IF(Tabla3[[#This Row],[Fare correción 2]]&gt;=1000,Tabla3[[#This Row],[Fare correción 2]]/10,Tabla3[[#This Row],[Fare correción 2]])</f>
        <v>13</v>
      </c>
      <c r="B716">
        <f>IF(Tabla3[[#This Row],[Fare corrección]]&gt;1000,Tabla3[[#This Row],[Fare corrección]]/1000,Tabla3[[#This Row],[Fare corrección]])</f>
        <v>13</v>
      </c>
      <c r="C716">
        <f>IF(ISNUMBER(Tabla3[[#This Row],[Fare]]),Tabla3[[#This Row],[Fare]],VALUE(SUBSTITUTE(Tabla3[[#This Row],[Fare]],".",",")))</f>
        <v>13</v>
      </c>
      <c r="D716">
        <v>13</v>
      </c>
    </row>
    <row r="717" spans="1:4" x14ac:dyDescent="0.25">
      <c r="A717" s="13">
        <f>IF(Tabla3[[#This Row],[Fare correción 2]]&gt;=1000,Tabla3[[#This Row],[Fare correción 2]]/10,Tabla3[[#This Row],[Fare correción 2]])</f>
        <v>7.65</v>
      </c>
      <c r="B717">
        <f>IF(Tabla3[[#This Row],[Fare corrección]]&gt;1000,Tabla3[[#This Row],[Fare corrección]]/1000,Tabla3[[#This Row],[Fare corrección]])</f>
        <v>7.65</v>
      </c>
      <c r="C717">
        <f>IF(ISNUMBER(Tabla3[[#This Row],[Fare]]),Tabla3[[#This Row],[Fare]],VALUE(SUBSTITUTE(Tabla3[[#This Row],[Fare]],".",",")))</f>
        <v>7.65</v>
      </c>
      <c r="D717" t="s">
        <v>1035</v>
      </c>
    </row>
    <row r="718" spans="1:4" x14ac:dyDescent="0.25">
      <c r="A718" s="13">
        <f>IF(Tabla3[[#This Row],[Fare correción 2]]&gt;=1000,Tabla3[[#This Row],[Fare correción 2]]/10,Tabla3[[#This Row],[Fare correción 2]])</f>
        <v>227.52500000000001</v>
      </c>
      <c r="B718">
        <f>IF(Tabla3[[#This Row],[Fare corrección]]&gt;1000,Tabla3[[#This Row],[Fare corrección]]/1000,Tabla3[[#This Row],[Fare corrección]])</f>
        <v>227.52500000000001</v>
      </c>
      <c r="C718" s="1">
        <f>IF(ISNUMBER(Tabla3[[#This Row],[Fare]]),Tabla3[[#This Row],[Fare]],VALUE(SUBSTITUTE(Tabla3[[#This Row],[Fare]],".",",")))</f>
        <v>227525</v>
      </c>
      <c r="D718" s="1">
        <v>227525</v>
      </c>
    </row>
    <row r="719" spans="1:4" x14ac:dyDescent="0.25">
      <c r="A719" s="13">
        <f>IF(Tabla3[[#This Row],[Fare correción 2]]&gt;=1000,Tabla3[[#This Row],[Fare correción 2]]/10,Tabla3[[#This Row],[Fare correción 2]])</f>
        <v>10.5</v>
      </c>
      <c r="B719">
        <f>IF(Tabla3[[#This Row],[Fare corrección]]&gt;1000,Tabla3[[#This Row],[Fare corrección]]/1000,Tabla3[[#This Row],[Fare corrección]])</f>
        <v>10.5</v>
      </c>
      <c r="C719">
        <f>IF(ISNUMBER(Tabla3[[#This Row],[Fare]]),Tabla3[[#This Row],[Fare]],VALUE(SUBSTITUTE(Tabla3[[#This Row],[Fare]],".",",")))</f>
        <v>10.5</v>
      </c>
      <c r="D719" t="s">
        <v>964</v>
      </c>
    </row>
    <row r="720" spans="1:4" x14ac:dyDescent="0.25">
      <c r="A720" s="13">
        <f>IF(Tabla3[[#This Row],[Fare correción 2]]&gt;=1000,Tabla3[[#This Row],[Fare correción 2]]/10,Tabla3[[#This Row],[Fare correción 2]])</f>
        <v>15.5</v>
      </c>
      <c r="B720">
        <f>IF(Tabla3[[#This Row],[Fare corrección]]&gt;1000,Tabla3[[#This Row],[Fare corrección]]/1000,Tabla3[[#This Row],[Fare corrección]])</f>
        <v>15.5</v>
      </c>
      <c r="C720">
        <f>IF(ISNUMBER(Tabla3[[#This Row],[Fare]]),Tabla3[[#This Row],[Fare]],VALUE(SUBSTITUTE(Tabla3[[#This Row],[Fare]],".",",")))</f>
        <v>15.5</v>
      </c>
      <c r="D720" t="s">
        <v>982</v>
      </c>
    </row>
    <row r="721" spans="1:4" x14ac:dyDescent="0.25">
      <c r="A721" s="13">
        <f>IF(Tabla3[[#This Row],[Fare correción 2]]&gt;=1000,Tabla3[[#This Row],[Fare correción 2]]/10,Tabla3[[#This Row],[Fare correción 2]])</f>
        <v>7.7750000000000004</v>
      </c>
      <c r="B721">
        <f>IF(Tabla3[[#This Row],[Fare corrección]]&gt;1000,Tabla3[[#This Row],[Fare corrección]]/1000,Tabla3[[#This Row],[Fare corrección]])</f>
        <v>7.7750000000000004</v>
      </c>
      <c r="C721" s="1">
        <f>IF(ISNUMBER(Tabla3[[#This Row],[Fare]]),Tabla3[[#This Row],[Fare]],VALUE(SUBSTITUTE(Tabla3[[#This Row],[Fare]],".",",")))</f>
        <v>7775</v>
      </c>
      <c r="D721" s="1">
        <v>7775</v>
      </c>
    </row>
    <row r="722" spans="1:4" x14ac:dyDescent="0.25">
      <c r="A722" s="13">
        <f>IF(Tabla3[[#This Row],[Fare correción 2]]&gt;=1000,Tabla3[[#This Row],[Fare correción 2]]/10,Tabla3[[#This Row],[Fare correción 2]])</f>
        <v>33</v>
      </c>
      <c r="B722">
        <f>IF(Tabla3[[#This Row],[Fare corrección]]&gt;1000,Tabla3[[#This Row],[Fare corrección]]/1000,Tabla3[[#This Row],[Fare corrección]])</f>
        <v>33</v>
      </c>
      <c r="C722">
        <f>IF(ISNUMBER(Tabla3[[#This Row],[Fare]]),Tabla3[[#This Row],[Fare]],VALUE(SUBSTITUTE(Tabla3[[#This Row],[Fare]],".",",")))</f>
        <v>33</v>
      </c>
      <c r="D722">
        <v>33</v>
      </c>
    </row>
    <row r="723" spans="1:4" x14ac:dyDescent="0.25">
      <c r="A723" s="13">
        <f>IF(Tabla3[[#This Row],[Fare correción 2]]&gt;=1000,Tabla3[[#This Row],[Fare correción 2]]/10,Tabla3[[#This Row],[Fare correción 2]])</f>
        <v>70.542000000000002</v>
      </c>
      <c r="B723">
        <f>IF(Tabla3[[#This Row],[Fare corrección]]&gt;1000,Tabla3[[#This Row],[Fare corrección]]/1000,Tabla3[[#This Row],[Fare corrección]])</f>
        <v>70.542000000000002</v>
      </c>
      <c r="C723" s="1">
        <f>IF(ISNUMBER(Tabla3[[#This Row],[Fare]]),Tabla3[[#This Row],[Fare]],VALUE(SUBSTITUTE(Tabla3[[#This Row],[Fare]],".",",")))</f>
        <v>70542</v>
      </c>
      <c r="D723" s="1">
        <v>70542</v>
      </c>
    </row>
    <row r="724" spans="1:4" x14ac:dyDescent="0.25">
      <c r="A724" s="13">
        <f>IF(Tabla3[[#This Row],[Fare correción 2]]&gt;=1000,Tabla3[[#This Row],[Fare correción 2]]/10,Tabla3[[#This Row],[Fare correción 2]])</f>
        <v>13</v>
      </c>
      <c r="B724">
        <f>IF(Tabla3[[#This Row],[Fare corrección]]&gt;1000,Tabla3[[#This Row],[Fare corrección]]/1000,Tabla3[[#This Row],[Fare corrección]])</f>
        <v>13</v>
      </c>
      <c r="C724">
        <f>IF(ISNUMBER(Tabla3[[#This Row],[Fare]]),Tabla3[[#This Row],[Fare]],VALUE(SUBSTITUTE(Tabla3[[#This Row],[Fare]],".",",")))</f>
        <v>13</v>
      </c>
      <c r="D724">
        <v>13</v>
      </c>
    </row>
    <row r="725" spans="1:4" x14ac:dyDescent="0.25">
      <c r="A725" s="13">
        <f>IF(Tabla3[[#This Row],[Fare correción 2]]&gt;=1000,Tabla3[[#This Row],[Fare correción 2]]/10,Tabla3[[#This Row],[Fare correción 2]])</f>
        <v>13</v>
      </c>
      <c r="B725">
        <f>IF(Tabla3[[#This Row],[Fare corrección]]&gt;1000,Tabla3[[#This Row],[Fare corrección]]/1000,Tabla3[[#This Row],[Fare corrección]])</f>
        <v>13</v>
      </c>
      <c r="C725">
        <f>IF(ISNUMBER(Tabla3[[#This Row],[Fare]]),Tabla3[[#This Row],[Fare]],VALUE(SUBSTITUTE(Tabla3[[#This Row],[Fare]],".",",")))</f>
        <v>13</v>
      </c>
      <c r="D725">
        <v>13</v>
      </c>
    </row>
    <row r="726" spans="1:4" x14ac:dyDescent="0.25">
      <c r="A726" s="13">
        <f>IF(Tabla3[[#This Row],[Fare correción 2]]&gt;=1000,Tabla3[[#This Row],[Fare correción 2]]/10,Tabla3[[#This Row],[Fare correción 2]])</f>
        <v>53.1</v>
      </c>
      <c r="B726">
        <f>IF(Tabla3[[#This Row],[Fare corrección]]&gt;1000,Tabla3[[#This Row],[Fare corrección]]/1000,Tabla3[[#This Row],[Fare corrección]])</f>
        <v>53.1</v>
      </c>
      <c r="C726">
        <f>IF(ISNUMBER(Tabla3[[#This Row],[Fare]]),Tabla3[[#This Row],[Fare]],VALUE(SUBSTITUTE(Tabla3[[#This Row],[Fare]],".",",")))</f>
        <v>53.1</v>
      </c>
      <c r="D726" t="s">
        <v>914</v>
      </c>
    </row>
    <row r="727" spans="1:4" x14ac:dyDescent="0.25">
      <c r="A727" s="13">
        <f>IF(Tabla3[[#This Row],[Fare correción 2]]&gt;=1000,Tabla3[[#This Row],[Fare correción 2]]/10,Tabla3[[#This Row],[Fare correción 2]])</f>
        <v>86.625</v>
      </c>
      <c r="B727">
        <f>IF(Tabla3[[#This Row],[Fare corrección]]&gt;1000,Tabla3[[#This Row],[Fare corrección]]/1000,Tabla3[[#This Row],[Fare corrección]])</f>
        <v>86.625</v>
      </c>
      <c r="C727" s="1">
        <f>IF(ISNUMBER(Tabla3[[#This Row],[Fare]]),Tabla3[[#This Row],[Fare]],VALUE(SUBSTITUTE(Tabla3[[#This Row],[Fare]],".",",")))</f>
        <v>86625</v>
      </c>
      <c r="D727" s="1">
        <v>86625</v>
      </c>
    </row>
    <row r="728" spans="1:4" x14ac:dyDescent="0.25">
      <c r="A728" s="13">
        <f>IF(Tabla3[[#This Row],[Fare correción 2]]&gt;=1000,Tabla3[[#This Row],[Fare correción 2]]/10,Tabla3[[#This Row],[Fare correción 2]])</f>
        <v>21</v>
      </c>
      <c r="B728">
        <f>IF(Tabla3[[#This Row],[Fare corrección]]&gt;1000,Tabla3[[#This Row],[Fare corrección]]/1000,Tabla3[[#This Row],[Fare corrección]])</f>
        <v>21</v>
      </c>
      <c r="C728">
        <f>IF(ISNUMBER(Tabla3[[#This Row],[Fare]]),Tabla3[[#This Row],[Fare]],VALUE(SUBSTITUTE(Tabla3[[#This Row],[Fare]],".",",")))</f>
        <v>21</v>
      </c>
      <c r="D728">
        <v>21</v>
      </c>
    </row>
    <row r="729" spans="1:4" x14ac:dyDescent="0.25">
      <c r="A729" s="13">
        <f>IF(Tabla3[[#This Row],[Fare correción 2]]&gt;=1000,Tabla3[[#This Row],[Fare correción 2]]/10,Tabla3[[#This Row],[Fare correción 2]])</f>
        <v>77.375</v>
      </c>
      <c r="B729">
        <f>IF(Tabla3[[#This Row],[Fare corrección]]&gt;1000,Tabla3[[#This Row],[Fare corrección]]/1000,Tabla3[[#This Row],[Fare corrección]])</f>
        <v>77.375</v>
      </c>
      <c r="C729" s="1">
        <f>IF(ISNUMBER(Tabla3[[#This Row],[Fare]]),Tabla3[[#This Row],[Fare]],VALUE(SUBSTITUTE(Tabla3[[#This Row],[Fare]],".",",")))</f>
        <v>77375</v>
      </c>
      <c r="D729" s="1">
        <v>77375</v>
      </c>
    </row>
    <row r="730" spans="1:4" x14ac:dyDescent="0.25">
      <c r="A730" s="13">
        <f>IF(Tabla3[[#This Row],[Fare correción 2]]&gt;=1000,Tabla3[[#This Row],[Fare correción 2]]/10,Tabla3[[#This Row],[Fare correción 2]])</f>
        <v>26</v>
      </c>
      <c r="B730">
        <f>IF(Tabla3[[#This Row],[Fare corrección]]&gt;1000,Tabla3[[#This Row],[Fare corrección]]/1000,Tabla3[[#This Row],[Fare corrección]])</f>
        <v>26</v>
      </c>
      <c r="C730">
        <f>IF(ISNUMBER(Tabla3[[#This Row],[Fare]]),Tabla3[[#This Row],[Fare]],VALUE(SUBSTITUTE(Tabla3[[#This Row],[Fare]],".",",")))</f>
        <v>26</v>
      </c>
      <c r="D730">
        <v>26</v>
      </c>
    </row>
    <row r="731" spans="1:4" x14ac:dyDescent="0.25">
      <c r="A731" s="13">
        <f>IF(Tabla3[[#This Row],[Fare correción 2]]&gt;=1000,Tabla3[[#This Row],[Fare correción 2]]/10,Tabla3[[#This Row],[Fare correción 2]])</f>
        <v>7.9249999999999998</v>
      </c>
      <c r="B731">
        <f>IF(Tabla3[[#This Row],[Fare corrección]]&gt;1000,Tabla3[[#This Row],[Fare corrección]]/1000,Tabla3[[#This Row],[Fare corrección]])</f>
        <v>7.9249999999999998</v>
      </c>
      <c r="C731" s="1">
        <f>IF(ISNUMBER(Tabla3[[#This Row],[Fare]]),Tabla3[[#This Row],[Fare]],VALUE(SUBSTITUTE(Tabla3[[#This Row],[Fare]],".",",")))</f>
        <v>7925</v>
      </c>
      <c r="D731" s="1">
        <v>7925</v>
      </c>
    </row>
    <row r="732" spans="1:4" x14ac:dyDescent="0.25">
      <c r="A732" s="13">
        <f>IF(Tabla3[[#This Row],[Fare correción 2]]&gt;=1000,Tabla3[[#This Row],[Fare correción 2]]/10,Tabla3[[#This Row],[Fare correción 2]])</f>
        <v>211.33750000000001</v>
      </c>
      <c r="B732">
        <f>IF(Tabla3[[#This Row],[Fare corrección]]&gt;1000,Tabla3[[#This Row],[Fare corrección]]/1000,Tabla3[[#This Row],[Fare corrección]])</f>
        <v>2113.375</v>
      </c>
      <c r="C732" s="1">
        <f>IF(ISNUMBER(Tabla3[[#This Row],[Fare]]),Tabla3[[#This Row],[Fare]],VALUE(SUBSTITUTE(Tabla3[[#This Row],[Fare]],".",",")))</f>
        <v>2113375</v>
      </c>
      <c r="D732" s="1">
        <v>2113375</v>
      </c>
    </row>
    <row r="733" spans="1:4" x14ac:dyDescent="0.25">
      <c r="A733" s="13">
        <f>IF(Tabla3[[#This Row],[Fare correción 2]]&gt;=1000,Tabla3[[#This Row],[Fare correción 2]]/10,Tabla3[[#This Row],[Fare correción 2]])</f>
        <v>187.875</v>
      </c>
      <c r="B733">
        <f>IF(Tabla3[[#This Row],[Fare corrección]]&gt;1000,Tabla3[[#This Row],[Fare corrección]]/1000,Tabla3[[#This Row],[Fare corrección]])</f>
        <v>187.875</v>
      </c>
      <c r="C733" s="1">
        <f>IF(ISNUMBER(Tabla3[[#This Row],[Fare]]),Tabla3[[#This Row],[Fare]],VALUE(SUBSTITUTE(Tabla3[[#This Row],[Fare]],".",",")))</f>
        <v>187875</v>
      </c>
      <c r="D733" s="1">
        <v>187875</v>
      </c>
    </row>
    <row r="734" spans="1:4" x14ac:dyDescent="0.25">
      <c r="A734" s="13">
        <f>IF(Tabla3[[#This Row],[Fare correción 2]]&gt;=1000,Tabla3[[#This Row],[Fare correción 2]]/10,Tabla3[[#This Row],[Fare correción 2]])</f>
        <v>0</v>
      </c>
      <c r="B734">
        <f>IF(Tabla3[[#This Row],[Fare corrección]]&gt;1000,Tabla3[[#This Row],[Fare corrección]]/1000,Tabla3[[#This Row],[Fare corrección]])</f>
        <v>0</v>
      </c>
      <c r="C734">
        <f>IF(ISNUMBER(Tabla3[[#This Row],[Fare]]),Tabla3[[#This Row],[Fare]],VALUE(SUBSTITUTE(Tabla3[[#This Row],[Fare]],".",",")))</f>
        <v>0</v>
      </c>
      <c r="D734">
        <v>0</v>
      </c>
    </row>
    <row r="735" spans="1:4" x14ac:dyDescent="0.25">
      <c r="A735" s="13">
        <f>IF(Tabla3[[#This Row],[Fare correción 2]]&gt;=1000,Tabla3[[#This Row],[Fare correción 2]]/10,Tabla3[[#This Row],[Fare correción 2]])</f>
        <v>13</v>
      </c>
      <c r="B735">
        <f>IF(Tabla3[[#This Row],[Fare corrección]]&gt;1000,Tabla3[[#This Row],[Fare corrección]]/1000,Tabla3[[#This Row],[Fare corrección]])</f>
        <v>13</v>
      </c>
      <c r="C735">
        <f>IF(ISNUMBER(Tabla3[[#This Row],[Fare]]),Tabla3[[#This Row],[Fare]],VALUE(SUBSTITUTE(Tabla3[[#This Row],[Fare]],".",",")))</f>
        <v>13</v>
      </c>
      <c r="D735">
        <v>13</v>
      </c>
    </row>
    <row r="736" spans="1:4" x14ac:dyDescent="0.25">
      <c r="A736" s="13">
        <f>IF(Tabla3[[#This Row],[Fare correción 2]]&gt;=1000,Tabla3[[#This Row],[Fare correción 2]]/10,Tabla3[[#This Row],[Fare correción 2]])</f>
        <v>13</v>
      </c>
      <c r="B736">
        <f>IF(Tabla3[[#This Row],[Fare corrección]]&gt;1000,Tabla3[[#This Row],[Fare corrección]]/1000,Tabla3[[#This Row],[Fare corrección]])</f>
        <v>13</v>
      </c>
      <c r="C736">
        <f>IF(ISNUMBER(Tabla3[[#This Row],[Fare]]),Tabla3[[#This Row],[Fare]],VALUE(SUBSTITUTE(Tabla3[[#This Row],[Fare]],".",",")))</f>
        <v>13</v>
      </c>
      <c r="D736">
        <v>13</v>
      </c>
    </row>
    <row r="737" spans="1:4" x14ac:dyDescent="0.25">
      <c r="A737" s="13">
        <f>IF(Tabla3[[#This Row],[Fare correción 2]]&gt;=1000,Tabla3[[#This Row],[Fare correción 2]]/10,Tabla3[[#This Row],[Fare correción 2]])</f>
        <v>16.100000000000001</v>
      </c>
      <c r="B737">
        <f>IF(Tabla3[[#This Row],[Fare corrección]]&gt;1000,Tabla3[[#This Row],[Fare corrección]]/1000,Tabla3[[#This Row],[Fare corrección]])</f>
        <v>16.100000000000001</v>
      </c>
      <c r="C737">
        <f>IF(ISNUMBER(Tabla3[[#This Row],[Fare]]),Tabla3[[#This Row],[Fare]],VALUE(SUBSTITUTE(Tabla3[[#This Row],[Fare]],".",",")))</f>
        <v>16.100000000000001</v>
      </c>
      <c r="D737" t="s">
        <v>1177</v>
      </c>
    </row>
    <row r="738" spans="1:4" x14ac:dyDescent="0.25">
      <c r="A738" s="13">
        <f>IF(Tabla3[[#This Row],[Fare correción 2]]&gt;=1000,Tabla3[[#This Row],[Fare correción 2]]/10,Tabla3[[#This Row],[Fare correción 2]])</f>
        <v>34.375</v>
      </c>
      <c r="B738">
        <f>IF(Tabla3[[#This Row],[Fare corrección]]&gt;1000,Tabla3[[#This Row],[Fare corrección]]/1000,Tabla3[[#This Row],[Fare corrección]])</f>
        <v>34.375</v>
      </c>
      <c r="C738" s="1">
        <f>IF(ISNUMBER(Tabla3[[#This Row],[Fare]]),Tabla3[[#This Row],[Fare]],VALUE(SUBSTITUTE(Tabla3[[#This Row],[Fare]],".",",")))</f>
        <v>34375</v>
      </c>
      <c r="D738" s="1">
        <v>34375</v>
      </c>
    </row>
    <row r="739" spans="1:4" x14ac:dyDescent="0.25">
      <c r="A739" s="13">
        <f>IF(Tabla3[[#This Row],[Fare correción 2]]&gt;=1000,Tabla3[[#This Row],[Fare correción 2]]/10,Tabla3[[#This Row],[Fare correción 2]])</f>
        <v>512.32920000000001</v>
      </c>
      <c r="B739">
        <f>IF(Tabla3[[#This Row],[Fare corrección]]&gt;1000,Tabla3[[#This Row],[Fare corrección]]/1000,Tabla3[[#This Row],[Fare corrección]])</f>
        <v>5123.2920000000004</v>
      </c>
      <c r="C739" s="1">
        <f>IF(ISNUMBER(Tabla3[[#This Row],[Fare]]),Tabla3[[#This Row],[Fare]],VALUE(SUBSTITUTE(Tabla3[[#This Row],[Fare]],".",",")))</f>
        <v>5123292</v>
      </c>
      <c r="D739" s="1">
        <v>5123292</v>
      </c>
    </row>
    <row r="740" spans="1:4" x14ac:dyDescent="0.25">
      <c r="A740" s="13">
        <f>IF(Tabla3[[#This Row],[Fare correción 2]]&gt;=1000,Tabla3[[#This Row],[Fare correción 2]]/10,Tabla3[[#This Row],[Fare correción 2]])</f>
        <v>78.957999999999998</v>
      </c>
      <c r="B740">
        <f>IF(Tabla3[[#This Row],[Fare corrección]]&gt;1000,Tabla3[[#This Row],[Fare corrección]]/1000,Tabla3[[#This Row],[Fare corrección]])</f>
        <v>78.957999999999998</v>
      </c>
      <c r="C740" s="1">
        <f>IF(ISNUMBER(Tabla3[[#This Row],[Fare]]),Tabla3[[#This Row],[Fare]],VALUE(SUBSTITUTE(Tabla3[[#This Row],[Fare]],".",",")))</f>
        <v>78958</v>
      </c>
      <c r="D740" s="1">
        <v>78958</v>
      </c>
    </row>
    <row r="741" spans="1:4" x14ac:dyDescent="0.25">
      <c r="A741" s="13">
        <f>IF(Tabla3[[#This Row],[Fare correción 2]]&gt;=1000,Tabla3[[#This Row],[Fare correción 2]]/10,Tabla3[[#This Row],[Fare correción 2]])</f>
        <v>78.957999999999998</v>
      </c>
      <c r="B741">
        <f>IF(Tabla3[[#This Row],[Fare corrección]]&gt;1000,Tabla3[[#This Row],[Fare corrección]]/1000,Tabla3[[#This Row],[Fare corrección]])</f>
        <v>78.957999999999998</v>
      </c>
      <c r="C741" s="1">
        <f>IF(ISNUMBER(Tabla3[[#This Row],[Fare]]),Tabla3[[#This Row],[Fare]],VALUE(SUBSTITUTE(Tabla3[[#This Row],[Fare]],".",",")))</f>
        <v>78958</v>
      </c>
      <c r="D741" s="1">
        <v>78958</v>
      </c>
    </row>
    <row r="742" spans="1:4" x14ac:dyDescent="0.25">
      <c r="A742" s="13">
        <f>IF(Tabla3[[#This Row],[Fare correción 2]]&gt;=1000,Tabla3[[#This Row],[Fare correción 2]]/10,Tabla3[[#This Row],[Fare correción 2]])</f>
        <v>30</v>
      </c>
      <c r="B742">
        <f>IF(Tabla3[[#This Row],[Fare corrección]]&gt;1000,Tabla3[[#This Row],[Fare corrección]]/1000,Tabla3[[#This Row],[Fare corrección]])</f>
        <v>30</v>
      </c>
      <c r="C742">
        <f>IF(ISNUMBER(Tabla3[[#This Row],[Fare]]),Tabla3[[#This Row],[Fare]],VALUE(SUBSTITUTE(Tabla3[[#This Row],[Fare]],".",",")))</f>
        <v>30</v>
      </c>
      <c r="D742">
        <v>30</v>
      </c>
    </row>
    <row r="743" spans="1:4" x14ac:dyDescent="0.25">
      <c r="A743" s="13">
        <f>IF(Tabla3[[#This Row],[Fare correción 2]]&gt;=1000,Tabla3[[#This Row],[Fare correción 2]]/10,Tabla3[[#This Row],[Fare correción 2]])</f>
        <v>78.849999999999994</v>
      </c>
      <c r="B743">
        <f>IF(Tabla3[[#This Row],[Fare corrección]]&gt;1000,Tabla3[[#This Row],[Fare corrección]]/1000,Tabla3[[#This Row],[Fare corrección]])</f>
        <v>78.849999999999994</v>
      </c>
      <c r="C743">
        <f>IF(ISNUMBER(Tabla3[[#This Row],[Fare]]),Tabla3[[#This Row],[Fare]],VALUE(SUBSTITUTE(Tabla3[[#This Row],[Fare]],".",",")))</f>
        <v>78.849999999999994</v>
      </c>
      <c r="D743" t="s">
        <v>1377</v>
      </c>
    </row>
    <row r="744" spans="1:4" x14ac:dyDescent="0.25">
      <c r="A744" s="13">
        <f>IF(Tabla3[[#This Row],[Fare correción 2]]&gt;=1000,Tabla3[[#This Row],[Fare correción 2]]/10,Tabla3[[#This Row],[Fare correción 2]])</f>
        <v>262.375</v>
      </c>
      <c r="B744">
        <f>IF(Tabla3[[#This Row],[Fare corrección]]&gt;1000,Tabla3[[#This Row],[Fare corrección]]/1000,Tabla3[[#This Row],[Fare corrección]])</f>
        <v>262.375</v>
      </c>
      <c r="C744" s="1">
        <f>IF(ISNUMBER(Tabla3[[#This Row],[Fare]]),Tabla3[[#This Row],[Fare]],VALUE(SUBSTITUTE(Tabla3[[#This Row],[Fare]],".",",")))</f>
        <v>262375</v>
      </c>
      <c r="D744" s="1">
        <v>262375</v>
      </c>
    </row>
    <row r="745" spans="1:4" x14ac:dyDescent="0.25">
      <c r="A745" s="13">
        <f>IF(Tabla3[[#This Row],[Fare correción 2]]&gt;=1000,Tabla3[[#This Row],[Fare correción 2]]/10,Tabla3[[#This Row],[Fare correción 2]])</f>
        <v>16.100000000000001</v>
      </c>
      <c r="B745">
        <f>IF(Tabla3[[#This Row],[Fare corrección]]&gt;1000,Tabla3[[#This Row],[Fare corrección]]/1000,Tabla3[[#This Row],[Fare corrección]])</f>
        <v>16.100000000000001</v>
      </c>
      <c r="C745">
        <f>IF(ISNUMBER(Tabla3[[#This Row],[Fare]]),Tabla3[[#This Row],[Fare]],VALUE(SUBSTITUTE(Tabla3[[#This Row],[Fare]],".",",")))</f>
        <v>16.100000000000001</v>
      </c>
      <c r="D745" t="s">
        <v>1177</v>
      </c>
    </row>
    <row r="746" spans="1:4" x14ac:dyDescent="0.25">
      <c r="A746" s="13">
        <f>IF(Tabla3[[#This Row],[Fare correción 2]]&gt;=1000,Tabla3[[#This Row],[Fare correción 2]]/10,Tabla3[[#This Row],[Fare correción 2]])</f>
        <v>7.9249999999999998</v>
      </c>
      <c r="B746">
        <f>IF(Tabla3[[#This Row],[Fare corrección]]&gt;1000,Tabla3[[#This Row],[Fare corrección]]/1000,Tabla3[[#This Row],[Fare corrección]])</f>
        <v>7.9249999999999998</v>
      </c>
      <c r="C746" s="1">
        <f>IF(ISNUMBER(Tabla3[[#This Row],[Fare]]),Tabla3[[#This Row],[Fare]],VALUE(SUBSTITUTE(Tabla3[[#This Row],[Fare]],".",",")))</f>
        <v>7925</v>
      </c>
      <c r="D746" s="1">
        <v>7925</v>
      </c>
    </row>
    <row r="747" spans="1:4" x14ac:dyDescent="0.25">
      <c r="A747" s="13">
        <f>IF(Tabla3[[#This Row],[Fare correción 2]]&gt;=1000,Tabla3[[#This Row],[Fare correción 2]]/10,Tabla3[[#This Row],[Fare correción 2]])</f>
        <v>71</v>
      </c>
      <c r="B747">
        <f>IF(Tabla3[[#This Row],[Fare corrección]]&gt;1000,Tabla3[[#This Row],[Fare corrección]]/1000,Tabla3[[#This Row],[Fare corrección]])</f>
        <v>71</v>
      </c>
      <c r="C747">
        <f>IF(ISNUMBER(Tabla3[[#This Row],[Fare]]),Tabla3[[#This Row],[Fare]],VALUE(SUBSTITUTE(Tabla3[[#This Row],[Fare]],".",",")))</f>
        <v>71</v>
      </c>
      <c r="D747">
        <v>71</v>
      </c>
    </row>
    <row r="748" spans="1:4" x14ac:dyDescent="0.25">
      <c r="A748" s="13">
        <f>IF(Tabla3[[#This Row],[Fare correción 2]]&gt;=1000,Tabla3[[#This Row],[Fare correción 2]]/10,Tabla3[[#This Row],[Fare correción 2]])</f>
        <v>20.25</v>
      </c>
      <c r="B748">
        <f>IF(Tabla3[[#This Row],[Fare corrección]]&gt;1000,Tabla3[[#This Row],[Fare corrección]]/1000,Tabla3[[#This Row],[Fare corrección]])</f>
        <v>20.25</v>
      </c>
      <c r="C748">
        <f>IF(ISNUMBER(Tabla3[[#This Row],[Fare]]),Tabla3[[#This Row],[Fare]],VALUE(SUBSTITUTE(Tabla3[[#This Row],[Fare]],".",",")))</f>
        <v>20.25</v>
      </c>
      <c r="D748" t="s">
        <v>1363</v>
      </c>
    </row>
    <row r="749" spans="1:4" x14ac:dyDescent="0.25">
      <c r="A749" s="13">
        <f>IF(Tabla3[[#This Row],[Fare correción 2]]&gt;=1000,Tabla3[[#This Row],[Fare correción 2]]/10,Tabla3[[#This Row],[Fare correción 2]])</f>
        <v>13</v>
      </c>
      <c r="B749">
        <f>IF(Tabla3[[#This Row],[Fare corrección]]&gt;1000,Tabla3[[#This Row],[Fare corrección]]/1000,Tabla3[[#This Row],[Fare corrección]])</f>
        <v>13</v>
      </c>
      <c r="C749">
        <f>IF(ISNUMBER(Tabla3[[#This Row],[Fare]]),Tabla3[[#This Row],[Fare]],VALUE(SUBSTITUTE(Tabla3[[#This Row],[Fare]],".",",")))</f>
        <v>13</v>
      </c>
      <c r="D749">
        <v>13</v>
      </c>
    </row>
    <row r="750" spans="1:4" x14ac:dyDescent="0.25">
      <c r="A750" s="13">
        <f>IF(Tabla3[[#This Row],[Fare correción 2]]&gt;=1000,Tabla3[[#This Row],[Fare correción 2]]/10,Tabla3[[#This Row],[Fare correción 2]])</f>
        <v>53.1</v>
      </c>
      <c r="B750">
        <f>IF(Tabla3[[#This Row],[Fare corrección]]&gt;1000,Tabla3[[#This Row],[Fare corrección]]/1000,Tabla3[[#This Row],[Fare corrección]])</f>
        <v>53.1</v>
      </c>
      <c r="C750">
        <f>IF(ISNUMBER(Tabla3[[#This Row],[Fare]]),Tabla3[[#This Row],[Fare]],VALUE(SUBSTITUTE(Tabla3[[#This Row],[Fare]],".",",")))</f>
        <v>53.1</v>
      </c>
      <c r="D750" t="s">
        <v>914</v>
      </c>
    </row>
    <row r="751" spans="1:4" x14ac:dyDescent="0.25">
      <c r="A751" s="13">
        <f>IF(Tabla3[[#This Row],[Fare correción 2]]&gt;=1000,Tabla3[[#This Row],[Fare correción 2]]/10,Tabla3[[#This Row],[Fare correción 2]])</f>
        <v>7.75</v>
      </c>
      <c r="B751">
        <f>IF(Tabla3[[#This Row],[Fare corrección]]&gt;1000,Tabla3[[#This Row],[Fare corrección]]/1000,Tabla3[[#This Row],[Fare corrección]])</f>
        <v>7.75</v>
      </c>
      <c r="C751">
        <f>IF(ISNUMBER(Tabla3[[#This Row],[Fare]]),Tabla3[[#This Row],[Fare]],VALUE(SUBSTITUTE(Tabla3[[#This Row],[Fare]],".",",")))</f>
        <v>7.75</v>
      </c>
      <c r="D751" t="s">
        <v>961</v>
      </c>
    </row>
    <row r="752" spans="1:4" x14ac:dyDescent="0.25">
      <c r="A752" s="13">
        <f>IF(Tabla3[[#This Row],[Fare correción 2]]&gt;=1000,Tabla3[[#This Row],[Fare correción 2]]/10,Tabla3[[#This Row],[Fare correción 2]])</f>
        <v>23</v>
      </c>
      <c r="B752">
        <f>IF(Tabla3[[#This Row],[Fare corrección]]&gt;1000,Tabla3[[#This Row],[Fare corrección]]/1000,Tabla3[[#This Row],[Fare corrección]])</f>
        <v>23</v>
      </c>
      <c r="C752">
        <f>IF(ISNUMBER(Tabla3[[#This Row],[Fare]]),Tabla3[[#This Row],[Fare]],VALUE(SUBSTITUTE(Tabla3[[#This Row],[Fare]],".",",")))</f>
        <v>23</v>
      </c>
      <c r="D752">
        <v>23</v>
      </c>
    </row>
    <row r="753" spans="1:4" x14ac:dyDescent="0.25">
      <c r="A753" s="13">
        <f>IF(Tabla3[[#This Row],[Fare correción 2]]&gt;=1000,Tabla3[[#This Row],[Fare correción 2]]/10,Tabla3[[#This Row],[Fare correción 2]])</f>
        <v>12.475</v>
      </c>
      <c r="B753">
        <f>IF(Tabla3[[#This Row],[Fare corrección]]&gt;1000,Tabla3[[#This Row],[Fare corrección]]/1000,Tabla3[[#This Row],[Fare corrección]])</f>
        <v>12.475</v>
      </c>
      <c r="C753" s="1">
        <f>IF(ISNUMBER(Tabla3[[#This Row],[Fare]]),Tabla3[[#This Row],[Fare]],VALUE(SUBSTITUTE(Tabla3[[#This Row],[Fare]],".",",")))</f>
        <v>12475</v>
      </c>
      <c r="D753" s="1">
        <v>12475</v>
      </c>
    </row>
    <row r="754" spans="1:4" x14ac:dyDescent="0.25">
      <c r="A754" s="13">
        <f>IF(Tabla3[[#This Row],[Fare correción 2]]&gt;=1000,Tabla3[[#This Row],[Fare correción 2]]/10,Tabla3[[#This Row],[Fare correción 2]])</f>
        <v>9.5</v>
      </c>
      <c r="B754">
        <f>IF(Tabla3[[#This Row],[Fare corrección]]&gt;1000,Tabla3[[#This Row],[Fare corrección]]/1000,Tabla3[[#This Row],[Fare corrección]])</f>
        <v>9.5</v>
      </c>
      <c r="C754">
        <f>IF(ISNUMBER(Tabla3[[#This Row],[Fare]]),Tabla3[[#This Row],[Fare]],VALUE(SUBSTITUTE(Tabla3[[#This Row],[Fare]],".",",")))</f>
        <v>9.5</v>
      </c>
      <c r="D754" t="s">
        <v>1044</v>
      </c>
    </row>
    <row r="755" spans="1:4" x14ac:dyDescent="0.25">
      <c r="A755" s="13">
        <f>IF(Tabla3[[#This Row],[Fare correción 2]]&gt;=1000,Tabla3[[#This Row],[Fare correción 2]]/10,Tabla3[[#This Row],[Fare correción 2]])</f>
        <v>78.957999999999998</v>
      </c>
      <c r="B755">
        <f>IF(Tabla3[[#This Row],[Fare corrección]]&gt;1000,Tabla3[[#This Row],[Fare corrección]]/1000,Tabla3[[#This Row],[Fare corrección]])</f>
        <v>78.957999999999998</v>
      </c>
      <c r="C755" s="1">
        <f>IF(ISNUMBER(Tabla3[[#This Row],[Fare]]),Tabla3[[#This Row],[Fare]],VALUE(SUBSTITUTE(Tabla3[[#This Row],[Fare]],".",",")))</f>
        <v>78958</v>
      </c>
      <c r="D755" s="1">
        <v>78958</v>
      </c>
    </row>
    <row r="756" spans="1:4" x14ac:dyDescent="0.25">
      <c r="A756" s="13">
        <f>IF(Tabla3[[#This Row],[Fare correción 2]]&gt;=1000,Tabla3[[#This Row],[Fare correción 2]]/10,Tabla3[[#This Row],[Fare correción 2]])</f>
        <v>65</v>
      </c>
      <c r="B756">
        <f>IF(Tabla3[[#This Row],[Fare corrección]]&gt;1000,Tabla3[[#This Row],[Fare corrección]]/1000,Tabla3[[#This Row],[Fare corrección]])</f>
        <v>65</v>
      </c>
      <c r="C756">
        <f>IF(ISNUMBER(Tabla3[[#This Row],[Fare]]),Tabla3[[#This Row],[Fare]],VALUE(SUBSTITUTE(Tabla3[[#This Row],[Fare]],".",",")))</f>
        <v>65</v>
      </c>
      <c r="D756">
        <v>65</v>
      </c>
    </row>
    <row r="757" spans="1:4" x14ac:dyDescent="0.25">
      <c r="A757" s="13">
        <f>IF(Tabla3[[#This Row],[Fare correción 2]]&gt;=1000,Tabla3[[#This Row],[Fare correción 2]]/10,Tabla3[[#This Row],[Fare correción 2]])</f>
        <v>14.5</v>
      </c>
      <c r="B757">
        <f>IF(Tabla3[[#This Row],[Fare corrección]]&gt;1000,Tabla3[[#This Row],[Fare corrección]]/1000,Tabla3[[#This Row],[Fare corrección]])</f>
        <v>14.5</v>
      </c>
      <c r="C757">
        <f>IF(ISNUMBER(Tabla3[[#This Row],[Fare]]),Tabla3[[#This Row],[Fare]],VALUE(SUBSTITUTE(Tabla3[[#This Row],[Fare]],".",",")))</f>
        <v>14.5</v>
      </c>
      <c r="D757" t="s">
        <v>1090</v>
      </c>
    </row>
    <row r="758" spans="1:4" x14ac:dyDescent="0.25">
      <c r="A758" s="13">
        <f>IF(Tabla3[[#This Row],[Fare correción 2]]&gt;=1000,Tabla3[[#This Row],[Fare correción 2]]/10,Tabla3[[#This Row],[Fare correción 2]])</f>
        <v>77.957999999999998</v>
      </c>
      <c r="B758">
        <f>IF(Tabla3[[#This Row],[Fare corrección]]&gt;1000,Tabla3[[#This Row],[Fare corrección]]/1000,Tabla3[[#This Row],[Fare corrección]])</f>
        <v>77.957999999999998</v>
      </c>
      <c r="C758" s="1">
        <f>IF(ISNUMBER(Tabla3[[#This Row],[Fare]]),Tabla3[[#This Row],[Fare]],VALUE(SUBSTITUTE(Tabla3[[#This Row],[Fare]],".",",")))</f>
        <v>77958</v>
      </c>
      <c r="D758" s="1">
        <v>77958</v>
      </c>
    </row>
    <row r="759" spans="1:4" x14ac:dyDescent="0.25">
      <c r="A759" s="13">
        <f>IF(Tabla3[[#This Row],[Fare correción 2]]&gt;=1000,Tabla3[[#This Row],[Fare correción 2]]/10,Tabla3[[#This Row],[Fare correción 2]])</f>
        <v>11.5</v>
      </c>
      <c r="B759">
        <f>IF(Tabla3[[#This Row],[Fare corrección]]&gt;1000,Tabla3[[#This Row],[Fare corrección]]/1000,Tabla3[[#This Row],[Fare corrección]])</f>
        <v>11.5</v>
      </c>
      <c r="C759">
        <f>IF(ISNUMBER(Tabla3[[#This Row],[Fare]]),Tabla3[[#This Row],[Fare]],VALUE(SUBSTITUTE(Tabla3[[#This Row],[Fare]],".",",")))</f>
        <v>11.5</v>
      </c>
      <c r="D759" t="s">
        <v>1144</v>
      </c>
    </row>
    <row r="760" spans="1:4" x14ac:dyDescent="0.25">
      <c r="A760" s="13">
        <f>IF(Tabla3[[#This Row],[Fare correción 2]]&gt;=1000,Tabla3[[#This Row],[Fare correción 2]]/10,Tabla3[[#This Row],[Fare correción 2]])</f>
        <v>8.0500000000000007</v>
      </c>
      <c r="B760">
        <f>IF(Tabla3[[#This Row],[Fare corrección]]&gt;1000,Tabla3[[#This Row],[Fare corrección]]/1000,Tabla3[[#This Row],[Fare corrección]])</f>
        <v>8.0500000000000007</v>
      </c>
      <c r="C760">
        <f>IF(ISNUMBER(Tabla3[[#This Row],[Fare]]),Tabla3[[#This Row],[Fare]],VALUE(SUBSTITUTE(Tabla3[[#This Row],[Fare]],".",",")))</f>
        <v>8.0500000000000007</v>
      </c>
      <c r="D760" t="s">
        <v>917</v>
      </c>
    </row>
    <row r="761" spans="1:4" x14ac:dyDescent="0.25">
      <c r="A761" s="13">
        <f>IF(Tabla3[[#This Row],[Fare correción 2]]&gt;=1000,Tabla3[[#This Row],[Fare correción 2]]/10,Tabla3[[#This Row],[Fare correción 2]])</f>
        <v>86.5</v>
      </c>
      <c r="B761">
        <f>IF(Tabla3[[#This Row],[Fare corrección]]&gt;1000,Tabla3[[#This Row],[Fare corrección]]/1000,Tabla3[[#This Row],[Fare corrección]])</f>
        <v>86.5</v>
      </c>
      <c r="C761">
        <f>IF(ISNUMBER(Tabla3[[#This Row],[Fare]]),Tabla3[[#This Row],[Fare]],VALUE(SUBSTITUTE(Tabla3[[#This Row],[Fare]],".",",")))</f>
        <v>86.5</v>
      </c>
      <c r="D761" t="s">
        <v>1324</v>
      </c>
    </row>
    <row r="762" spans="1:4" x14ac:dyDescent="0.25">
      <c r="A762" s="13">
        <f>IF(Tabla3[[#This Row],[Fare correción 2]]&gt;=1000,Tabla3[[#This Row],[Fare correción 2]]/10,Tabla3[[#This Row],[Fare correción 2]])</f>
        <v>14.5</v>
      </c>
      <c r="B762">
        <f>IF(Tabla3[[#This Row],[Fare corrección]]&gt;1000,Tabla3[[#This Row],[Fare corrección]]/1000,Tabla3[[#This Row],[Fare corrección]])</f>
        <v>14.5</v>
      </c>
      <c r="C762">
        <f>IF(ISNUMBER(Tabla3[[#This Row],[Fare]]),Tabla3[[#This Row],[Fare]],VALUE(SUBSTITUTE(Tabla3[[#This Row],[Fare]],".",",")))</f>
        <v>14.5</v>
      </c>
      <c r="D762" t="s">
        <v>1090</v>
      </c>
    </row>
    <row r="763" spans="1:4" x14ac:dyDescent="0.25">
      <c r="A763" s="13">
        <f>IF(Tabla3[[#This Row],[Fare correción 2]]&gt;=1000,Tabla3[[#This Row],[Fare correción 2]]/10,Tabla3[[#This Row],[Fare correción 2]])</f>
        <v>7.125</v>
      </c>
      <c r="B763">
        <f>IF(Tabla3[[#This Row],[Fare corrección]]&gt;1000,Tabla3[[#This Row],[Fare corrección]]/1000,Tabla3[[#This Row],[Fare corrección]])</f>
        <v>7.125</v>
      </c>
      <c r="C763" s="1">
        <f>IF(ISNUMBER(Tabla3[[#This Row],[Fare]]),Tabla3[[#This Row],[Fare]],VALUE(SUBSTITUTE(Tabla3[[#This Row],[Fare]],".",",")))</f>
        <v>7125</v>
      </c>
      <c r="D763" s="1">
        <v>7125</v>
      </c>
    </row>
    <row r="764" spans="1:4" x14ac:dyDescent="0.25">
      <c r="A764" s="13">
        <f>IF(Tabla3[[#This Row],[Fare correción 2]]&gt;=1000,Tabla3[[#This Row],[Fare correción 2]]/10,Tabla3[[#This Row],[Fare correción 2]])</f>
        <v>72.292000000000002</v>
      </c>
      <c r="B764">
        <f>IF(Tabla3[[#This Row],[Fare corrección]]&gt;1000,Tabla3[[#This Row],[Fare corrección]]/1000,Tabla3[[#This Row],[Fare corrección]])</f>
        <v>72.292000000000002</v>
      </c>
      <c r="C764" s="1">
        <f>IF(ISNUMBER(Tabla3[[#This Row],[Fare]]),Tabla3[[#This Row],[Fare]],VALUE(SUBSTITUTE(Tabla3[[#This Row],[Fare]],".",",")))</f>
        <v>72292</v>
      </c>
      <c r="D764" s="1">
        <v>72292</v>
      </c>
    </row>
    <row r="765" spans="1:4" x14ac:dyDescent="0.25">
      <c r="A765" s="13">
        <f>IF(Tabla3[[#This Row],[Fare correción 2]]&gt;=1000,Tabla3[[#This Row],[Fare correción 2]]/10,Tabla3[[#This Row],[Fare correción 2]])</f>
        <v>120</v>
      </c>
      <c r="B765">
        <f>IF(Tabla3[[#This Row],[Fare corrección]]&gt;1000,Tabla3[[#This Row],[Fare corrección]]/1000,Tabla3[[#This Row],[Fare corrección]])</f>
        <v>120</v>
      </c>
      <c r="C765">
        <f>IF(ISNUMBER(Tabla3[[#This Row],[Fare]]),Tabla3[[#This Row],[Fare]],VALUE(SUBSTITUTE(Tabla3[[#This Row],[Fare]],".",",")))</f>
        <v>120</v>
      </c>
      <c r="D765">
        <v>120</v>
      </c>
    </row>
    <row r="766" spans="1:4" x14ac:dyDescent="0.25">
      <c r="A766" s="13">
        <f>IF(Tabla3[[#This Row],[Fare correción 2]]&gt;=1000,Tabla3[[#This Row],[Fare correción 2]]/10,Tabla3[[#This Row],[Fare correción 2]])</f>
        <v>7.7750000000000004</v>
      </c>
      <c r="B766">
        <f>IF(Tabla3[[#This Row],[Fare corrección]]&gt;1000,Tabla3[[#This Row],[Fare corrección]]/1000,Tabla3[[#This Row],[Fare corrección]])</f>
        <v>7.7750000000000004</v>
      </c>
      <c r="C766" s="1">
        <f>IF(ISNUMBER(Tabla3[[#This Row],[Fare]]),Tabla3[[#This Row],[Fare]],VALUE(SUBSTITUTE(Tabla3[[#This Row],[Fare]],".",",")))</f>
        <v>7775</v>
      </c>
      <c r="D766" s="1">
        <v>7775</v>
      </c>
    </row>
    <row r="767" spans="1:4" x14ac:dyDescent="0.25">
      <c r="A767" s="13">
        <f>IF(Tabla3[[#This Row],[Fare correción 2]]&gt;=1000,Tabla3[[#This Row],[Fare correción 2]]/10,Tabla3[[#This Row],[Fare correción 2]])</f>
        <v>779.58299999999997</v>
      </c>
      <c r="B767">
        <f>IF(Tabla3[[#This Row],[Fare corrección]]&gt;1000,Tabla3[[#This Row],[Fare corrección]]/1000,Tabla3[[#This Row],[Fare corrección]])</f>
        <v>779.58299999999997</v>
      </c>
      <c r="C767" s="1">
        <f>IF(ISNUMBER(Tabla3[[#This Row],[Fare]]),Tabla3[[#This Row],[Fare]],VALUE(SUBSTITUTE(Tabla3[[#This Row],[Fare]],".",",")))</f>
        <v>779583</v>
      </c>
      <c r="D767" s="1">
        <v>779583</v>
      </c>
    </row>
    <row r="768" spans="1:4" x14ac:dyDescent="0.25">
      <c r="A768" s="13">
        <f>IF(Tabla3[[#This Row],[Fare correción 2]]&gt;=1000,Tabla3[[#This Row],[Fare correción 2]]/10,Tabla3[[#This Row],[Fare correción 2]])</f>
        <v>39.6</v>
      </c>
      <c r="B768">
        <f>IF(Tabla3[[#This Row],[Fare corrección]]&gt;1000,Tabla3[[#This Row],[Fare corrección]]/1000,Tabla3[[#This Row],[Fare corrección]])</f>
        <v>39.6</v>
      </c>
      <c r="C768">
        <f>IF(ISNUMBER(Tabla3[[#This Row],[Fare]]),Tabla3[[#This Row],[Fare]],VALUE(SUBSTITUTE(Tabla3[[#This Row],[Fare]],".",",")))</f>
        <v>39.6</v>
      </c>
      <c r="D768" t="s">
        <v>1762</v>
      </c>
    </row>
    <row r="769" spans="1:4" x14ac:dyDescent="0.25">
      <c r="A769" s="13">
        <f>IF(Tabla3[[#This Row],[Fare correción 2]]&gt;=1000,Tabla3[[#This Row],[Fare correción 2]]/10,Tabla3[[#This Row],[Fare correción 2]])</f>
        <v>7.75</v>
      </c>
      <c r="B769">
        <f>IF(Tabla3[[#This Row],[Fare corrección]]&gt;1000,Tabla3[[#This Row],[Fare corrección]]/1000,Tabla3[[#This Row],[Fare corrección]])</f>
        <v>7.75</v>
      </c>
      <c r="C769">
        <f>IF(ISNUMBER(Tabla3[[#This Row],[Fare]]),Tabla3[[#This Row],[Fare]],VALUE(SUBSTITUTE(Tabla3[[#This Row],[Fare]],".",",")))</f>
        <v>7.75</v>
      </c>
      <c r="D769" t="s">
        <v>961</v>
      </c>
    </row>
    <row r="770" spans="1:4" x14ac:dyDescent="0.25">
      <c r="A770" s="13">
        <f>IF(Tabla3[[#This Row],[Fare correción 2]]&gt;=1000,Tabla3[[#This Row],[Fare correción 2]]/10,Tabla3[[#This Row],[Fare correción 2]])</f>
        <v>24.15</v>
      </c>
      <c r="B770">
        <f>IF(Tabla3[[#This Row],[Fare corrección]]&gt;1000,Tabla3[[#This Row],[Fare corrección]]/1000,Tabla3[[#This Row],[Fare corrección]])</f>
        <v>24.15</v>
      </c>
      <c r="C770">
        <f>IF(ISNUMBER(Tabla3[[#This Row],[Fare]]),Tabla3[[#This Row],[Fare]],VALUE(SUBSTITUTE(Tabla3[[#This Row],[Fare]],".",",")))</f>
        <v>24.15</v>
      </c>
      <c r="D770" t="s">
        <v>1086</v>
      </c>
    </row>
    <row r="771" spans="1:4" x14ac:dyDescent="0.25">
      <c r="A771" s="13">
        <f>IF(Tabla3[[#This Row],[Fare correción 2]]&gt;=1000,Tabla3[[#This Row],[Fare correción 2]]/10,Tabla3[[#This Row],[Fare correción 2]])</f>
        <v>83.625</v>
      </c>
      <c r="B771">
        <f>IF(Tabla3[[#This Row],[Fare corrección]]&gt;1000,Tabla3[[#This Row],[Fare corrección]]/1000,Tabla3[[#This Row],[Fare corrección]])</f>
        <v>83.625</v>
      </c>
      <c r="C771" s="1">
        <f>IF(ISNUMBER(Tabla3[[#This Row],[Fare]]),Tabla3[[#This Row],[Fare]],VALUE(SUBSTITUTE(Tabla3[[#This Row],[Fare]],".",",")))</f>
        <v>83625</v>
      </c>
      <c r="D771" s="1">
        <v>83625</v>
      </c>
    </row>
    <row r="772" spans="1:4" x14ac:dyDescent="0.25">
      <c r="A772" s="13">
        <f>IF(Tabla3[[#This Row],[Fare correción 2]]&gt;=1000,Tabla3[[#This Row],[Fare correción 2]]/10,Tabla3[[#This Row],[Fare correción 2]])</f>
        <v>9.5</v>
      </c>
      <c r="B772">
        <f>IF(Tabla3[[#This Row],[Fare corrección]]&gt;1000,Tabla3[[#This Row],[Fare corrección]]/1000,Tabla3[[#This Row],[Fare corrección]])</f>
        <v>9.5</v>
      </c>
      <c r="C772">
        <f>IF(ISNUMBER(Tabla3[[#This Row],[Fare]]),Tabla3[[#This Row],[Fare]],VALUE(SUBSTITUTE(Tabla3[[#This Row],[Fare]],".",",")))</f>
        <v>9.5</v>
      </c>
      <c r="D772" t="s">
        <v>1044</v>
      </c>
    </row>
    <row r="773" spans="1:4" x14ac:dyDescent="0.25">
      <c r="A773" s="13">
        <f>IF(Tabla3[[#This Row],[Fare correción 2]]&gt;=1000,Tabla3[[#This Row],[Fare correción 2]]/10,Tabla3[[#This Row],[Fare correción 2]])</f>
        <v>78.542000000000002</v>
      </c>
      <c r="B773">
        <f>IF(Tabla3[[#This Row],[Fare corrección]]&gt;1000,Tabla3[[#This Row],[Fare corrección]]/1000,Tabla3[[#This Row],[Fare corrección]])</f>
        <v>78.542000000000002</v>
      </c>
      <c r="C773" s="1">
        <f>IF(ISNUMBER(Tabla3[[#This Row],[Fare]]),Tabla3[[#This Row],[Fare]],VALUE(SUBSTITUTE(Tabla3[[#This Row],[Fare]],".",",")))</f>
        <v>78542</v>
      </c>
      <c r="D773" s="1">
        <v>78542</v>
      </c>
    </row>
    <row r="774" spans="1:4" x14ac:dyDescent="0.25">
      <c r="A774" s="13">
        <f>IF(Tabla3[[#This Row],[Fare correción 2]]&gt;=1000,Tabla3[[#This Row],[Fare correción 2]]/10,Tabla3[[#This Row],[Fare correción 2]])</f>
        <v>10.5</v>
      </c>
      <c r="B774">
        <f>IF(Tabla3[[#This Row],[Fare corrección]]&gt;1000,Tabla3[[#This Row],[Fare corrección]]/1000,Tabla3[[#This Row],[Fare corrección]])</f>
        <v>10.5</v>
      </c>
      <c r="C774">
        <f>IF(ISNUMBER(Tabla3[[#This Row],[Fare]]),Tabla3[[#This Row],[Fare]],VALUE(SUBSTITUTE(Tabla3[[#This Row],[Fare]],".",",")))</f>
        <v>10.5</v>
      </c>
      <c r="D774" t="s">
        <v>964</v>
      </c>
    </row>
    <row r="775" spans="1:4" x14ac:dyDescent="0.25">
      <c r="A775" s="13">
        <f>IF(Tabla3[[#This Row],[Fare correción 2]]&gt;=1000,Tabla3[[#This Row],[Fare correción 2]]/10,Tabla3[[#This Row],[Fare correción 2]])</f>
        <v>7.2249999999999996</v>
      </c>
      <c r="B775">
        <f>IF(Tabla3[[#This Row],[Fare corrección]]&gt;1000,Tabla3[[#This Row],[Fare corrección]]/1000,Tabla3[[#This Row],[Fare corrección]])</f>
        <v>7.2249999999999996</v>
      </c>
      <c r="C775" s="1">
        <f>IF(ISNUMBER(Tabla3[[#This Row],[Fare]]),Tabla3[[#This Row],[Fare]],VALUE(SUBSTITUTE(Tabla3[[#This Row],[Fare]],".",",")))</f>
        <v>7225</v>
      </c>
      <c r="D775" s="1">
        <v>7225</v>
      </c>
    </row>
    <row r="776" spans="1:4" x14ac:dyDescent="0.25">
      <c r="A776" s="13">
        <f>IF(Tabla3[[#This Row],[Fare correción 2]]&gt;=1000,Tabla3[[#This Row],[Fare correción 2]]/10,Tabla3[[#This Row],[Fare correción 2]])</f>
        <v>23</v>
      </c>
      <c r="B776">
        <f>IF(Tabla3[[#This Row],[Fare corrección]]&gt;1000,Tabla3[[#This Row],[Fare corrección]]/1000,Tabla3[[#This Row],[Fare corrección]])</f>
        <v>23</v>
      </c>
      <c r="C776">
        <f>IF(ISNUMBER(Tabla3[[#This Row],[Fare]]),Tabla3[[#This Row],[Fare]],VALUE(SUBSTITUTE(Tabla3[[#This Row],[Fare]],".",",")))</f>
        <v>23</v>
      </c>
      <c r="D776">
        <v>23</v>
      </c>
    </row>
    <row r="777" spans="1:4" x14ac:dyDescent="0.25">
      <c r="A777" s="13">
        <f>IF(Tabla3[[#This Row],[Fare correción 2]]&gt;=1000,Tabla3[[#This Row],[Fare correción 2]]/10,Tabla3[[#This Row],[Fare correción 2]])</f>
        <v>7.75</v>
      </c>
      <c r="B777">
        <f>IF(Tabla3[[#This Row],[Fare corrección]]&gt;1000,Tabla3[[#This Row],[Fare corrección]]/1000,Tabla3[[#This Row],[Fare corrección]])</f>
        <v>7.75</v>
      </c>
      <c r="C777">
        <f>IF(ISNUMBER(Tabla3[[#This Row],[Fare]]),Tabla3[[#This Row],[Fare]],VALUE(SUBSTITUTE(Tabla3[[#This Row],[Fare]],".",",")))</f>
        <v>7.75</v>
      </c>
      <c r="D777" t="s">
        <v>961</v>
      </c>
    </row>
    <row r="778" spans="1:4" x14ac:dyDescent="0.25">
      <c r="A778" s="13">
        <f>IF(Tabla3[[#This Row],[Fare correción 2]]&gt;=1000,Tabla3[[#This Row],[Fare correción 2]]/10,Tabla3[[#This Row],[Fare correción 2]])</f>
        <v>7.75</v>
      </c>
      <c r="B778">
        <f>IF(Tabla3[[#This Row],[Fare corrección]]&gt;1000,Tabla3[[#This Row],[Fare corrección]]/1000,Tabla3[[#This Row],[Fare corrección]])</f>
        <v>7.75</v>
      </c>
      <c r="C778">
        <f>IF(ISNUMBER(Tabla3[[#This Row],[Fare]]),Tabla3[[#This Row],[Fare]],VALUE(SUBSTITUTE(Tabla3[[#This Row],[Fare]],".",",")))</f>
        <v>7.75</v>
      </c>
      <c r="D778" t="s">
        <v>961</v>
      </c>
    </row>
    <row r="779" spans="1:4" x14ac:dyDescent="0.25">
      <c r="A779" s="13">
        <f>IF(Tabla3[[#This Row],[Fare correción 2]]&gt;=1000,Tabla3[[#This Row],[Fare correción 2]]/10,Tabla3[[#This Row],[Fare correción 2]])</f>
        <v>12.475</v>
      </c>
      <c r="B779">
        <f>IF(Tabla3[[#This Row],[Fare corrección]]&gt;1000,Tabla3[[#This Row],[Fare corrección]]/1000,Tabla3[[#This Row],[Fare corrección]])</f>
        <v>12.475</v>
      </c>
      <c r="C779" s="1">
        <f>IF(ISNUMBER(Tabla3[[#This Row],[Fare]]),Tabla3[[#This Row],[Fare]],VALUE(SUBSTITUTE(Tabla3[[#This Row],[Fare]],".",",")))</f>
        <v>12475</v>
      </c>
      <c r="D779" s="1">
        <v>12475</v>
      </c>
    </row>
    <row r="780" spans="1:4" x14ac:dyDescent="0.25">
      <c r="A780" s="13">
        <f>IF(Tabla3[[#This Row],[Fare correción 2]]&gt;=1000,Tabla3[[#This Row],[Fare correción 2]]/10,Tabla3[[#This Row],[Fare correción 2]])</f>
        <v>77.375</v>
      </c>
      <c r="B780">
        <f>IF(Tabla3[[#This Row],[Fare corrección]]&gt;1000,Tabla3[[#This Row],[Fare corrección]]/1000,Tabla3[[#This Row],[Fare corrección]])</f>
        <v>77.375</v>
      </c>
      <c r="C780" s="1">
        <f>IF(ISNUMBER(Tabla3[[#This Row],[Fare]]),Tabla3[[#This Row],[Fare]],VALUE(SUBSTITUTE(Tabla3[[#This Row],[Fare]],".",",")))</f>
        <v>77375</v>
      </c>
      <c r="D780" s="1">
        <v>77375</v>
      </c>
    </row>
    <row r="781" spans="1:4" x14ac:dyDescent="0.25">
      <c r="A781" s="13">
        <f>IF(Tabla3[[#This Row],[Fare correción 2]]&gt;=1000,Tabla3[[#This Row],[Fare correción 2]]/10,Tabla3[[#This Row],[Fare correción 2]])</f>
        <v>211.33750000000001</v>
      </c>
      <c r="B781">
        <f>IF(Tabla3[[#This Row],[Fare corrección]]&gt;1000,Tabla3[[#This Row],[Fare corrección]]/1000,Tabla3[[#This Row],[Fare corrección]])</f>
        <v>2113.375</v>
      </c>
      <c r="C781" s="1">
        <f>IF(ISNUMBER(Tabla3[[#This Row],[Fare]]),Tabla3[[#This Row],[Fare]],VALUE(SUBSTITUTE(Tabla3[[#This Row],[Fare]],".",",")))</f>
        <v>2113375</v>
      </c>
      <c r="D781" s="1">
        <v>2113375</v>
      </c>
    </row>
    <row r="782" spans="1:4" x14ac:dyDescent="0.25">
      <c r="A782" s="13">
        <f>IF(Tabla3[[#This Row],[Fare correción 2]]&gt;=1000,Tabla3[[#This Row],[Fare correción 2]]/10,Tabla3[[#This Row],[Fare correción 2]])</f>
        <v>72.292000000000002</v>
      </c>
      <c r="B782">
        <f>IF(Tabla3[[#This Row],[Fare corrección]]&gt;1000,Tabla3[[#This Row],[Fare corrección]]/1000,Tabla3[[#This Row],[Fare corrección]])</f>
        <v>72.292000000000002</v>
      </c>
      <c r="C782" s="1">
        <f>IF(ISNUMBER(Tabla3[[#This Row],[Fare]]),Tabla3[[#This Row],[Fare]],VALUE(SUBSTITUTE(Tabla3[[#This Row],[Fare]],".",",")))</f>
        <v>72292</v>
      </c>
      <c r="D782" s="1">
        <v>72292</v>
      </c>
    </row>
    <row r="783" spans="1:4" x14ac:dyDescent="0.25">
      <c r="A783" s="13">
        <f>IF(Tabla3[[#This Row],[Fare correción 2]]&gt;=1000,Tabla3[[#This Row],[Fare correción 2]]/10,Tabla3[[#This Row],[Fare correción 2]])</f>
        <v>57</v>
      </c>
      <c r="B783">
        <f>IF(Tabla3[[#This Row],[Fare corrección]]&gt;1000,Tabla3[[#This Row],[Fare corrección]]/1000,Tabla3[[#This Row],[Fare corrección]])</f>
        <v>57</v>
      </c>
      <c r="C783">
        <f>IF(ISNUMBER(Tabla3[[#This Row],[Fare]]),Tabla3[[#This Row],[Fare]],VALUE(SUBSTITUTE(Tabla3[[#This Row],[Fare]],".",",")))</f>
        <v>57</v>
      </c>
      <c r="D783">
        <v>57</v>
      </c>
    </row>
    <row r="784" spans="1:4" x14ac:dyDescent="0.25">
      <c r="A784" s="13">
        <f>IF(Tabla3[[#This Row],[Fare correción 2]]&gt;=1000,Tabla3[[#This Row],[Fare correción 2]]/10,Tabla3[[#This Row],[Fare correción 2]])</f>
        <v>30</v>
      </c>
      <c r="B784">
        <f>IF(Tabla3[[#This Row],[Fare corrección]]&gt;1000,Tabla3[[#This Row],[Fare corrección]]/1000,Tabla3[[#This Row],[Fare corrección]])</f>
        <v>30</v>
      </c>
      <c r="C784">
        <f>IF(ISNUMBER(Tabla3[[#This Row],[Fare]]),Tabla3[[#This Row],[Fare]],VALUE(SUBSTITUTE(Tabla3[[#This Row],[Fare]],".",",")))</f>
        <v>30</v>
      </c>
      <c r="D784">
        <v>30</v>
      </c>
    </row>
    <row r="785" spans="1:4" x14ac:dyDescent="0.25">
      <c r="A785" s="13">
        <f>IF(Tabla3[[#This Row],[Fare correción 2]]&gt;=1000,Tabla3[[#This Row],[Fare correción 2]]/10,Tabla3[[#This Row],[Fare correción 2]])</f>
        <v>23.45</v>
      </c>
      <c r="B785">
        <f>IF(Tabla3[[#This Row],[Fare corrección]]&gt;1000,Tabla3[[#This Row],[Fare corrección]]/1000,Tabla3[[#This Row],[Fare corrección]])</f>
        <v>23.45</v>
      </c>
      <c r="C785">
        <f>IF(ISNUMBER(Tabla3[[#This Row],[Fare]]),Tabla3[[#This Row],[Fare]],VALUE(SUBSTITUTE(Tabla3[[#This Row],[Fare]],".",",")))</f>
        <v>23.45</v>
      </c>
      <c r="D785" t="s">
        <v>2059</v>
      </c>
    </row>
    <row r="786" spans="1:4" x14ac:dyDescent="0.25">
      <c r="A786" s="13">
        <f>IF(Tabla3[[#This Row],[Fare correción 2]]&gt;=1000,Tabla3[[#This Row],[Fare correción 2]]/10,Tabla3[[#This Row],[Fare correción 2]])</f>
        <v>7.05</v>
      </c>
      <c r="B786">
        <f>IF(Tabla3[[#This Row],[Fare corrección]]&gt;1000,Tabla3[[#This Row],[Fare corrección]]/1000,Tabla3[[#This Row],[Fare corrección]])</f>
        <v>7.05</v>
      </c>
      <c r="C786">
        <f>IF(ISNUMBER(Tabla3[[#This Row],[Fare]]),Tabla3[[#This Row],[Fare]],VALUE(SUBSTITUTE(Tabla3[[#This Row],[Fare]],".",",")))</f>
        <v>7.05</v>
      </c>
      <c r="D786" t="s">
        <v>1121</v>
      </c>
    </row>
    <row r="787" spans="1:4" x14ac:dyDescent="0.25">
      <c r="A787" s="13">
        <f>IF(Tabla3[[#This Row],[Fare correción 2]]&gt;=1000,Tabla3[[#This Row],[Fare correción 2]]/10,Tabla3[[#This Row],[Fare correción 2]])</f>
        <v>7.25</v>
      </c>
      <c r="B787">
        <f>IF(Tabla3[[#This Row],[Fare corrección]]&gt;1000,Tabla3[[#This Row],[Fare corrección]]/1000,Tabla3[[#This Row],[Fare corrección]])</f>
        <v>7.25</v>
      </c>
      <c r="C787">
        <f>IF(ISNUMBER(Tabla3[[#This Row],[Fare]]),Tabla3[[#This Row],[Fare]],VALUE(SUBSTITUTE(Tabla3[[#This Row],[Fare]],".",",")))</f>
        <v>7.25</v>
      </c>
      <c r="D787" t="s">
        <v>904</v>
      </c>
    </row>
    <row r="788" spans="1:4" x14ac:dyDescent="0.25">
      <c r="A788" s="13">
        <f>IF(Tabla3[[#This Row],[Fare correción 2]]&gt;=1000,Tabla3[[#This Row],[Fare correción 2]]/10,Tabla3[[#This Row],[Fare correción 2]])</f>
        <v>74.957999999999998</v>
      </c>
      <c r="B788">
        <f>IF(Tabla3[[#This Row],[Fare corrección]]&gt;1000,Tabla3[[#This Row],[Fare corrección]]/1000,Tabla3[[#This Row],[Fare corrección]])</f>
        <v>74.957999999999998</v>
      </c>
      <c r="C788" s="1">
        <f>IF(ISNUMBER(Tabla3[[#This Row],[Fare]]),Tabla3[[#This Row],[Fare]],VALUE(SUBSTITUTE(Tabla3[[#This Row],[Fare]],".",",")))</f>
        <v>74958</v>
      </c>
      <c r="D788" s="1">
        <v>74958</v>
      </c>
    </row>
    <row r="789" spans="1:4" x14ac:dyDescent="0.25">
      <c r="A789" s="13">
        <f>IF(Tabla3[[#This Row],[Fare correción 2]]&gt;=1000,Tabla3[[#This Row],[Fare correción 2]]/10,Tabla3[[#This Row],[Fare correción 2]])</f>
        <v>29.125</v>
      </c>
      <c r="B789">
        <f>IF(Tabla3[[#This Row],[Fare corrección]]&gt;1000,Tabla3[[#This Row],[Fare corrección]]/1000,Tabla3[[#This Row],[Fare corrección]])</f>
        <v>29.125</v>
      </c>
      <c r="C789" s="1">
        <f>IF(ISNUMBER(Tabla3[[#This Row],[Fare]]),Tabla3[[#This Row],[Fare]],VALUE(SUBSTITUTE(Tabla3[[#This Row],[Fare]],".",",")))</f>
        <v>29125</v>
      </c>
      <c r="D789" s="1">
        <v>29125</v>
      </c>
    </row>
    <row r="790" spans="1:4" x14ac:dyDescent="0.25">
      <c r="A790" s="13">
        <f>IF(Tabla3[[#This Row],[Fare correción 2]]&gt;=1000,Tabla3[[#This Row],[Fare correción 2]]/10,Tabla3[[#This Row],[Fare correción 2]])</f>
        <v>20.574999999999999</v>
      </c>
      <c r="B790">
        <f>IF(Tabla3[[#This Row],[Fare corrección]]&gt;1000,Tabla3[[#This Row],[Fare corrección]]/1000,Tabla3[[#This Row],[Fare corrección]])</f>
        <v>20.574999999999999</v>
      </c>
      <c r="C790" s="1">
        <f>IF(ISNUMBER(Tabla3[[#This Row],[Fare]]),Tabla3[[#This Row],[Fare]],VALUE(SUBSTITUTE(Tabla3[[#This Row],[Fare]],".",",")))</f>
        <v>20575</v>
      </c>
      <c r="D790" s="1">
        <v>20575</v>
      </c>
    </row>
    <row r="791" spans="1:4" x14ac:dyDescent="0.25">
      <c r="A791" s="13">
        <f>IF(Tabla3[[#This Row],[Fare correción 2]]&gt;=1000,Tabla3[[#This Row],[Fare correción 2]]/10,Tabla3[[#This Row],[Fare correción 2]])</f>
        <v>79.2</v>
      </c>
      <c r="B791">
        <f>IF(Tabla3[[#This Row],[Fare corrección]]&gt;1000,Tabla3[[#This Row],[Fare corrección]]/1000,Tabla3[[#This Row],[Fare corrección]])</f>
        <v>79.2</v>
      </c>
      <c r="C791">
        <f>IF(ISNUMBER(Tabla3[[#This Row],[Fare]]),Tabla3[[#This Row],[Fare]],VALUE(SUBSTITUTE(Tabla3[[#This Row],[Fare]],".",",")))</f>
        <v>79.2</v>
      </c>
      <c r="D791" t="s">
        <v>1135</v>
      </c>
    </row>
    <row r="792" spans="1:4" x14ac:dyDescent="0.25">
      <c r="A792" s="13">
        <f>IF(Tabla3[[#This Row],[Fare correción 2]]&gt;=1000,Tabla3[[#This Row],[Fare correción 2]]/10,Tabla3[[#This Row],[Fare correción 2]])</f>
        <v>7.75</v>
      </c>
      <c r="B792">
        <f>IF(Tabla3[[#This Row],[Fare corrección]]&gt;1000,Tabla3[[#This Row],[Fare corrección]]/1000,Tabla3[[#This Row],[Fare corrección]])</f>
        <v>7.75</v>
      </c>
      <c r="C792">
        <f>IF(ISNUMBER(Tabla3[[#This Row],[Fare]]),Tabla3[[#This Row],[Fare]],VALUE(SUBSTITUTE(Tabla3[[#This Row],[Fare]],".",",")))</f>
        <v>7.75</v>
      </c>
      <c r="D792" t="s">
        <v>961</v>
      </c>
    </row>
    <row r="793" spans="1:4" x14ac:dyDescent="0.25">
      <c r="A793" s="13">
        <f>IF(Tabla3[[#This Row],[Fare correción 2]]&gt;=1000,Tabla3[[#This Row],[Fare correción 2]]/10,Tabla3[[#This Row],[Fare correción 2]])</f>
        <v>26</v>
      </c>
      <c r="B793">
        <f>IF(Tabla3[[#This Row],[Fare corrección]]&gt;1000,Tabla3[[#This Row],[Fare corrección]]/1000,Tabla3[[#This Row],[Fare corrección]])</f>
        <v>26</v>
      </c>
      <c r="C793">
        <f>IF(ISNUMBER(Tabla3[[#This Row],[Fare]]),Tabla3[[#This Row],[Fare]],VALUE(SUBSTITUTE(Tabla3[[#This Row],[Fare]],".",",")))</f>
        <v>26</v>
      </c>
      <c r="D793">
        <v>26</v>
      </c>
    </row>
    <row r="794" spans="1:4" x14ac:dyDescent="0.25">
      <c r="A794" s="13">
        <f>IF(Tabla3[[#This Row],[Fare correción 2]]&gt;=1000,Tabla3[[#This Row],[Fare correción 2]]/10,Tabla3[[#This Row],[Fare correción 2]])</f>
        <v>69.55</v>
      </c>
      <c r="B794">
        <f>IF(Tabla3[[#This Row],[Fare corrección]]&gt;1000,Tabla3[[#This Row],[Fare corrección]]/1000,Tabla3[[#This Row],[Fare corrección]])</f>
        <v>69.55</v>
      </c>
      <c r="C794">
        <f>IF(ISNUMBER(Tabla3[[#This Row],[Fare]]),Tabla3[[#This Row],[Fare]],VALUE(SUBSTITUTE(Tabla3[[#This Row],[Fare]],".",",")))</f>
        <v>69.55</v>
      </c>
      <c r="D794" t="s">
        <v>1175</v>
      </c>
    </row>
    <row r="795" spans="1:4" x14ac:dyDescent="0.25">
      <c r="A795" s="13">
        <f>IF(Tabla3[[#This Row],[Fare correción 2]]&gt;=1000,Tabla3[[#This Row],[Fare correción 2]]/10,Tabla3[[#This Row],[Fare correción 2]])</f>
        <v>306.95800000000003</v>
      </c>
      <c r="B795">
        <f>IF(Tabla3[[#This Row],[Fare corrección]]&gt;1000,Tabla3[[#This Row],[Fare corrección]]/1000,Tabla3[[#This Row],[Fare corrección]])</f>
        <v>306.95800000000003</v>
      </c>
      <c r="C795" s="1">
        <f>IF(ISNUMBER(Tabla3[[#This Row],[Fare]]),Tabla3[[#This Row],[Fare]],VALUE(SUBSTITUTE(Tabla3[[#This Row],[Fare]],".",",")))</f>
        <v>306958</v>
      </c>
      <c r="D795" s="1">
        <v>306958</v>
      </c>
    </row>
    <row r="796" spans="1:4" x14ac:dyDescent="0.25">
      <c r="A796" s="13">
        <f>IF(Tabla3[[#This Row],[Fare correción 2]]&gt;=1000,Tabla3[[#This Row],[Fare correción 2]]/10,Tabla3[[#This Row],[Fare correción 2]])</f>
        <v>78.957999999999998</v>
      </c>
      <c r="B796">
        <f>IF(Tabla3[[#This Row],[Fare corrección]]&gt;1000,Tabla3[[#This Row],[Fare corrección]]/1000,Tabla3[[#This Row],[Fare corrección]])</f>
        <v>78.957999999999998</v>
      </c>
      <c r="C796" s="1">
        <f>IF(ISNUMBER(Tabla3[[#This Row],[Fare]]),Tabla3[[#This Row],[Fare]],VALUE(SUBSTITUTE(Tabla3[[#This Row],[Fare]],".",",")))</f>
        <v>78958</v>
      </c>
      <c r="D796" s="1">
        <v>78958</v>
      </c>
    </row>
    <row r="797" spans="1:4" x14ac:dyDescent="0.25">
      <c r="A797" s="13">
        <f>IF(Tabla3[[#This Row],[Fare correción 2]]&gt;=1000,Tabla3[[#This Row],[Fare correción 2]]/10,Tabla3[[#This Row],[Fare correción 2]])</f>
        <v>13</v>
      </c>
      <c r="B797">
        <f>IF(Tabla3[[#This Row],[Fare corrección]]&gt;1000,Tabla3[[#This Row],[Fare corrección]]/1000,Tabla3[[#This Row],[Fare corrección]])</f>
        <v>13</v>
      </c>
      <c r="C797">
        <f>IF(ISNUMBER(Tabla3[[#This Row],[Fare]]),Tabla3[[#This Row],[Fare]],VALUE(SUBSTITUTE(Tabla3[[#This Row],[Fare]],".",",")))</f>
        <v>13</v>
      </c>
      <c r="D797">
        <v>13</v>
      </c>
    </row>
    <row r="798" spans="1:4" x14ac:dyDescent="0.25">
      <c r="A798" s="13">
        <f>IF(Tabla3[[#This Row],[Fare correción 2]]&gt;=1000,Tabla3[[#This Row],[Fare correción 2]]/10,Tabla3[[#This Row],[Fare correción 2]])</f>
        <v>259.29199999999997</v>
      </c>
      <c r="B798">
        <f>IF(Tabla3[[#This Row],[Fare corrección]]&gt;1000,Tabla3[[#This Row],[Fare corrección]]/1000,Tabla3[[#This Row],[Fare corrección]])</f>
        <v>259.29199999999997</v>
      </c>
      <c r="C798" s="1">
        <f>IF(ISNUMBER(Tabla3[[#This Row],[Fare]]),Tabla3[[#This Row],[Fare]],VALUE(SUBSTITUTE(Tabla3[[#This Row],[Fare]],".",",")))</f>
        <v>259292</v>
      </c>
      <c r="D798" s="1">
        <v>259292</v>
      </c>
    </row>
    <row r="799" spans="1:4" x14ac:dyDescent="0.25">
      <c r="A799" s="13">
        <f>IF(Tabla3[[#This Row],[Fare correción 2]]&gt;=1000,Tabla3[[#This Row],[Fare correción 2]]/10,Tabla3[[#This Row],[Fare correción 2]])</f>
        <v>86.832999999999998</v>
      </c>
      <c r="B799">
        <f>IF(Tabla3[[#This Row],[Fare corrección]]&gt;1000,Tabla3[[#This Row],[Fare corrección]]/1000,Tabla3[[#This Row],[Fare corrección]])</f>
        <v>86.832999999999998</v>
      </c>
      <c r="C799" s="1">
        <f>IF(ISNUMBER(Tabla3[[#This Row],[Fare]]),Tabla3[[#This Row],[Fare]],VALUE(SUBSTITUTE(Tabla3[[#This Row],[Fare]],".",",")))</f>
        <v>86833</v>
      </c>
      <c r="D799" s="1">
        <v>86833</v>
      </c>
    </row>
    <row r="800" spans="1:4" x14ac:dyDescent="0.25">
      <c r="A800" s="13">
        <f>IF(Tabla3[[#This Row],[Fare correción 2]]&gt;=1000,Tabla3[[#This Row],[Fare correción 2]]/10,Tabla3[[#This Row],[Fare correción 2]])</f>
        <v>72.292000000000002</v>
      </c>
      <c r="B800">
        <f>IF(Tabla3[[#This Row],[Fare corrección]]&gt;1000,Tabla3[[#This Row],[Fare corrección]]/1000,Tabla3[[#This Row],[Fare corrección]])</f>
        <v>72.292000000000002</v>
      </c>
      <c r="C800" s="1">
        <f>IF(ISNUMBER(Tabla3[[#This Row],[Fare]]),Tabla3[[#This Row],[Fare]],VALUE(SUBSTITUTE(Tabla3[[#This Row],[Fare]],".",",")))</f>
        <v>72292</v>
      </c>
      <c r="D800" s="1">
        <v>72292</v>
      </c>
    </row>
    <row r="801" spans="1:4" x14ac:dyDescent="0.25">
      <c r="A801" s="13">
        <f>IF(Tabla3[[#This Row],[Fare correción 2]]&gt;=1000,Tabla3[[#This Row],[Fare correción 2]]/10,Tabla3[[#This Row],[Fare correción 2]])</f>
        <v>24.15</v>
      </c>
      <c r="B801">
        <f>IF(Tabla3[[#This Row],[Fare corrección]]&gt;1000,Tabla3[[#This Row],[Fare corrección]]/1000,Tabla3[[#This Row],[Fare corrección]])</f>
        <v>24.15</v>
      </c>
      <c r="C801">
        <f>IF(ISNUMBER(Tabla3[[#This Row],[Fare]]),Tabla3[[#This Row],[Fare]],VALUE(SUBSTITUTE(Tabla3[[#This Row],[Fare]],".",",")))</f>
        <v>24.15</v>
      </c>
      <c r="D801" t="s">
        <v>1086</v>
      </c>
    </row>
    <row r="802" spans="1:4" x14ac:dyDescent="0.25">
      <c r="A802" s="13">
        <f>IF(Tabla3[[#This Row],[Fare correción 2]]&gt;=1000,Tabla3[[#This Row],[Fare correción 2]]/10,Tabla3[[#This Row],[Fare correción 2]])</f>
        <v>13</v>
      </c>
      <c r="B802">
        <f>IF(Tabla3[[#This Row],[Fare corrección]]&gt;1000,Tabla3[[#This Row],[Fare corrección]]/1000,Tabla3[[#This Row],[Fare corrección]])</f>
        <v>13</v>
      </c>
      <c r="C802">
        <f>IF(ISNUMBER(Tabla3[[#This Row],[Fare]]),Tabla3[[#This Row],[Fare]],VALUE(SUBSTITUTE(Tabla3[[#This Row],[Fare]],".",",")))</f>
        <v>13</v>
      </c>
      <c r="D802">
        <v>13</v>
      </c>
    </row>
    <row r="803" spans="1:4" x14ac:dyDescent="0.25">
      <c r="A803" s="13">
        <f>IF(Tabla3[[#This Row],[Fare correción 2]]&gt;=1000,Tabla3[[#This Row],[Fare correción 2]]/10,Tabla3[[#This Row],[Fare correción 2]])</f>
        <v>26.25</v>
      </c>
      <c r="B803">
        <f>IF(Tabla3[[#This Row],[Fare corrección]]&gt;1000,Tabla3[[#This Row],[Fare corrección]]/1000,Tabla3[[#This Row],[Fare corrección]])</f>
        <v>26.25</v>
      </c>
      <c r="C803">
        <f>IF(ISNUMBER(Tabla3[[#This Row],[Fare]]),Tabla3[[#This Row],[Fare]],VALUE(SUBSTITUTE(Tabla3[[#This Row],[Fare]],".",",")))</f>
        <v>26.25</v>
      </c>
      <c r="D803" t="s">
        <v>1295</v>
      </c>
    </row>
    <row r="804" spans="1:4" x14ac:dyDescent="0.25">
      <c r="A804" s="13">
        <f>IF(Tabla3[[#This Row],[Fare correción 2]]&gt;=1000,Tabla3[[#This Row],[Fare correción 2]]/10,Tabla3[[#This Row],[Fare correción 2]])</f>
        <v>120</v>
      </c>
      <c r="B804">
        <f>IF(Tabla3[[#This Row],[Fare corrección]]&gt;1000,Tabla3[[#This Row],[Fare corrección]]/1000,Tabla3[[#This Row],[Fare corrección]])</f>
        <v>120</v>
      </c>
      <c r="C804">
        <f>IF(ISNUMBER(Tabla3[[#This Row],[Fare]]),Tabla3[[#This Row],[Fare]],VALUE(SUBSTITUTE(Tabla3[[#This Row],[Fare]],".",",")))</f>
        <v>120</v>
      </c>
      <c r="D804">
        <v>120</v>
      </c>
    </row>
    <row r="805" spans="1:4" x14ac:dyDescent="0.25">
      <c r="A805" s="13">
        <f>IF(Tabla3[[#This Row],[Fare correción 2]]&gt;=1000,Tabla3[[#This Row],[Fare correción 2]]/10,Tabla3[[#This Row],[Fare correción 2]])</f>
        <v>85.167000000000002</v>
      </c>
      <c r="B805">
        <f>IF(Tabla3[[#This Row],[Fare corrección]]&gt;1000,Tabla3[[#This Row],[Fare corrección]]/1000,Tabla3[[#This Row],[Fare corrección]])</f>
        <v>85.167000000000002</v>
      </c>
      <c r="C805" s="1">
        <f>IF(ISNUMBER(Tabla3[[#This Row],[Fare]]),Tabla3[[#This Row],[Fare]],VALUE(SUBSTITUTE(Tabla3[[#This Row],[Fare]],".",",")))</f>
        <v>85167</v>
      </c>
      <c r="D805" s="1">
        <v>85167</v>
      </c>
    </row>
    <row r="806" spans="1:4" x14ac:dyDescent="0.25">
      <c r="A806" s="13">
        <f>IF(Tabla3[[#This Row],[Fare correción 2]]&gt;=1000,Tabla3[[#This Row],[Fare correción 2]]/10,Tabla3[[#This Row],[Fare correción 2]])</f>
        <v>6.9749999999999996</v>
      </c>
      <c r="B806">
        <f>IF(Tabla3[[#This Row],[Fare corrección]]&gt;1000,Tabla3[[#This Row],[Fare corrección]]/1000,Tabla3[[#This Row],[Fare corrección]])</f>
        <v>6.9749999999999996</v>
      </c>
      <c r="C806" s="1">
        <f>IF(ISNUMBER(Tabla3[[#This Row],[Fare]]),Tabla3[[#This Row],[Fare]],VALUE(SUBSTITUTE(Tabla3[[#This Row],[Fare]],".",",")))</f>
        <v>6975</v>
      </c>
      <c r="D806" s="1">
        <v>6975</v>
      </c>
    </row>
    <row r="807" spans="1:4" x14ac:dyDescent="0.25">
      <c r="A807" s="13">
        <f>IF(Tabla3[[#This Row],[Fare correción 2]]&gt;=1000,Tabla3[[#This Row],[Fare correción 2]]/10,Tabla3[[#This Row],[Fare correción 2]])</f>
        <v>7.7750000000000004</v>
      </c>
      <c r="B807">
        <f>IF(Tabla3[[#This Row],[Fare corrección]]&gt;1000,Tabla3[[#This Row],[Fare corrección]]/1000,Tabla3[[#This Row],[Fare corrección]])</f>
        <v>7.7750000000000004</v>
      </c>
      <c r="C807" s="1">
        <f>IF(ISNUMBER(Tabla3[[#This Row],[Fare]]),Tabla3[[#This Row],[Fare]],VALUE(SUBSTITUTE(Tabla3[[#This Row],[Fare]],".",",")))</f>
        <v>7775</v>
      </c>
      <c r="D807" s="1">
        <v>7775</v>
      </c>
    </row>
    <row r="808" spans="1:4" x14ac:dyDescent="0.25">
      <c r="A808" s="13">
        <f>IF(Tabla3[[#This Row],[Fare correción 2]]&gt;=1000,Tabla3[[#This Row],[Fare correción 2]]/10,Tabla3[[#This Row],[Fare correción 2]])</f>
        <v>0</v>
      </c>
      <c r="B808">
        <f>IF(Tabla3[[#This Row],[Fare corrección]]&gt;1000,Tabla3[[#This Row],[Fare corrección]]/1000,Tabla3[[#This Row],[Fare corrección]])</f>
        <v>0</v>
      </c>
      <c r="C808">
        <f>IF(ISNUMBER(Tabla3[[#This Row],[Fare]]),Tabla3[[#This Row],[Fare]],VALUE(SUBSTITUTE(Tabla3[[#This Row],[Fare]],".",",")))</f>
        <v>0</v>
      </c>
      <c r="D808">
        <v>0</v>
      </c>
    </row>
    <row r="809" spans="1:4" x14ac:dyDescent="0.25">
      <c r="A809" s="13">
        <f>IF(Tabla3[[#This Row],[Fare correción 2]]&gt;=1000,Tabla3[[#This Row],[Fare correción 2]]/10,Tabla3[[#This Row],[Fare correción 2]])</f>
        <v>7.7750000000000004</v>
      </c>
      <c r="B809">
        <f>IF(Tabla3[[#This Row],[Fare corrección]]&gt;1000,Tabla3[[#This Row],[Fare corrección]]/1000,Tabla3[[#This Row],[Fare corrección]])</f>
        <v>7.7750000000000004</v>
      </c>
      <c r="C809" s="1">
        <f>IF(ISNUMBER(Tabla3[[#This Row],[Fare]]),Tabla3[[#This Row],[Fare]],VALUE(SUBSTITUTE(Tabla3[[#This Row],[Fare]],".",",")))</f>
        <v>7775</v>
      </c>
      <c r="D809" s="1">
        <v>7775</v>
      </c>
    </row>
    <row r="810" spans="1:4" x14ac:dyDescent="0.25">
      <c r="A810" s="13">
        <f>IF(Tabla3[[#This Row],[Fare correción 2]]&gt;=1000,Tabla3[[#This Row],[Fare correción 2]]/10,Tabla3[[#This Row],[Fare correción 2]])</f>
        <v>13</v>
      </c>
      <c r="B810">
        <f>IF(Tabla3[[#This Row],[Fare corrección]]&gt;1000,Tabla3[[#This Row],[Fare corrección]]/1000,Tabla3[[#This Row],[Fare corrección]])</f>
        <v>13</v>
      </c>
      <c r="C810">
        <f>IF(ISNUMBER(Tabla3[[#This Row],[Fare]]),Tabla3[[#This Row],[Fare]],VALUE(SUBSTITUTE(Tabla3[[#This Row],[Fare]],".",",")))</f>
        <v>13</v>
      </c>
      <c r="D810">
        <v>13</v>
      </c>
    </row>
    <row r="811" spans="1:4" x14ac:dyDescent="0.25">
      <c r="A811" s="13">
        <f>IF(Tabla3[[#This Row],[Fare correción 2]]&gt;=1000,Tabla3[[#This Row],[Fare correción 2]]/10,Tabla3[[#This Row],[Fare correción 2]])</f>
        <v>53.1</v>
      </c>
      <c r="B811">
        <f>IF(Tabla3[[#This Row],[Fare corrección]]&gt;1000,Tabla3[[#This Row],[Fare corrección]]/1000,Tabla3[[#This Row],[Fare corrección]])</f>
        <v>53.1</v>
      </c>
      <c r="C811">
        <f>IF(ISNUMBER(Tabla3[[#This Row],[Fare]]),Tabla3[[#This Row],[Fare]],VALUE(SUBSTITUTE(Tabla3[[#This Row],[Fare]],".",",")))</f>
        <v>53.1</v>
      </c>
      <c r="D811" t="s">
        <v>914</v>
      </c>
    </row>
    <row r="812" spans="1:4" x14ac:dyDescent="0.25">
      <c r="A812" s="13">
        <f>IF(Tabla3[[#This Row],[Fare correción 2]]&gt;=1000,Tabla3[[#This Row],[Fare correción 2]]/10,Tabla3[[#This Row],[Fare correción 2]])</f>
        <v>78.875</v>
      </c>
      <c r="B812">
        <f>IF(Tabla3[[#This Row],[Fare corrección]]&gt;1000,Tabla3[[#This Row],[Fare corrección]]/1000,Tabla3[[#This Row],[Fare corrección]])</f>
        <v>78.875</v>
      </c>
      <c r="C812" s="1">
        <f>IF(ISNUMBER(Tabla3[[#This Row],[Fare]]),Tabla3[[#This Row],[Fare]],VALUE(SUBSTITUTE(Tabla3[[#This Row],[Fare]],".",",")))</f>
        <v>78875</v>
      </c>
      <c r="D812" s="1">
        <v>78875</v>
      </c>
    </row>
    <row r="813" spans="1:4" x14ac:dyDescent="0.25">
      <c r="A813" s="13">
        <f>IF(Tabla3[[#This Row],[Fare correción 2]]&gt;=1000,Tabla3[[#This Row],[Fare correción 2]]/10,Tabla3[[#This Row],[Fare correción 2]])</f>
        <v>24.15</v>
      </c>
      <c r="B813">
        <f>IF(Tabla3[[#This Row],[Fare corrección]]&gt;1000,Tabla3[[#This Row],[Fare corrección]]/1000,Tabla3[[#This Row],[Fare corrección]])</f>
        <v>24.15</v>
      </c>
      <c r="C813">
        <f>IF(ISNUMBER(Tabla3[[#This Row],[Fare]]),Tabla3[[#This Row],[Fare]],VALUE(SUBSTITUTE(Tabla3[[#This Row],[Fare]],".",",")))</f>
        <v>24.15</v>
      </c>
      <c r="D813" t="s">
        <v>1086</v>
      </c>
    </row>
    <row r="814" spans="1:4" x14ac:dyDescent="0.25">
      <c r="A814" s="13">
        <f>IF(Tabla3[[#This Row],[Fare correción 2]]&gt;=1000,Tabla3[[#This Row],[Fare correción 2]]/10,Tabla3[[#This Row],[Fare correción 2]])</f>
        <v>10.5</v>
      </c>
      <c r="B814">
        <f>IF(Tabla3[[#This Row],[Fare corrección]]&gt;1000,Tabla3[[#This Row],[Fare corrección]]/1000,Tabla3[[#This Row],[Fare corrección]])</f>
        <v>10.5</v>
      </c>
      <c r="C814">
        <f>IF(ISNUMBER(Tabla3[[#This Row],[Fare]]),Tabla3[[#This Row],[Fare]],VALUE(SUBSTITUTE(Tabla3[[#This Row],[Fare]],".",",")))</f>
        <v>10.5</v>
      </c>
      <c r="D814" t="s">
        <v>964</v>
      </c>
    </row>
    <row r="815" spans="1:4" x14ac:dyDescent="0.25">
      <c r="A815" s="13">
        <f>IF(Tabla3[[#This Row],[Fare correción 2]]&gt;=1000,Tabla3[[#This Row],[Fare correción 2]]/10,Tabla3[[#This Row],[Fare correción 2]])</f>
        <v>31.274999999999999</v>
      </c>
      <c r="B815">
        <f>IF(Tabla3[[#This Row],[Fare corrección]]&gt;1000,Tabla3[[#This Row],[Fare corrección]]/1000,Tabla3[[#This Row],[Fare corrección]])</f>
        <v>31.274999999999999</v>
      </c>
      <c r="C815" s="1">
        <f>IF(ISNUMBER(Tabla3[[#This Row],[Fare]]),Tabla3[[#This Row],[Fare]],VALUE(SUBSTITUTE(Tabla3[[#This Row],[Fare]],".",",")))</f>
        <v>31275</v>
      </c>
      <c r="D815" s="1">
        <v>31275</v>
      </c>
    </row>
    <row r="816" spans="1:4" x14ac:dyDescent="0.25">
      <c r="A816" s="13">
        <f>IF(Tabla3[[#This Row],[Fare correción 2]]&gt;=1000,Tabla3[[#This Row],[Fare correción 2]]/10,Tabla3[[#This Row],[Fare correción 2]])</f>
        <v>8.0500000000000007</v>
      </c>
      <c r="B816">
        <f>IF(Tabla3[[#This Row],[Fare corrección]]&gt;1000,Tabla3[[#This Row],[Fare corrección]]/1000,Tabla3[[#This Row],[Fare corrección]])</f>
        <v>8.0500000000000007</v>
      </c>
      <c r="C816">
        <f>IF(ISNUMBER(Tabla3[[#This Row],[Fare]]),Tabla3[[#This Row],[Fare]],VALUE(SUBSTITUTE(Tabla3[[#This Row],[Fare]],".",",")))</f>
        <v>8.0500000000000007</v>
      </c>
      <c r="D816" t="s">
        <v>917</v>
      </c>
    </row>
    <row r="817" spans="1:4" x14ac:dyDescent="0.25">
      <c r="A817" s="13">
        <f>IF(Tabla3[[#This Row],[Fare correción 2]]&gt;=1000,Tabla3[[#This Row],[Fare correción 2]]/10,Tabla3[[#This Row],[Fare correción 2]])</f>
        <v>0</v>
      </c>
      <c r="B817">
        <f>IF(Tabla3[[#This Row],[Fare corrección]]&gt;1000,Tabla3[[#This Row],[Fare corrección]]/1000,Tabla3[[#This Row],[Fare corrección]])</f>
        <v>0</v>
      </c>
      <c r="C817">
        <f>IF(ISNUMBER(Tabla3[[#This Row],[Fare]]),Tabla3[[#This Row],[Fare]],VALUE(SUBSTITUTE(Tabla3[[#This Row],[Fare]],".",",")))</f>
        <v>0</v>
      </c>
      <c r="D817">
        <v>0</v>
      </c>
    </row>
    <row r="818" spans="1:4" x14ac:dyDescent="0.25">
      <c r="A818" s="13">
        <f>IF(Tabla3[[#This Row],[Fare correción 2]]&gt;=1000,Tabla3[[#This Row],[Fare correción 2]]/10,Tabla3[[#This Row],[Fare correción 2]])</f>
        <v>7.9249999999999998</v>
      </c>
      <c r="B818">
        <f>IF(Tabla3[[#This Row],[Fare corrección]]&gt;1000,Tabla3[[#This Row],[Fare corrección]]/1000,Tabla3[[#This Row],[Fare corrección]])</f>
        <v>7.9249999999999998</v>
      </c>
      <c r="C818" s="1">
        <f>IF(ISNUMBER(Tabla3[[#This Row],[Fare]]),Tabla3[[#This Row],[Fare]],VALUE(SUBSTITUTE(Tabla3[[#This Row],[Fare]],".",",")))</f>
        <v>7925</v>
      </c>
      <c r="D818" s="1">
        <v>7925</v>
      </c>
    </row>
    <row r="819" spans="1:4" x14ac:dyDescent="0.25">
      <c r="A819" s="13">
        <f>IF(Tabla3[[#This Row],[Fare correción 2]]&gt;=1000,Tabla3[[#This Row],[Fare correción 2]]/10,Tabla3[[#This Row],[Fare correción 2]])</f>
        <v>370.04199999999997</v>
      </c>
      <c r="B819">
        <f>IF(Tabla3[[#This Row],[Fare corrección]]&gt;1000,Tabla3[[#This Row],[Fare corrección]]/1000,Tabla3[[#This Row],[Fare corrección]])</f>
        <v>370.04199999999997</v>
      </c>
      <c r="C819" s="1">
        <f>IF(ISNUMBER(Tabla3[[#This Row],[Fare]]),Tabla3[[#This Row],[Fare]],VALUE(SUBSTITUTE(Tabla3[[#This Row],[Fare]],".",",")))</f>
        <v>370042</v>
      </c>
      <c r="D819" s="1">
        <v>370042</v>
      </c>
    </row>
    <row r="820" spans="1:4" x14ac:dyDescent="0.25">
      <c r="A820" s="13">
        <f>IF(Tabla3[[#This Row],[Fare correción 2]]&gt;=1000,Tabla3[[#This Row],[Fare correción 2]]/10,Tabla3[[#This Row],[Fare correción 2]])</f>
        <v>6.45</v>
      </c>
      <c r="B820">
        <f>IF(Tabla3[[#This Row],[Fare corrección]]&gt;1000,Tabla3[[#This Row],[Fare corrección]]/1000,Tabla3[[#This Row],[Fare corrección]])</f>
        <v>6.45</v>
      </c>
      <c r="C820">
        <f>IF(ISNUMBER(Tabla3[[#This Row],[Fare]]),Tabla3[[#This Row],[Fare]],VALUE(SUBSTITUTE(Tabla3[[#This Row],[Fare]],".",",")))</f>
        <v>6.45</v>
      </c>
      <c r="D820" t="s">
        <v>2105</v>
      </c>
    </row>
    <row r="821" spans="1:4" x14ac:dyDescent="0.25">
      <c r="A821" s="13">
        <f>IF(Tabla3[[#This Row],[Fare correción 2]]&gt;=1000,Tabla3[[#This Row],[Fare correción 2]]/10,Tabla3[[#This Row],[Fare correción 2]])</f>
        <v>27.9</v>
      </c>
      <c r="B821">
        <f>IF(Tabla3[[#This Row],[Fare corrección]]&gt;1000,Tabla3[[#This Row],[Fare corrección]]/1000,Tabla3[[#This Row],[Fare corrección]])</f>
        <v>27.9</v>
      </c>
      <c r="C821">
        <f>IF(ISNUMBER(Tabla3[[#This Row],[Fare]]),Tabla3[[#This Row],[Fare]],VALUE(SUBSTITUTE(Tabla3[[#This Row],[Fare]],".",",")))</f>
        <v>27.9</v>
      </c>
      <c r="D821" t="s">
        <v>1015</v>
      </c>
    </row>
    <row r="822" spans="1:4" x14ac:dyDescent="0.25">
      <c r="A822" s="13">
        <f>IF(Tabla3[[#This Row],[Fare correción 2]]&gt;=1000,Tabla3[[#This Row],[Fare correción 2]]/10,Tabla3[[#This Row],[Fare correción 2]])</f>
        <v>93.5</v>
      </c>
      <c r="B822">
        <f>IF(Tabla3[[#This Row],[Fare corrección]]&gt;1000,Tabla3[[#This Row],[Fare corrección]]/1000,Tabla3[[#This Row],[Fare corrección]])</f>
        <v>93.5</v>
      </c>
      <c r="C822">
        <f>IF(ISNUMBER(Tabla3[[#This Row],[Fare]]),Tabla3[[#This Row],[Fare]],VALUE(SUBSTITUTE(Tabla3[[#This Row],[Fare]],".",",")))</f>
        <v>93.5</v>
      </c>
      <c r="D822" t="s">
        <v>1712</v>
      </c>
    </row>
    <row r="823" spans="1:4" x14ac:dyDescent="0.25">
      <c r="A823" s="13">
        <f>IF(Tabla3[[#This Row],[Fare correción 2]]&gt;=1000,Tabla3[[#This Row],[Fare correción 2]]/10,Tabla3[[#This Row],[Fare correción 2]])</f>
        <v>86.625</v>
      </c>
      <c r="B823">
        <f>IF(Tabla3[[#This Row],[Fare corrección]]&gt;1000,Tabla3[[#This Row],[Fare corrección]]/1000,Tabla3[[#This Row],[Fare corrección]])</f>
        <v>86.625</v>
      </c>
      <c r="C823" s="1">
        <f>IF(ISNUMBER(Tabla3[[#This Row],[Fare]]),Tabla3[[#This Row],[Fare]],VALUE(SUBSTITUTE(Tabla3[[#This Row],[Fare]],".",",")))</f>
        <v>86625</v>
      </c>
      <c r="D823" s="1">
        <v>86625</v>
      </c>
    </row>
    <row r="824" spans="1:4" x14ac:dyDescent="0.25">
      <c r="A824" s="13">
        <f>IF(Tabla3[[#This Row],[Fare correción 2]]&gt;=1000,Tabla3[[#This Row],[Fare correción 2]]/10,Tabla3[[#This Row],[Fare correción 2]])</f>
        <v>0</v>
      </c>
      <c r="B824">
        <f>IF(Tabla3[[#This Row],[Fare corrección]]&gt;1000,Tabla3[[#This Row],[Fare corrección]]/1000,Tabla3[[#This Row],[Fare corrección]])</f>
        <v>0</v>
      </c>
      <c r="C824">
        <f>IF(ISNUMBER(Tabla3[[#This Row],[Fare]]),Tabla3[[#This Row],[Fare]],VALUE(SUBSTITUTE(Tabla3[[#This Row],[Fare]],".",",")))</f>
        <v>0</v>
      </c>
      <c r="D824">
        <v>0</v>
      </c>
    </row>
    <row r="825" spans="1:4" x14ac:dyDescent="0.25">
      <c r="A825" s="13">
        <f>IF(Tabla3[[#This Row],[Fare correción 2]]&gt;=1000,Tabla3[[#This Row],[Fare correción 2]]/10,Tabla3[[#This Row],[Fare correción 2]])</f>
        <v>12.475</v>
      </c>
      <c r="B825">
        <f>IF(Tabla3[[#This Row],[Fare corrección]]&gt;1000,Tabla3[[#This Row],[Fare corrección]]/1000,Tabla3[[#This Row],[Fare corrección]])</f>
        <v>12.475</v>
      </c>
      <c r="C825" s="1">
        <f>IF(ISNUMBER(Tabla3[[#This Row],[Fare]]),Tabla3[[#This Row],[Fare]],VALUE(SUBSTITUTE(Tabla3[[#This Row],[Fare]],".",",")))</f>
        <v>12475</v>
      </c>
      <c r="D825" s="1">
        <v>12475</v>
      </c>
    </row>
    <row r="826" spans="1:4" x14ac:dyDescent="0.25">
      <c r="A826" s="13">
        <f>IF(Tabla3[[#This Row],[Fare correción 2]]&gt;=1000,Tabla3[[#This Row],[Fare correción 2]]/10,Tabla3[[#This Row],[Fare correción 2]])</f>
        <v>396.875</v>
      </c>
      <c r="B826">
        <f>IF(Tabla3[[#This Row],[Fare corrección]]&gt;1000,Tabla3[[#This Row],[Fare corrección]]/1000,Tabla3[[#This Row],[Fare corrección]])</f>
        <v>396.875</v>
      </c>
      <c r="C826" s="1">
        <f>IF(ISNUMBER(Tabla3[[#This Row],[Fare]]),Tabla3[[#This Row],[Fare]],VALUE(SUBSTITUTE(Tabla3[[#This Row],[Fare]],".",",")))</f>
        <v>396875</v>
      </c>
      <c r="D826" s="1">
        <v>396875</v>
      </c>
    </row>
    <row r="827" spans="1:4" x14ac:dyDescent="0.25">
      <c r="A827" s="13">
        <f>IF(Tabla3[[#This Row],[Fare correción 2]]&gt;=1000,Tabla3[[#This Row],[Fare correción 2]]/10,Tabla3[[#This Row],[Fare correción 2]])</f>
        <v>6.95</v>
      </c>
      <c r="B827">
        <f>IF(Tabla3[[#This Row],[Fare corrección]]&gt;1000,Tabla3[[#This Row],[Fare corrección]]/1000,Tabla3[[#This Row],[Fare corrección]])</f>
        <v>6.95</v>
      </c>
      <c r="C827">
        <f>IF(ISNUMBER(Tabla3[[#This Row],[Fare]]),Tabla3[[#This Row],[Fare]],VALUE(SUBSTITUTE(Tabla3[[#This Row],[Fare]],".",",")))</f>
        <v>6.95</v>
      </c>
      <c r="D827" t="s">
        <v>2114</v>
      </c>
    </row>
    <row r="828" spans="1:4" x14ac:dyDescent="0.25">
      <c r="A828" s="13">
        <f>IF(Tabla3[[#This Row],[Fare correción 2]]&gt;=1000,Tabla3[[#This Row],[Fare correción 2]]/10,Tabla3[[#This Row],[Fare correción 2]])</f>
        <v>564.95799999999997</v>
      </c>
      <c r="B828">
        <f>IF(Tabla3[[#This Row],[Fare corrección]]&gt;1000,Tabla3[[#This Row],[Fare corrección]]/1000,Tabla3[[#This Row],[Fare corrección]])</f>
        <v>564.95799999999997</v>
      </c>
      <c r="C828" s="1">
        <f>IF(ISNUMBER(Tabla3[[#This Row],[Fare]]),Tabla3[[#This Row],[Fare]],VALUE(SUBSTITUTE(Tabla3[[#This Row],[Fare]],".",",")))</f>
        <v>564958</v>
      </c>
      <c r="D828" s="1">
        <v>564958</v>
      </c>
    </row>
    <row r="829" spans="1:4" x14ac:dyDescent="0.25">
      <c r="A829" s="13">
        <f>IF(Tabla3[[#This Row],[Fare correción 2]]&gt;=1000,Tabla3[[#This Row],[Fare correción 2]]/10,Tabla3[[#This Row],[Fare correción 2]])</f>
        <v>370.04199999999997</v>
      </c>
      <c r="B829">
        <f>IF(Tabla3[[#This Row],[Fare corrección]]&gt;1000,Tabla3[[#This Row],[Fare corrección]]/1000,Tabla3[[#This Row],[Fare corrección]])</f>
        <v>370.04199999999997</v>
      </c>
      <c r="C829" s="1">
        <f>IF(ISNUMBER(Tabla3[[#This Row],[Fare]]),Tabla3[[#This Row],[Fare]],VALUE(SUBSTITUTE(Tabla3[[#This Row],[Fare]],".",",")))</f>
        <v>370042</v>
      </c>
      <c r="D829" s="1">
        <v>370042</v>
      </c>
    </row>
    <row r="830" spans="1:4" x14ac:dyDescent="0.25">
      <c r="A830" s="13">
        <f>IF(Tabla3[[#This Row],[Fare correción 2]]&gt;=1000,Tabla3[[#This Row],[Fare correción 2]]/10,Tabla3[[#This Row],[Fare correción 2]])</f>
        <v>7.75</v>
      </c>
      <c r="B830">
        <f>IF(Tabla3[[#This Row],[Fare corrección]]&gt;1000,Tabla3[[#This Row],[Fare corrección]]/1000,Tabla3[[#This Row],[Fare corrección]])</f>
        <v>7.75</v>
      </c>
      <c r="C830">
        <f>IF(ISNUMBER(Tabla3[[#This Row],[Fare]]),Tabla3[[#This Row],[Fare]],VALUE(SUBSTITUTE(Tabla3[[#This Row],[Fare]],".",",")))</f>
        <v>7.75</v>
      </c>
      <c r="D830" t="s">
        <v>961</v>
      </c>
    </row>
    <row r="831" spans="1:4" x14ac:dyDescent="0.25">
      <c r="A831" s="13">
        <f>IF(Tabla3[[#This Row],[Fare correción 2]]&gt;=1000,Tabla3[[#This Row],[Fare correción 2]]/10,Tabla3[[#This Row],[Fare correción 2]])</f>
        <v>80</v>
      </c>
      <c r="B831">
        <f>IF(Tabla3[[#This Row],[Fare corrección]]&gt;1000,Tabla3[[#This Row],[Fare corrección]]/1000,Tabla3[[#This Row],[Fare corrección]])</f>
        <v>80</v>
      </c>
      <c r="C831">
        <f>IF(ISNUMBER(Tabla3[[#This Row],[Fare]]),Tabla3[[#This Row],[Fare]],VALUE(SUBSTITUTE(Tabla3[[#This Row],[Fare]],".",",")))</f>
        <v>80</v>
      </c>
      <c r="D831">
        <v>80</v>
      </c>
    </row>
    <row r="832" spans="1:4" x14ac:dyDescent="0.25">
      <c r="A832" s="13">
        <f>IF(Tabla3[[#This Row],[Fare correción 2]]&gt;=1000,Tabla3[[#This Row],[Fare correción 2]]/10,Tabla3[[#This Row],[Fare correción 2]])</f>
        <v>144.542</v>
      </c>
      <c r="B832">
        <f>IF(Tabla3[[#This Row],[Fare corrección]]&gt;1000,Tabla3[[#This Row],[Fare corrección]]/1000,Tabla3[[#This Row],[Fare corrección]])</f>
        <v>144.542</v>
      </c>
      <c r="C832" s="1">
        <f>IF(ISNUMBER(Tabla3[[#This Row],[Fare]]),Tabla3[[#This Row],[Fare]],VALUE(SUBSTITUTE(Tabla3[[#This Row],[Fare]],".",",")))</f>
        <v>144542</v>
      </c>
      <c r="D832" s="1">
        <v>144542</v>
      </c>
    </row>
    <row r="833" spans="1:4" x14ac:dyDescent="0.25">
      <c r="A833" s="13">
        <f>IF(Tabla3[[#This Row],[Fare correción 2]]&gt;=1000,Tabla3[[#This Row],[Fare correción 2]]/10,Tabla3[[#This Row],[Fare correción 2]])</f>
        <v>18.75</v>
      </c>
      <c r="B833">
        <f>IF(Tabla3[[#This Row],[Fare corrección]]&gt;1000,Tabla3[[#This Row],[Fare corrección]]/1000,Tabla3[[#This Row],[Fare corrección]])</f>
        <v>18.75</v>
      </c>
      <c r="C833">
        <f>IF(ISNUMBER(Tabla3[[#This Row],[Fare]]),Tabla3[[#This Row],[Fare]],VALUE(SUBSTITUTE(Tabla3[[#This Row],[Fare]],".",",")))</f>
        <v>18.75</v>
      </c>
      <c r="D833" t="s">
        <v>1552</v>
      </c>
    </row>
    <row r="834" spans="1:4" x14ac:dyDescent="0.25">
      <c r="A834" s="13">
        <f>IF(Tabla3[[#This Row],[Fare correción 2]]&gt;=1000,Tabla3[[#This Row],[Fare correción 2]]/10,Tabla3[[#This Row],[Fare correción 2]])</f>
        <v>72.292000000000002</v>
      </c>
      <c r="B834">
        <f>IF(Tabla3[[#This Row],[Fare corrección]]&gt;1000,Tabla3[[#This Row],[Fare corrección]]/1000,Tabla3[[#This Row],[Fare corrección]])</f>
        <v>72.292000000000002</v>
      </c>
      <c r="C834" s="1">
        <f>IF(ISNUMBER(Tabla3[[#This Row],[Fare]]),Tabla3[[#This Row],[Fare]],VALUE(SUBSTITUTE(Tabla3[[#This Row],[Fare]],".",",")))</f>
        <v>72292</v>
      </c>
      <c r="D834" s="1">
        <v>72292</v>
      </c>
    </row>
    <row r="835" spans="1:4" x14ac:dyDescent="0.25">
      <c r="A835" s="13">
        <f>IF(Tabla3[[#This Row],[Fare correción 2]]&gt;=1000,Tabla3[[#This Row],[Fare correción 2]]/10,Tabla3[[#This Row],[Fare correción 2]])</f>
        <v>78.542000000000002</v>
      </c>
      <c r="B835">
        <f>IF(Tabla3[[#This Row],[Fare corrección]]&gt;1000,Tabla3[[#This Row],[Fare corrección]]/1000,Tabla3[[#This Row],[Fare corrección]])</f>
        <v>78.542000000000002</v>
      </c>
      <c r="C835" s="1">
        <f>IF(ISNUMBER(Tabla3[[#This Row],[Fare]]),Tabla3[[#This Row],[Fare]],VALUE(SUBSTITUTE(Tabla3[[#This Row],[Fare]],".",",")))</f>
        <v>78542</v>
      </c>
      <c r="D835" s="1">
        <v>78542</v>
      </c>
    </row>
    <row r="836" spans="1:4" x14ac:dyDescent="0.25">
      <c r="A836" s="13">
        <f>IF(Tabla3[[#This Row],[Fare correción 2]]&gt;=1000,Tabla3[[#This Row],[Fare correción 2]]/10,Tabla3[[#This Row],[Fare correción 2]])</f>
        <v>8.3000000000000007</v>
      </c>
      <c r="B836">
        <f>IF(Tabla3[[#This Row],[Fare corrección]]&gt;1000,Tabla3[[#This Row],[Fare corrección]]/1000,Tabla3[[#This Row],[Fare corrección]])</f>
        <v>8.3000000000000007</v>
      </c>
      <c r="C836">
        <f>IF(ISNUMBER(Tabla3[[#This Row],[Fare]]),Tabla3[[#This Row],[Fare]],VALUE(SUBSTITUTE(Tabla3[[#This Row],[Fare]],".",",")))</f>
        <v>8.3000000000000007</v>
      </c>
      <c r="D836" t="s">
        <v>2124</v>
      </c>
    </row>
    <row r="837" spans="1:4" x14ac:dyDescent="0.25">
      <c r="A837" s="13">
        <f>IF(Tabla3[[#This Row],[Fare correción 2]]&gt;=1000,Tabla3[[#This Row],[Fare correción 2]]/10,Tabla3[[#This Row],[Fare correción 2]])</f>
        <v>831.58299999999997</v>
      </c>
      <c r="B837">
        <f>IF(Tabla3[[#This Row],[Fare corrección]]&gt;1000,Tabla3[[#This Row],[Fare corrección]]/1000,Tabla3[[#This Row],[Fare corrección]])</f>
        <v>831.58299999999997</v>
      </c>
      <c r="C837" s="1">
        <f>IF(ISNUMBER(Tabla3[[#This Row],[Fare]]),Tabla3[[#This Row],[Fare]],VALUE(SUBSTITUTE(Tabla3[[#This Row],[Fare]],".",",")))</f>
        <v>831583</v>
      </c>
      <c r="D837" s="1">
        <v>831583</v>
      </c>
    </row>
    <row r="838" spans="1:4" x14ac:dyDescent="0.25">
      <c r="A838" s="13">
        <f>IF(Tabla3[[#This Row],[Fare correción 2]]&gt;=1000,Tabla3[[#This Row],[Fare correción 2]]/10,Tabla3[[#This Row],[Fare correción 2]])</f>
        <v>86.625</v>
      </c>
      <c r="B838">
        <f>IF(Tabla3[[#This Row],[Fare corrección]]&gt;1000,Tabla3[[#This Row],[Fare corrección]]/1000,Tabla3[[#This Row],[Fare corrección]])</f>
        <v>86.625</v>
      </c>
      <c r="C838" s="1">
        <f>IF(ISNUMBER(Tabla3[[#This Row],[Fare]]),Tabla3[[#This Row],[Fare]],VALUE(SUBSTITUTE(Tabla3[[#This Row],[Fare]],".",",")))</f>
        <v>86625</v>
      </c>
      <c r="D838" s="1">
        <v>86625</v>
      </c>
    </row>
    <row r="839" spans="1:4" x14ac:dyDescent="0.25">
      <c r="A839" s="13">
        <f>IF(Tabla3[[#This Row],[Fare correción 2]]&gt;=1000,Tabla3[[#This Row],[Fare correción 2]]/10,Tabla3[[#This Row],[Fare correción 2]])</f>
        <v>8.0500000000000007</v>
      </c>
      <c r="B839">
        <f>IF(Tabla3[[#This Row],[Fare corrección]]&gt;1000,Tabla3[[#This Row],[Fare corrección]]/1000,Tabla3[[#This Row],[Fare corrección]])</f>
        <v>8.0500000000000007</v>
      </c>
      <c r="C839">
        <f>IF(ISNUMBER(Tabla3[[#This Row],[Fare]]),Tabla3[[#This Row],[Fare]],VALUE(SUBSTITUTE(Tabla3[[#This Row],[Fare]],".",",")))</f>
        <v>8.0500000000000007</v>
      </c>
      <c r="D839" t="s">
        <v>917</v>
      </c>
    </row>
    <row r="840" spans="1:4" x14ac:dyDescent="0.25">
      <c r="A840" s="13">
        <f>IF(Tabla3[[#This Row],[Fare correción 2]]&gt;=1000,Tabla3[[#This Row],[Fare correción 2]]/10,Tabla3[[#This Row],[Fare correción 2]])</f>
        <v>564.95799999999997</v>
      </c>
      <c r="B840">
        <f>IF(Tabla3[[#This Row],[Fare corrección]]&gt;1000,Tabla3[[#This Row],[Fare corrección]]/1000,Tabla3[[#This Row],[Fare corrección]])</f>
        <v>564.95799999999997</v>
      </c>
      <c r="C840" s="1">
        <f>IF(ISNUMBER(Tabla3[[#This Row],[Fare]]),Tabla3[[#This Row],[Fare]],VALUE(SUBSTITUTE(Tabla3[[#This Row],[Fare]],".",",")))</f>
        <v>564958</v>
      </c>
      <c r="D840" s="1">
        <v>564958</v>
      </c>
    </row>
    <row r="841" spans="1:4" x14ac:dyDescent="0.25">
      <c r="A841" s="13">
        <f>IF(Tabla3[[#This Row],[Fare correción 2]]&gt;=1000,Tabla3[[#This Row],[Fare correción 2]]/10,Tabla3[[#This Row],[Fare correción 2]])</f>
        <v>29.7</v>
      </c>
      <c r="B841">
        <f>IF(Tabla3[[#This Row],[Fare corrección]]&gt;1000,Tabla3[[#This Row],[Fare corrección]]/1000,Tabla3[[#This Row],[Fare corrección]])</f>
        <v>29.7</v>
      </c>
      <c r="C841">
        <f>IF(ISNUMBER(Tabla3[[#This Row],[Fare]]),Tabla3[[#This Row],[Fare]],VALUE(SUBSTITUTE(Tabla3[[#This Row],[Fare]],".",",")))</f>
        <v>29.7</v>
      </c>
      <c r="D841" t="s">
        <v>1353</v>
      </c>
    </row>
    <row r="842" spans="1:4" x14ac:dyDescent="0.25">
      <c r="A842" s="13">
        <f>IF(Tabla3[[#This Row],[Fare correción 2]]&gt;=1000,Tabla3[[#This Row],[Fare correción 2]]/10,Tabla3[[#This Row],[Fare correción 2]])</f>
        <v>7.9249999999999998</v>
      </c>
      <c r="B842">
        <f>IF(Tabla3[[#This Row],[Fare corrección]]&gt;1000,Tabla3[[#This Row],[Fare corrección]]/1000,Tabla3[[#This Row],[Fare corrección]])</f>
        <v>7.9249999999999998</v>
      </c>
      <c r="C842" s="1">
        <f>IF(ISNUMBER(Tabla3[[#This Row],[Fare]]),Tabla3[[#This Row],[Fare]],VALUE(SUBSTITUTE(Tabla3[[#This Row],[Fare]],".",",")))</f>
        <v>7925</v>
      </c>
      <c r="D842" s="1">
        <v>7925</v>
      </c>
    </row>
    <row r="843" spans="1:4" x14ac:dyDescent="0.25">
      <c r="A843" s="13">
        <f>IF(Tabla3[[#This Row],[Fare correción 2]]&gt;=1000,Tabla3[[#This Row],[Fare correción 2]]/10,Tabla3[[#This Row],[Fare correción 2]])</f>
        <v>10.5</v>
      </c>
      <c r="B843">
        <f>IF(Tabla3[[#This Row],[Fare corrección]]&gt;1000,Tabla3[[#This Row],[Fare corrección]]/1000,Tabla3[[#This Row],[Fare corrección]])</f>
        <v>10.5</v>
      </c>
      <c r="C843">
        <f>IF(ISNUMBER(Tabla3[[#This Row],[Fare]]),Tabla3[[#This Row],[Fare]],VALUE(SUBSTITUTE(Tabla3[[#This Row],[Fare]],".",",")))</f>
        <v>10.5</v>
      </c>
      <c r="D843" t="s">
        <v>964</v>
      </c>
    </row>
    <row r="844" spans="1:4" x14ac:dyDescent="0.25">
      <c r="A844" s="13">
        <f>IF(Tabla3[[#This Row],[Fare correción 2]]&gt;=1000,Tabla3[[#This Row],[Fare correción 2]]/10,Tabla3[[#This Row],[Fare correción 2]])</f>
        <v>31</v>
      </c>
      <c r="B844">
        <f>IF(Tabla3[[#This Row],[Fare corrección]]&gt;1000,Tabla3[[#This Row],[Fare corrección]]/1000,Tabla3[[#This Row],[Fare corrección]])</f>
        <v>31</v>
      </c>
      <c r="C844">
        <f>IF(ISNUMBER(Tabla3[[#This Row],[Fare]]),Tabla3[[#This Row],[Fare]],VALUE(SUBSTITUTE(Tabla3[[#This Row],[Fare]],".",",")))</f>
        <v>31</v>
      </c>
      <c r="D844">
        <v>31</v>
      </c>
    </row>
    <row r="845" spans="1:4" x14ac:dyDescent="0.25">
      <c r="A845" s="13">
        <f>IF(Tabla3[[#This Row],[Fare correción 2]]&gt;=1000,Tabla3[[#This Row],[Fare correción 2]]/10,Tabla3[[#This Row],[Fare correción 2]])</f>
        <v>64.375</v>
      </c>
      <c r="B845">
        <f>IF(Tabla3[[#This Row],[Fare corrección]]&gt;1000,Tabla3[[#This Row],[Fare corrección]]/1000,Tabla3[[#This Row],[Fare corrección]])</f>
        <v>64.375</v>
      </c>
      <c r="C845" s="1">
        <f>IF(ISNUMBER(Tabla3[[#This Row],[Fare]]),Tabla3[[#This Row],[Fare]],VALUE(SUBSTITUTE(Tabla3[[#This Row],[Fare]],".",",")))</f>
        <v>64375</v>
      </c>
      <c r="D845" s="1">
        <v>64375</v>
      </c>
    </row>
    <row r="846" spans="1:4" x14ac:dyDescent="0.25">
      <c r="A846" s="13">
        <f>IF(Tabla3[[#This Row],[Fare correción 2]]&gt;=1000,Tabla3[[#This Row],[Fare correción 2]]/10,Tabla3[[#This Row],[Fare correción 2]])</f>
        <v>86.625</v>
      </c>
      <c r="B846">
        <f>IF(Tabla3[[#This Row],[Fare corrección]]&gt;1000,Tabla3[[#This Row],[Fare corrección]]/1000,Tabla3[[#This Row],[Fare corrección]])</f>
        <v>86.625</v>
      </c>
      <c r="C846" s="1">
        <f>IF(ISNUMBER(Tabla3[[#This Row],[Fare]]),Tabla3[[#This Row],[Fare]],VALUE(SUBSTITUTE(Tabla3[[#This Row],[Fare]],".",",")))</f>
        <v>86625</v>
      </c>
      <c r="D846" s="1">
        <v>86625</v>
      </c>
    </row>
    <row r="847" spans="1:4" x14ac:dyDescent="0.25">
      <c r="A847" s="13">
        <f>IF(Tabla3[[#This Row],[Fare correción 2]]&gt;=1000,Tabla3[[#This Row],[Fare correción 2]]/10,Tabla3[[#This Row],[Fare correción 2]])</f>
        <v>7.55</v>
      </c>
      <c r="B847">
        <f>IF(Tabla3[[#This Row],[Fare corrección]]&gt;1000,Tabla3[[#This Row],[Fare corrección]]/1000,Tabla3[[#This Row],[Fare corrección]])</f>
        <v>7.55</v>
      </c>
      <c r="C847">
        <f>IF(ISNUMBER(Tabla3[[#This Row],[Fare]]),Tabla3[[#This Row],[Fare]],VALUE(SUBSTITUTE(Tabla3[[#This Row],[Fare]],".",",")))</f>
        <v>7.55</v>
      </c>
      <c r="D847" t="s">
        <v>1291</v>
      </c>
    </row>
    <row r="848" spans="1:4" x14ac:dyDescent="0.25">
      <c r="A848" s="13">
        <f>IF(Tabla3[[#This Row],[Fare correción 2]]&gt;=1000,Tabla3[[#This Row],[Fare correción 2]]/10,Tabla3[[#This Row],[Fare correción 2]])</f>
        <v>69.55</v>
      </c>
      <c r="B848">
        <f>IF(Tabla3[[#This Row],[Fare corrección]]&gt;1000,Tabla3[[#This Row],[Fare corrección]]/1000,Tabla3[[#This Row],[Fare corrección]])</f>
        <v>69.55</v>
      </c>
      <c r="C848">
        <f>IF(ISNUMBER(Tabla3[[#This Row],[Fare]]),Tabla3[[#This Row],[Fare]],VALUE(SUBSTITUTE(Tabla3[[#This Row],[Fare]],".",",")))</f>
        <v>69.55</v>
      </c>
      <c r="D848" t="s">
        <v>1175</v>
      </c>
    </row>
    <row r="849" spans="1:4" x14ac:dyDescent="0.25">
      <c r="A849" s="13">
        <f>IF(Tabla3[[#This Row],[Fare correción 2]]&gt;=1000,Tabla3[[#This Row],[Fare correción 2]]/10,Tabla3[[#This Row],[Fare correción 2]])</f>
        <v>78.957999999999998</v>
      </c>
      <c r="B849">
        <f>IF(Tabla3[[#This Row],[Fare corrección]]&gt;1000,Tabla3[[#This Row],[Fare corrección]]/1000,Tabla3[[#This Row],[Fare corrección]])</f>
        <v>78.957999999999998</v>
      </c>
      <c r="C849" s="1">
        <f>IF(ISNUMBER(Tabla3[[#This Row],[Fare]]),Tabla3[[#This Row],[Fare]],VALUE(SUBSTITUTE(Tabla3[[#This Row],[Fare]],".",",")))</f>
        <v>78958</v>
      </c>
      <c r="D849" s="1">
        <v>78958</v>
      </c>
    </row>
    <row r="850" spans="1:4" x14ac:dyDescent="0.25">
      <c r="A850" s="13">
        <f>IF(Tabla3[[#This Row],[Fare correción 2]]&gt;=1000,Tabla3[[#This Row],[Fare correción 2]]/10,Tabla3[[#This Row],[Fare correción 2]])</f>
        <v>33</v>
      </c>
      <c r="B850">
        <f>IF(Tabla3[[#This Row],[Fare corrección]]&gt;1000,Tabla3[[#This Row],[Fare corrección]]/1000,Tabla3[[#This Row],[Fare corrección]])</f>
        <v>33</v>
      </c>
      <c r="C850">
        <f>IF(ISNUMBER(Tabla3[[#This Row],[Fare]]),Tabla3[[#This Row],[Fare]],VALUE(SUBSTITUTE(Tabla3[[#This Row],[Fare]],".",",")))</f>
        <v>33</v>
      </c>
      <c r="D850">
        <v>33</v>
      </c>
    </row>
    <row r="851" spans="1:4" x14ac:dyDescent="0.25">
      <c r="A851" s="13">
        <f>IF(Tabla3[[#This Row],[Fare correción 2]]&gt;=1000,Tabla3[[#This Row],[Fare correción 2]]/10,Tabla3[[#This Row],[Fare correción 2]])</f>
        <v>891.04200000000003</v>
      </c>
      <c r="B851">
        <f>IF(Tabla3[[#This Row],[Fare corrección]]&gt;1000,Tabla3[[#This Row],[Fare corrección]]/1000,Tabla3[[#This Row],[Fare corrección]])</f>
        <v>891.04200000000003</v>
      </c>
      <c r="C851" s="1">
        <f>IF(ISNUMBER(Tabla3[[#This Row],[Fare]]),Tabla3[[#This Row],[Fare]],VALUE(SUBSTITUTE(Tabla3[[#This Row],[Fare]],".",",")))</f>
        <v>891042</v>
      </c>
      <c r="D851" s="1">
        <v>891042</v>
      </c>
    </row>
    <row r="852" spans="1:4" x14ac:dyDescent="0.25">
      <c r="A852" s="13">
        <f>IF(Tabla3[[#This Row],[Fare correción 2]]&gt;=1000,Tabla3[[#This Row],[Fare correción 2]]/10,Tabla3[[#This Row],[Fare correción 2]])</f>
        <v>31.274999999999999</v>
      </c>
      <c r="B852">
        <f>IF(Tabla3[[#This Row],[Fare corrección]]&gt;1000,Tabla3[[#This Row],[Fare corrección]]/1000,Tabla3[[#This Row],[Fare corrección]])</f>
        <v>31.274999999999999</v>
      </c>
      <c r="C852" s="1">
        <f>IF(ISNUMBER(Tabla3[[#This Row],[Fare]]),Tabla3[[#This Row],[Fare]],VALUE(SUBSTITUTE(Tabla3[[#This Row],[Fare]],".",",")))</f>
        <v>31275</v>
      </c>
      <c r="D852" s="1">
        <v>31275</v>
      </c>
    </row>
    <row r="853" spans="1:4" x14ac:dyDescent="0.25">
      <c r="A853" s="13">
        <f>IF(Tabla3[[#This Row],[Fare correción 2]]&gt;=1000,Tabla3[[#This Row],[Fare correción 2]]/10,Tabla3[[#This Row],[Fare correción 2]])</f>
        <v>7.7750000000000004</v>
      </c>
      <c r="B853">
        <f>IF(Tabla3[[#This Row],[Fare corrección]]&gt;1000,Tabla3[[#This Row],[Fare corrección]]/1000,Tabla3[[#This Row],[Fare corrección]])</f>
        <v>7.7750000000000004</v>
      </c>
      <c r="C853" s="1">
        <f>IF(ISNUMBER(Tabla3[[#This Row],[Fare]]),Tabla3[[#This Row],[Fare]],VALUE(SUBSTITUTE(Tabla3[[#This Row],[Fare]],".",",")))</f>
        <v>7775</v>
      </c>
      <c r="D853" s="1">
        <v>7775</v>
      </c>
    </row>
    <row r="854" spans="1:4" x14ac:dyDescent="0.25">
      <c r="A854" s="13">
        <f>IF(Tabla3[[#This Row],[Fare correción 2]]&gt;=1000,Tabla3[[#This Row],[Fare correción 2]]/10,Tabla3[[#This Row],[Fare correción 2]])</f>
        <v>152.458</v>
      </c>
      <c r="B854">
        <f>IF(Tabla3[[#This Row],[Fare corrección]]&gt;1000,Tabla3[[#This Row],[Fare corrección]]/1000,Tabla3[[#This Row],[Fare corrección]])</f>
        <v>152.458</v>
      </c>
      <c r="C854" s="1">
        <f>IF(ISNUMBER(Tabla3[[#This Row],[Fare]]),Tabla3[[#This Row],[Fare]],VALUE(SUBSTITUTE(Tabla3[[#This Row],[Fare]],".",",")))</f>
        <v>152458</v>
      </c>
      <c r="D854" s="1">
        <v>152458</v>
      </c>
    </row>
    <row r="855" spans="1:4" x14ac:dyDescent="0.25">
      <c r="A855" s="13">
        <f>IF(Tabla3[[#This Row],[Fare correción 2]]&gt;=1000,Tabla3[[#This Row],[Fare correción 2]]/10,Tabla3[[#This Row],[Fare correción 2]])</f>
        <v>39.4</v>
      </c>
      <c r="B855">
        <f>IF(Tabla3[[#This Row],[Fare corrección]]&gt;1000,Tabla3[[#This Row],[Fare corrección]]/1000,Tabla3[[#This Row],[Fare corrección]])</f>
        <v>39.4</v>
      </c>
      <c r="C855">
        <f>IF(ISNUMBER(Tabla3[[#This Row],[Fare]]),Tabla3[[#This Row],[Fare]],VALUE(SUBSTITUTE(Tabla3[[#This Row],[Fare]],".",",")))</f>
        <v>39.4</v>
      </c>
      <c r="D855" t="s">
        <v>2151</v>
      </c>
    </row>
    <row r="856" spans="1:4" x14ac:dyDescent="0.25">
      <c r="A856" s="13">
        <f>IF(Tabla3[[#This Row],[Fare correción 2]]&gt;=1000,Tabla3[[#This Row],[Fare correción 2]]/10,Tabla3[[#This Row],[Fare correción 2]])</f>
        <v>26</v>
      </c>
      <c r="B856">
        <f>IF(Tabla3[[#This Row],[Fare corrección]]&gt;1000,Tabla3[[#This Row],[Fare corrección]]/1000,Tabla3[[#This Row],[Fare corrección]])</f>
        <v>26</v>
      </c>
      <c r="C856">
        <f>IF(ISNUMBER(Tabla3[[#This Row],[Fare]]),Tabla3[[#This Row],[Fare]],VALUE(SUBSTITUTE(Tabla3[[#This Row],[Fare]],".",",")))</f>
        <v>26</v>
      </c>
      <c r="D856">
        <v>26</v>
      </c>
    </row>
    <row r="857" spans="1:4" x14ac:dyDescent="0.25">
      <c r="A857" s="13">
        <f>IF(Tabla3[[#This Row],[Fare correción 2]]&gt;=1000,Tabla3[[#This Row],[Fare correción 2]]/10,Tabla3[[#This Row],[Fare correción 2]])</f>
        <v>9.35</v>
      </c>
      <c r="B857">
        <f>IF(Tabla3[[#This Row],[Fare corrección]]&gt;1000,Tabla3[[#This Row],[Fare corrección]]/1000,Tabla3[[#This Row],[Fare corrección]])</f>
        <v>9.35</v>
      </c>
      <c r="C857">
        <f>IF(ISNUMBER(Tabla3[[#This Row],[Fare]]),Tabla3[[#This Row],[Fare]],VALUE(SUBSTITUTE(Tabla3[[#This Row],[Fare]],".",",")))</f>
        <v>9.35</v>
      </c>
      <c r="D857" t="s">
        <v>1274</v>
      </c>
    </row>
    <row r="858" spans="1:4" x14ac:dyDescent="0.25">
      <c r="A858" s="13">
        <f>IF(Tabla3[[#This Row],[Fare correción 2]]&gt;=1000,Tabla3[[#This Row],[Fare correción 2]]/10,Tabla3[[#This Row],[Fare correción 2]])</f>
        <v>164.86669999999998</v>
      </c>
      <c r="B858">
        <f>IF(Tabla3[[#This Row],[Fare corrección]]&gt;1000,Tabla3[[#This Row],[Fare corrección]]/1000,Tabla3[[#This Row],[Fare corrección]])</f>
        <v>1648.6669999999999</v>
      </c>
      <c r="C858" s="1">
        <f>IF(ISNUMBER(Tabla3[[#This Row],[Fare]]),Tabla3[[#This Row],[Fare]],VALUE(SUBSTITUTE(Tabla3[[#This Row],[Fare]],".",",")))</f>
        <v>1648667</v>
      </c>
      <c r="D858" s="1">
        <v>1648667</v>
      </c>
    </row>
    <row r="859" spans="1:4" x14ac:dyDescent="0.25">
      <c r="A859" s="13">
        <f>IF(Tabla3[[#This Row],[Fare correción 2]]&gt;=1000,Tabla3[[#This Row],[Fare correción 2]]/10,Tabla3[[#This Row],[Fare correción 2]])</f>
        <v>26.55</v>
      </c>
      <c r="B859">
        <f>IF(Tabla3[[#This Row],[Fare corrección]]&gt;1000,Tabla3[[#This Row],[Fare corrección]]/1000,Tabla3[[#This Row],[Fare corrección]])</f>
        <v>26.55</v>
      </c>
      <c r="C859">
        <f>IF(ISNUMBER(Tabla3[[#This Row],[Fare]]),Tabla3[[#This Row],[Fare]],VALUE(SUBSTITUTE(Tabla3[[#This Row],[Fare]],".",",")))</f>
        <v>26.55</v>
      </c>
      <c r="D859" t="s">
        <v>930</v>
      </c>
    </row>
    <row r="860" spans="1:4" x14ac:dyDescent="0.25">
      <c r="A860" s="13">
        <f>IF(Tabla3[[#This Row],[Fare correción 2]]&gt;=1000,Tabla3[[#This Row],[Fare correción 2]]/10,Tabla3[[#This Row],[Fare correción 2]])</f>
        <v>192.583</v>
      </c>
      <c r="B860">
        <f>IF(Tabla3[[#This Row],[Fare corrección]]&gt;1000,Tabla3[[#This Row],[Fare corrección]]/1000,Tabla3[[#This Row],[Fare corrección]])</f>
        <v>192.583</v>
      </c>
      <c r="C860" s="1">
        <f>IF(ISNUMBER(Tabla3[[#This Row],[Fare]]),Tabla3[[#This Row],[Fare]],VALUE(SUBSTITUTE(Tabla3[[#This Row],[Fare]],".",",")))</f>
        <v>192583</v>
      </c>
      <c r="D860" s="1">
        <v>192583</v>
      </c>
    </row>
    <row r="861" spans="1:4" x14ac:dyDescent="0.25">
      <c r="A861" s="13">
        <f>IF(Tabla3[[#This Row],[Fare correción 2]]&gt;=1000,Tabla3[[#This Row],[Fare correción 2]]/10,Tabla3[[#This Row],[Fare correción 2]])</f>
        <v>72.292000000000002</v>
      </c>
      <c r="B861">
        <f>IF(Tabla3[[#This Row],[Fare corrección]]&gt;1000,Tabla3[[#This Row],[Fare corrección]]/1000,Tabla3[[#This Row],[Fare corrección]])</f>
        <v>72.292000000000002</v>
      </c>
      <c r="C861" s="1">
        <f>IF(ISNUMBER(Tabla3[[#This Row],[Fare]]),Tabla3[[#This Row],[Fare]],VALUE(SUBSTITUTE(Tabla3[[#This Row],[Fare]],".",",")))</f>
        <v>72292</v>
      </c>
      <c r="D861" s="1">
        <v>72292</v>
      </c>
    </row>
    <row r="862" spans="1:4" x14ac:dyDescent="0.25">
      <c r="A862" s="13">
        <f>IF(Tabla3[[#This Row],[Fare correción 2]]&gt;=1000,Tabla3[[#This Row],[Fare correción 2]]/10,Tabla3[[#This Row],[Fare correción 2]])</f>
        <v>141.083</v>
      </c>
      <c r="B862">
        <f>IF(Tabla3[[#This Row],[Fare corrección]]&gt;1000,Tabla3[[#This Row],[Fare corrección]]/1000,Tabla3[[#This Row],[Fare corrección]])</f>
        <v>141.083</v>
      </c>
      <c r="C862" s="1">
        <f>IF(ISNUMBER(Tabla3[[#This Row],[Fare]]),Tabla3[[#This Row],[Fare]],VALUE(SUBSTITUTE(Tabla3[[#This Row],[Fare]],".",",")))</f>
        <v>141083</v>
      </c>
      <c r="D862" s="1">
        <v>141083</v>
      </c>
    </row>
    <row r="863" spans="1:4" x14ac:dyDescent="0.25">
      <c r="A863" s="13">
        <f>IF(Tabla3[[#This Row],[Fare correción 2]]&gt;=1000,Tabla3[[#This Row],[Fare correción 2]]/10,Tabla3[[#This Row],[Fare correción 2]])</f>
        <v>11.5</v>
      </c>
      <c r="B863">
        <f>IF(Tabla3[[#This Row],[Fare corrección]]&gt;1000,Tabla3[[#This Row],[Fare corrección]]/1000,Tabla3[[#This Row],[Fare corrección]])</f>
        <v>11.5</v>
      </c>
      <c r="C863">
        <f>IF(ISNUMBER(Tabla3[[#This Row],[Fare]]),Tabla3[[#This Row],[Fare]],VALUE(SUBSTITUTE(Tabla3[[#This Row],[Fare]],".",",")))</f>
        <v>11.5</v>
      </c>
      <c r="D863" t="s">
        <v>1144</v>
      </c>
    </row>
    <row r="864" spans="1:4" x14ac:dyDescent="0.25">
      <c r="A864" s="13">
        <f>IF(Tabla3[[#This Row],[Fare correción 2]]&gt;=1000,Tabla3[[#This Row],[Fare correción 2]]/10,Tabla3[[#This Row],[Fare correción 2]])</f>
        <v>259.29199999999997</v>
      </c>
      <c r="B864">
        <f>IF(Tabla3[[#This Row],[Fare corrección]]&gt;1000,Tabla3[[#This Row],[Fare corrección]]/1000,Tabla3[[#This Row],[Fare corrección]])</f>
        <v>259.29199999999997</v>
      </c>
      <c r="C864" s="1">
        <f>IF(ISNUMBER(Tabla3[[#This Row],[Fare]]),Tabla3[[#This Row],[Fare]],VALUE(SUBSTITUTE(Tabla3[[#This Row],[Fare]],".",",")))</f>
        <v>259292</v>
      </c>
      <c r="D864" s="1">
        <v>259292</v>
      </c>
    </row>
    <row r="865" spans="1:4" x14ac:dyDescent="0.25">
      <c r="A865" s="13">
        <f>IF(Tabla3[[#This Row],[Fare correción 2]]&gt;=1000,Tabla3[[#This Row],[Fare correción 2]]/10,Tabla3[[#This Row],[Fare correción 2]])</f>
        <v>69.55</v>
      </c>
      <c r="B865">
        <f>IF(Tabla3[[#This Row],[Fare corrección]]&gt;1000,Tabla3[[#This Row],[Fare corrección]]/1000,Tabla3[[#This Row],[Fare corrección]])</f>
        <v>69.55</v>
      </c>
      <c r="C865">
        <f>IF(ISNUMBER(Tabla3[[#This Row],[Fare]]),Tabla3[[#This Row],[Fare]],VALUE(SUBSTITUTE(Tabla3[[#This Row],[Fare]],".",",")))</f>
        <v>69.55</v>
      </c>
      <c r="D865" t="s">
        <v>1175</v>
      </c>
    </row>
    <row r="866" spans="1:4" x14ac:dyDescent="0.25">
      <c r="A866" s="13">
        <f>IF(Tabla3[[#This Row],[Fare correción 2]]&gt;=1000,Tabla3[[#This Row],[Fare correción 2]]/10,Tabla3[[#This Row],[Fare correción 2]])</f>
        <v>13</v>
      </c>
      <c r="B866">
        <f>IF(Tabla3[[#This Row],[Fare corrección]]&gt;1000,Tabla3[[#This Row],[Fare corrección]]/1000,Tabla3[[#This Row],[Fare corrección]])</f>
        <v>13</v>
      </c>
      <c r="C866">
        <f>IF(ISNUMBER(Tabla3[[#This Row],[Fare]]),Tabla3[[#This Row],[Fare]],VALUE(SUBSTITUTE(Tabla3[[#This Row],[Fare]],".",",")))</f>
        <v>13</v>
      </c>
      <c r="D866">
        <v>13</v>
      </c>
    </row>
    <row r="867" spans="1:4" x14ac:dyDescent="0.25">
      <c r="A867" s="13">
        <f>IF(Tabla3[[#This Row],[Fare correción 2]]&gt;=1000,Tabla3[[#This Row],[Fare correción 2]]/10,Tabla3[[#This Row],[Fare correción 2]])</f>
        <v>13</v>
      </c>
      <c r="B867">
        <f>IF(Tabla3[[#This Row],[Fare corrección]]&gt;1000,Tabla3[[#This Row],[Fare corrección]]/1000,Tabla3[[#This Row],[Fare corrección]])</f>
        <v>13</v>
      </c>
      <c r="C867">
        <f>IF(ISNUMBER(Tabla3[[#This Row],[Fare]]),Tabla3[[#This Row],[Fare]],VALUE(SUBSTITUTE(Tabla3[[#This Row],[Fare]],".",",")))</f>
        <v>13</v>
      </c>
      <c r="D867">
        <v>13</v>
      </c>
    </row>
    <row r="868" spans="1:4" x14ac:dyDescent="0.25">
      <c r="A868" s="13">
        <f>IF(Tabla3[[#This Row],[Fare correción 2]]&gt;=1000,Tabla3[[#This Row],[Fare correción 2]]/10,Tabla3[[#This Row],[Fare correción 2]])</f>
        <v>138.583</v>
      </c>
      <c r="B868">
        <f>IF(Tabla3[[#This Row],[Fare corrección]]&gt;1000,Tabla3[[#This Row],[Fare corrección]]/1000,Tabla3[[#This Row],[Fare corrección]])</f>
        <v>138.583</v>
      </c>
      <c r="C868" s="1">
        <f>IF(ISNUMBER(Tabla3[[#This Row],[Fare]]),Tabla3[[#This Row],[Fare]],VALUE(SUBSTITUTE(Tabla3[[#This Row],[Fare]],".",",")))</f>
        <v>138583</v>
      </c>
      <c r="D868" s="1">
        <v>138583</v>
      </c>
    </row>
    <row r="869" spans="1:4" x14ac:dyDescent="0.25">
      <c r="A869" s="13">
        <f>IF(Tabla3[[#This Row],[Fare correción 2]]&gt;=1000,Tabla3[[#This Row],[Fare correción 2]]/10,Tabla3[[#This Row],[Fare correción 2]])</f>
        <v>504.95800000000003</v>
      </c>
      <c r="B869">
        <f>IF(Tabla3[[#This Row],[Fare corrección]]&gt;1000,Tabla3[[#This Row],[Fare corrección]]/1000,Tabla3[[#This Row],[Fare corrección]])</f>
        <v>504.95800000000003</v>
      </c>
      <c r="C869" s="1">
        <f>IF(ISNUMBER(Tabla3[[#This Row],[Fare]]),Tabla3[[#This Row],[Fare]],VALUE(SUBSTITUTE(Tabla3[[#This Row],[Fare]],".",",")))</f>
        <v>504958</v>
      </c>
      <c r="D869" s="1">
        <v>504958</v>
      </c>
    </row>
    <row r="870" spans="1:4" x14ac:dyDescent="0.25">
      <c r="A870" s="13">
        <f>IF(Tabla3[[#This Row],[Fare correción 2]]&gt;=1000,Tabla3[[#This Row],[Fare correción 2]]/10,Tabla3[[#This Row],[Fare correción 2]])</f>
        <v>9.5</v>
      </c>
      <c r="B870">
        <f>IF(Tabla3[[#This Row],[Fare corrección]]&gt;1000,Tabla3[[#This Row],[Fare corrección]]/1000,Tabla3[[#This Row],[Fare corrección]])</f>
        <v>9.5</v>
      </c>
      <c r="C870">
        <f>IF(ISNUMBER(Tabla3[[#This Row],[Fare]]),Tabla3[[#This Row],[Fare]],VALUE(SUBSTITUTE(Tabla3[[#This Row],[Fare]],".",",")))</f>
        <v>9.5</v>
      </c>
      <c r="D870" t="s">
        <v>1044</v>
      </c>
    </row>
    <row r="871" spans="1:4" x14ac:dyDescent="0.25">
      <c r="A871" s="13">
        <f>IF(Tabla3[[#This Row],[Fare correción 2]]&gt;=1000,Tabla3[[#This Row],[Fare correción 2]]/10,Tabla3[[#This Row],[Fare correción 2]])</f>
        <v>111.333</v>
      </c>
      <c r="B871">
        <f>IF(Tabla3[[#This Row],[Fare corrección]]&gt;1000,Tabla3[[#This Row],[Fare corrección]]/1000,Tabla3[[#This Row],[Fare corrección]])</f>
        <v>111.333</v>
      </c>
      <c r="C871" s="1">
        <f>IF(ISNUMBER(Tabla3[[#This Row],[Fare]]),Tabla3[[#This Row],[Fare]],VALUE(SUBSTITUTE(Tabla3[[#This Row],[Fare]],".",",")))</f>
        <v>111333</v>
      </c>
      <c r="D871" s="1">
        <v>111333</v>
      </c>
    </row>
    <row r="872" spans="1:4" x14ac:dyDescent="0.25">
      <c r="A872" s="13">
        <f>IF(Tabla3[[#This Row],[Fare correción 2]]&gt;=1000,Tabla3[[#This Row],[Fare correción 2]]/10,Tabla3[[#This Row],[Fare correción 2]])</f>
        <v>78.957999999999998</v>
      </c>
      <c r="B872">
        <f>IF(Tabla3[[#This Row],[Fare corrección]]&gt;1000,Tabla3[[#This Row],[Fare corrección]]/1000,Tabla3[[#This Row],[Fare corrección]])</f>
        <v>78.957999999999998</v>
      </c>
      <c r="C872" s="1">
        <f>IF(ISNUMBER(Tabla3[[#This Row],[Fare]]),Tabla3[[#This Row],[Fare]],VALUE(SUBSTITUTE(Tabla3[[#This Row],[Fare]],".",",")))</f>
        <v>78958</v>
      </c>
      <c r="D872" s="1">
        <v>78958</v>
      </c>
    </row>
    <row r="873" spans="1:4" x14ac:dyDescent="0.25">
      <c r="A873" s="13">
        <f>IF(Tabla3[[#This Row],[Fare correción 2]]&gt;=1000,Tabla3[[#This Row],[Fare correción 2]]/10,Tabla3[[#This Row],[Fare correción 2]])</f>
        <v>525.54200000000003</v>
      </c>
      <c r="B873">
        <f>IF(Tabla3[[#This Row],[Fare corrección]]&gt;1000,Tabla3[[#This Row],[Fare corrección]]/1000,Tabla3[[#This Row],[Fare corrección]])</f>
        <v>525.54200000000003</v>
      </c>
      <c r="C873" s="1">
        <f>IF(ISNUMBER(Tabla3[[#This Row],[Fare]]),Tabla3[[#This Row],[Fare]],VALUE(SUBSTITUTE(Tabla3[[#This Row],[Fare]],".",",")))</f>
        <v>525542</v>
      </c>
      <c r="D873" s="1">
        <v>525542</v>
      </c>
    </row>
    <row r="874" spans="1:4" x14ac:dyDescent="0.25">
      <c r="A874" s="13">
        <f>IF(Tabla3[[#This Row],[Fare correción 2]]&gt;=1000,Tabla3[[#This Row],[Fare correción 2]]/10,Tabla3[[#This Row],[Fare correción 2]])</f>
        <v>5</v>
      </c>
      <c r="B874">
        <f>IF(Tabla3[[#This Row],[Fare corrección]]&gt;1000,Tabla3[[#This Row],[Fare corrección]]/1000,Tabla3[[#This Row],[Fare corrección]])</f>
        <v>5</v>
      </c>
      <c r="C874">
        <f>IF(ISNUMBER(Tabla3[[#This Row],[Fare]]),Tabla3[[#This Row],[Fare]],VALUE(SUBSTITUTE(Tabla3[[#This Row],[Fare]],".",",")))</f>
        <v>5</v>
      </c>
      <c r="D874">
        <v>5</v>
      </c>
    </row>
    <row r="875" spans="1:4" x14ac:dyDescent="0.25">
      <c r="A875" s="13">
        <f>IF(Tabla3[[#This Row],[Fare correción 2]]&gt;=1000,Tabla3[[#This Row],[Fare correción 2]]/10,Tabla3[[#This Row],[Fare correción 2]])</f>
        <v>9</v>
      </c>
      <c r="B875">
        <f>IF(Tabla3[[#This Row],[Fare corrección]]&gt;1000,Tabla3[[#This Row],[Fare corrección]]/1000,Tabla3[[#This Row],[Fare corrección]])</f>
        <v>9</v>
      </c>
      <c r="C875">
        <f>IF(ISNUMBER(Tabla3[[#This Row],[Fare]]),Tabla3[[#This Row],[Fare]],VALUE(SUBSTITUTE(Tabla3[[#This Row],[Fare]],".",",")))</f>
        <v>9</v>
      </c>
      <c r="D875">
        <v>9</v>
      </c>
    </row>
    <row r="876" spans="1:4" x14ac:dyDescent="0.25">
      <c r="A876" s="13">
        <f>IF(Tabla3[[#This Row],[Fare correción 2]]&gt;=1000,Tabla3[[#This Row],[Fare correción 2]]/10,Tabla3[[#This Row],[Fare correción 2]])</f>
        <v>24</v>
      </c>
      <c r="B876">
        <f>IF(Tabla3[[#This Row],[Fare corrección]]&gt;1000,Tabla3[[#This Row],[Fare corrección]]/1000,Tabla3[[#This Row],[Fare corrección]])</f>
        <v>24</v>
      </c>
      <c r="C876">
        <f>IF(ISNUMBER(Tabla3[[#This Row],[Fare]]),Tabla3[[#This Row],[Fare]],VALUE(SUBSTITUTE(Tabla3[[#This Row],[Fare]],".",",")))</f>
        <v>24</v>
      </c>
      <c r="D876">
        <v>24</v>
      </c>
    </row>
    <row r="877" spans="1:4" x14ac:dyDescent="0.25">
      <c r="A877" s="13">
        <f>IF(Tabla3[[#This Row],[Fare correción 2]]&gt;=1000,Tabla3[[#This Row],[Fare correción 2]]/10,Tabla3[[#This Row],[Fare correción 2]])</f>
        <v>7.2249999999999996</v>
      </c>
      <c r="B877">
        <f>IF(Tabla3[[#This Row],[Fare corrección]]&gt;1000,Tabla3[[#This Row],[Fare corrección]]/1000,Tabla3[[#This Row],[Fare corrección]])</f>
        <v>7.2249999999999996</v>
      </c>
      <c r="C877" s="1">
        <f>IF(ISNUMBER(Tabla3[[#This Row],[Fare]]),Tabla3[[#This Row],[Fare]],VALUE(SUBSTITUTE(Tabla3[[#This Row],[Fare]],".",",")))</f>
        <v>7225</v>
      </c>
      <c r="D877" s="1">
        <v>7225</v>
      </c>
    </row>
    <row r="878" spans="1:4" x14ac:dyDescent="0.25">
      <c r="A878" s="13">
        <f>IF(Tabla3[[#This Row],[Fare correción 2]]&gt;=1000,Tabla3[[#This Row],[Fare correción 2]]/10,Tabla3[[#This Row],[Fare correción 2]])</f>
        <v>98.457999999999998</v>
      </c>
      <c r="B878">
        <f>IF(Tabla3[[#This Row],[Fare corrección]]&gt;1000,Tabla3[[#This Row],[Fare corrección]]/1000,Tabla3[[#This Row],[Fare corrección]])</f>
        <v>98.457999999999998</v>
      </c>
      <c r="C878" s="1">
        <f>IF(ISNUMBER(Tabla3[[#This Row],[Fare]]),Tabla3[[#This Row],[Fare]],VALUE(SUBSTITUTE(Tabla3[[#This Row],[Fare]],".",",")))</f>
        <v>98458</v>
      </c>
      <c r="D878" s="1">
        <v>98458</v>
      </c>
    </row>
    <row r="879" spans="1:4" x14ac:dyDescent="0.25">
      <c r="A879" s="13">
        <f>IF(Tabla3[[#This Row],[Fare correción 2]]&gt;=1000,Tabla3[[#This Row],[Fare correción 2]]/10,Tabla3[[#This Row],[Fare correción 2]])</f>
        <v>78.957999999999998</v>
      </c>
      <c r="B879">
        <f>IF(Tabla3[[#This Row],[Fare corrección]]&gt;1000,Tabla3[[#This Row],[Fare corrección]]/1000,Tabla3[[#This Row],[Fare corrección]])</f>
        <v>78.957999999999998</v>
      </c>
      <c r="C879" s="1">
        <f>IF(ISNUMBER(Tabla3[[#This Row],[Fare]]),Tabla3[[#This Row],[Fare]],VALUE(SUBSTITUTE(Tabla3[[#This Row],[Fare]],".",",")))</f>
        <v>78958</v>
      </c>
      <c r="D879" s="1">
        <v>78958</v>
      </c>
    </row>
    <row r="880" spans="1:4" x14ac:dyDescent="0.25">
      <c r="A880" s="13">
        <f>IF(Tabla3[[#This Row],[Fare correción 2]]&gt;=1000,Tabla3[[#This Row],[Fare correción 2]]/10,Tabla3[[#This Row],[Fare correción 2]])</f>
        <v>78.957999999999998</v>
      </c>
      <c r="B880">
        <f>IF(Tabla3[[#This Row],[Fare corrección]]&gt;1000,Tabla3[[#This Row],[Fare corrección]]/1000,Tabla3[[#This Row],[Fare corrección]])</f>
        <v>78.957999999999998</v>
      </c>
      <c r="C880" s="1">
        <f>IF(ISNUMBER(Tabla3[[#This Row],[Fare]]),Tabla3[[#This Row],[Fare]],VALUE(SUBSTITUTE(Tabla3[[#This Row],[Fare]],".",",")))</f>
        <v>78958</v>
      </c>
      <c r="D880" s="1">
        <v>78958</v>
      </c>
    </row>
    <row r="881" spans="1:4" x14ac:dyDescent="0.25">
      <c r="A881" s="13">
        <f>IF(Tabla3[[#This Row],[Fare correción 2]]&gt;=1000,Tabla3[[#This Row],[Fare correción 2]]/10,Tabla3[[#This Row],[Fare correción 2]])</f>
        <v>831.58299999999997</v>
      </c>
      <c r="B881">
        <f>IF(Tabla3[[#This Row],[Fare corrección]]&gt;1000,Tabla3[[#This Row],[Fare corrección]]/1000,Tabla3[[#This Row],[Fare corrección]])</f>
        <v>831.58299999999997</v>
      </c>
      <c r="C881" s="1">
        <f>IF(ISNUMBER(Tabla3[[#This Row],[Fare]]),Tabla3[[#This Row],[Fare]],VALUE(SUBSTITUTE(Tabla3[[#This Row],[Fare]],".",",")))</f>
        <v>831583</v>
      </c>
      <c r="D881" s="1">
        <v>831583</v>
      </c>
    </row>
    <row r="882" spans="1:4" x14ac:dyDescent="0.25">
      <c r="A882" s="13">
        <f>IF(Tabla3[[#This Row],[Fare correción 2]]&gt;=1000,Tabla3[[#This Row],[Fare correción 2]]/10,Tabla3[[#This Row],[Fare correción 2]])</f>
        <v>26</v>
      </c>
      <c r="B882">
        <f>IF(Tabla3[[#This Row],[Fare corrección]]&gt;1000,Tabla3[[#This Row],[Fare corrección]]/1000,Tabla3[[#This Row],[Fare corrección]])</f>
        <v>26</v>
      </c>
      <c r="C882">
        <f>IF(ISNUMBER(Tabla3[[#This Row],[Fare]]),Tabla3[[#This Row],[Fare]],VALUE(SUBSTITUTE(Tabla3[[#This Row],[Fare]],".",",")))</f>
        <v>26</v>
      </c>
      <c r="D882">
        <v>26</v>
      </c>
    </row>
    <row r="883" spans="1:4" x14ac:dyDescent="0.25">
      <c r="A883" s="13">
        <f>IF(Tabla3[[#This Row],[Fare correción 2]]&gt;=1000,Tabla3[[#This Row],[Fare correción 2]]/10,Tabla3[[#This Row],[Fare correción 2]])</f>
        <v>78.957999999999998</v>
      </c>
      <c r="B883">
        <f>IF(Tabla3[[#This Row],[Fare corrección]]&gt;1000,Tabla3[[#This Row],[Fare corrección]]/1000,Tabla3[[#This Row],[Fare corrección]])</f>
        <v>78.957999999999998</v>
      </c>
      <c r="C883" s="1">
        <f>IF(ISNUMBER(Tabla3[[#This Row],[Fare]]),Tabla3[[#This Row],[Fare]],VALUE(SUBSTITUTE(Tabla3[[#This Row],[Fare]],".",",")))</f>
        <v>78958</v>
      </c>
      <c r="D883" s="1">
        <v>78958</v>
      </c>
    </row>
    <row r="884" spans="1:4" x14ac:dyDescent="0.25">
      <c r="A884" s="13">
        <f>IF(Tabla3[[#This Row],[Fare correción 2]]&gt;=1000,Tabla3[[#This Row],[Fare correción 2]]/10,Tabla3[[#This Row],[Fare correción 2]])</f>
        <v>105.167</v>
      </c>
      <c r="B884">
        <f>IF(Tabla3[[#This Row],[Fare corrección]]&gt;1000,Tabla3[[#This Row],[Fare corrección]]/1000,Tabla3[[#This Row],[Fare corrección]])</f>
        <v>105.167</v>
      </c>
      <c r="C884" s="1">
        <f>IF(ISNUMBER(Tabla3[[#This Row],[Fare]]),Tabla3[[#This Row],[Fare]],VALUE(SUBSTITUTE(Tabla3[[#This Row],[Fare]],".",",")))</f>
        <v>105167</v>
      </c>
      <c r="D884" s="1">
        <v>105167</v>
      </c>
    </row>
    <row r="885" spans="1:4" x14ac:dyDescent="0.25">
      <c r="A885" s="13">
        <f>IF(Tabla3[[#This Row],[Fare correción 2]]&gt;=1000,Tabla3[[#This Row],[Fare correción 2]]/10,Tabla3[[#This Row],[Fare correción 2]])</f>
        <v>10.5</v>
      </c>
      <c r="B885">
        <f>IF(Tabla3[[#This Row],[Fare corrección]]&gt;1000,Tabla3[[#This Row],[Fare corrección]]/1000,Tabla3[[#This Row],[Fare corrección]])</f>
        <v>10.5</v>
      </c>
      <c r="C885">
        <f>IF(ISNUMBER(Tabla3[[#This Row],[Fare]]),Tabla3[[#This Row],[Fare]],VALUE(SUBSTITUTE(Tabla3[[#This Row],[Fare]],".",",")))</f>
        <v>10.5</v>
      </c>
      <c r="D885" t="s">
        <v>964</v>
      </c>
    </row>
    <row r="886" spans="1:4" x14ac:dyDescent="0.25">
      <c r="A886" s="13">
        <f>IF(Tabla3[[#This Row],[Fare correción 2]]&gt;=1000,Tabla3[[#This Row],[Fare correción 2]]/10,Tabla3[[#This Row],[Fare correción 2]])</f>
        <v>7.05</v>
      </c>
      <c r="B886">
        <f>IF(Tabla3[[#This Row],[Fare corrección]]&gt;1000,Tabla3[[#This Row],[Fare corrección]]/1000,Tabla3[[#This Row],[Fare corrección]])</f>
        <v>7.05</v>
      </c>
      <c r="C886">
        <f>IF(ISNUMBER(Tabla3[[#This Row],[Fare]]),Tabla3[[#This Row],[Fare]],VALUE(SUBSTITUTE(Tabla3[[#This Row],[Fare]],".",",")))</f>
        <v>7.05</v>
      </c>
      <c r="D886" t="s">
        <v>1121</v>
      </c>
    </row>
    <row r="887" spans="1:4" x14ac:dyDescent="0.25">
      <c r="A887" s="13">
        <f>IF(Tabla3[[#This Row],[Fare correción 2]]&gt;=1000,Tabla3[[#This Row],[Fare correción 2]]/10,Tabla3[[#This Row],[Fare correción 2]])</f>
        <v>29.125</v>
      </c>
      <c r="B887">
        <f>IF(Tabla3[[#This Row],[Fare corrección]]&gt;1000,Tabla3[[#This Row],[Fare corrección]]/1000,Tabla3[[#This Row],[Fare corrección]])</f>
        <v>29.125</v>
      </c>
      <c r="C887" s="1">
        <f>IF(ISNUMBER(Tabla3[[#This Row],[Fare]]),Tabla3[[#This Row],[Fare]],VALUE(SUBSTITUTE(Tabla3[[#This Row],[Fare]],".",",")))</f>
        <v>29125</v>
      </c>
      <c r="D887" s="1">
        <v>29125</v>
      </c>
    </row>
    <row r="888" spans="1:4" x14ac:dyDescent="0.25">
      <c r="A888" s="13">
        <f>IF(Tabla3[[#This Row],[Fare correción 2]]&gt;=1000,Tabla3[[#This Row],[Fare correción 2]]/10,Tabla3[[#This Row],[Fare correción 2]])</f>
        <v>13</v>
      </c>
      <c r="B888">
        <f>IF(Tabla3[[#This Row],[Fare corrección]]&gt;1000,Tabla3[[#This Row],[Fare corrección]]/1000,Tabla3[[#This Row],[Fare corrección]])</f>
        <v>13</v>
      </c>
      <c r="C888">
        <f>IF(ISNUMBER(Tabla3[[#This Row],[Fare]]),Tabla3[[#This Row],[Fare]],VALUE(SUBSTITUTE(Tabla3[[#This Row],[Fare]],".",",")))</f>
        <v>13</v>
      </c>
      <c r="D888">
        <v>13</v>
      </c>
    </row>
    <row r="889" spans="1:4" x14ac:dyDescent="0.25">
      <c r="A889" s="13">
        <f>IF(Tabla3[[#This Row],[Fare correción 2]]&gt;=1000,Tabla3[[#This Row],[Fare correción 2]]/10,Tabla3[[#This Row],[Fare correción 2]])</f>
        <v>30</v>
      </c>
      <c r="B889">
        <f>IF(Tabla3[[#This Row],[Fare corrección]]&gt;1000,Tabla3[[#This Row],[Fare corrección]]/1000,Tabla3[[#This Row],[Fare corrección]])</f>
        <v>30</v>
      </c>
      <c r="C889">
        <f>IF(ISNUMBER(Tabla3[[#This Row],[Fare]]),Tabla3[[#This Row],[Fare]],VALUE(SUBSTITUTE(Tabla3[[#This Row],[Fare]],".",",")))</f>
        <v>30</v>
      </c>
      <c r="D889">
        <v>30</v>
      </c>
    </row>
    <row r="890" spans="1:4" x14ac:dyDescent="0.25">
      <c r="A890" s="13">
        <f>IF(Tabla3[[#This Row],[Fare correción 2]]&gt;=1000,Tabla3[[#This Row],[Fare correción 2]]/10,Tabla3[[#This Row],[Fare correción 2]])</f>
        <v>23.45</v>
      </c>
      <c r="B890">
        <f>IF(Tabla3[[#This Row],[Fare corrección]]&gt;1000,Tabla3[[#This Row],[Fare corrección]]/1000,Tabla3[[#This Row],[Fare corrección]])</f>
        <v>23.45</v>
      </c>
      <c r="C890">
        <f>IF(ISNUMBER(Tabla3[[#This Row],[Fare]]),Tabla3[[#This Row],[Fare]],VALUE(SUBSTITUTE(Tabla3[[#This Row],[Fare]],".",",")))</f>
        <v>23.45</v>
      </c>
      <c r="D890" t="s">
        <v>2059</v>
      </c>
    </row>
    <row r="891" spans="1:4" x14ac:dyDescent="0.25">
      <c r="A891" s="13">
        <f>IF(Tabla3[[#This Row],[Fare correción 2]]&gt;=1000,Tabla3[[#This Row],[Fare correción 2]]/10,Tabla3[[#This Row],[Fare correción 2]])</f>
        <v>30</v>
      </c>
      <c r="B891">
        <f>IF(Tabla3[[#This Row],[Fare corrección]]&gt;1000,Tabla3[[#This Row],[Fare corrección]]/1000,Tabla3[[#This Row],[Fare corrección]])</f>
        <v>30</v>
      </c>
      <c r="C891">
        <f>IF(ISNUMBER(Tabla3[[#This Row],[Fare]]),Tabla3[[#This Row],[Fare]],VALUE(SUBSTITUTE(Tabla3[[#This Row],[Fare]],".",",")))</f>
        <v>30</v>
      </c>
      <c r="D891">
        <v>30</v>
      </c>
    </row>
    <row r="892" spans="1:4" x14ac:dyDescent="0.25">
      <c r="A892" s="13">
        <f>IF(Tabla3[[#This Row],[Fare correción 2]]&gt;=1000,Tabla3[[#This Row],[Fare correción 2]]/10,Tabla3[[#This Row],[Fare correción 2]])</f>
        <v>7.75</v>
      </c>
      <c r="B892">
        <f>IF(Tabla3[[#This Row],[Fare corrección]]&gt;1000,Tabla3[[#This Row],[Fare corrección]]/1000,Tabla3[[#This Row],[Fare corrección]])</f>
        <v>7.75</v>
      </c>
      <c r="C892">
        <f>IF(ISNUMBER(Tabla3[[#This Row],[Fare]]),Tabla3[[#This Row],[Fare]],VALUE(SUBSTITUTE(Tabla3[[#This Row],[Fare]],".",",")))</f>
        <v>7.75</v>
      </c>
      <c r="D892" t="s">
        <v>961</v>
      </c>
    </row>
  </sheetData>
  <phoneticPr fontId="1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2A2E-18CA-46A8-ACE9-1FD31779A454}">
  <dimension ref="A1:AA35"/>
  <sheetViews>
    <sheetView showGridLines="0" tabSelected="1" topLeftCell="C1" workbookViewId="0">
      <selection activeCell="C3" sqref="A3:XFD3"/>
    </sheetView>
  </sheetViews>
  <sheetFormatPr baseColWidth="10" defaultRowHeight="15" x14ac:dyDescent="0.25"/>
  <cols>
    <col min="1" max="1" width="11.42578125" hidden="1" customWidth="1"/>
    <col min="2" max="2" width="8.85546875" hidden="1" customWidth="1"/>
    <col min="3" max="3" width="27" customWidth="1"/>
    <col min="4" max="5" width="11.42578125" hidden="1" customWidth="1"/>
    <col min="6" max="8" width="6.28515625" hidden="1" customWidth="1"/>
    <col min="9" max="9" width="6.28515625" customWidth="1"/>
    <col min="10" max="10" width="13.28515625" hidden="1" customWidth="1"/>
    <col min="11" max="11" width="21.5703125" bestFit="1" customWidth="1"/>
    <col min="12" max="12" width="27.42578125" bestFit="1" customWidth="1"/>
    <col min="13" max="13" width="24.5703125" bestFit="1" customWidth="1"/>
    <col min="14" max="14" width="50" bestFit="1" customWidth="1"/>
    <col min="15" max="15" width="24.5703125" bestFit="1" customWidth="1"/>
    <col min="16" max="16" width="20.5703125" customWidth="1"/>
    <col min="17" max="17" width="22" customWidth="1"/>
  </cols>
  <sheetData>
    <row r="1" spans="3:27" x14ac:dyDescent="0.25">
      <c r="C1" s="43"/>
      <c r="D1" s="43"/>
      <c r="E1" s="43"/>
      <c r="F1" s="43"/>
      <c r="G1" s="43"/>
      <c r="H1" s="43"/>
      <c r="I1" s="43"/>
      <c r="J1" s="43"/>
      <c r="K1" s="43"/>
      <c r="L1" s="43"/>
      <c r="M1" s="43"/>
      <c r="N1" s="43"/>
      <c r="O1" s="43"/>
      <c r="P1" s="43"/>
      <c r="Q1" s="43"/>
      <c r="R1" s="43"/>
      <c r="S1" s="43"/>
      <c r="T1" s="43"/>
      <c r="U1" s="43"/>
      <c r="V1" s="43"/>
      <c r="W1" s="43"/>
      <c r="X1" s="43"/>
      <c r="Y1" s="43"/>
      <c r="Z1" s="43"/>
      <c r="AA1" s="43"/>
    </row>
    <row r="2" spans="3:27" x14ac:dyDescent="0.25">
      <c r="C2" s="43"/>
      <c r="D2" s="43"/>
      <c r="E2" s="43"/>
      <c r="F2" s="43"/>
      <c r="G2" s="43"/>
      <c r="H2" s="43"/>
      <c r="I2" s="43"/>
      <c r="J2" s="43"/>
      <c r="K2" s="43"/>
      <c r="L2" s="43"/>
      <c r="M2" s="43"/>
      <c r="N2" s="43"/>
      <c r="O2" s="43"/>
      <c r="P2" s="43"/>
      <c r="Q2" s="43"/>
      <c r="R2" s="43"/>
      <c r="S2" s="43"/>
      <c r="T2" s="43"/>
      <c r="U2" s="43"/>
      <c r="V2" s="43"/>
      <c r="W2" s="43"/>
      <c r="X2" s="43"/>
      <c r="Y2" s="43"/>
      <c r="Z2" s="43"/>
      <c r="AA2" s="43"/>
    </row>
    <row r="3" spans="3:27" ht="19.5" x14ac:dyDescent="0.3">
      <c r="N3" s="23" t="s">
        <v>2340</v>
      </c>
    </row>
    <row r="5" spans="3:27" x14ac:dyDescent="0.25">
      <c r="N5" s="22" t="s">
        <v>2345</v>
      </c>
    </row>
    <row r="7" spans="3:27" ht="15.75" x14ac:dyDescent="0.25">
      <c r="M7" s="24" t="s">
        <v>2346</v>
      </c>
      <c r="N7" s="24" t="s">
        <v>2347</v>
      </c>
      <c r="O7" s="24" t="s">
        <v>2348</v>
      </c>
      <c r="P7" s="24"/>
      <c r="Q7" s="24"/>
    </row>
    <row r="8" spans="3:27" ht="28.5" x14ac:dyDescent="0.45">
      <c r="M8" s="20">
        <f>AUXILIAR!D4</f>
        <v>891</v>
      </c>
      <c r="N8" s="20">
        <f>GETPIVOTDATA("Sobreviviente",AUXILIAR!$E$3)</f>
        <v>109</v>
      </c>
      <c r="O8" s="21">
        <f>N8/M8</f>
        <v>0.122334455667789</v>
      </c>
    </row>
    <row r="9" spans="3:27" ht="15.75" x14ac:dyDescent="0.25">
      <c r="M9" s="24" t="s">
        <v>2351</v>
      </c>
      <c r="N9" s="24" t="s">
        <v>2354</v>
      </c>
      <c r="O9" s="24" t="s">
        <v>2352</v>
      </c>
    </row>
    <row r="10" spans="3:27" ht="28.5" x14ac:dyDescent="0.45">
      <c r="M10" s="20">
        <f>AUXILIAR!D5</f>
        <v>577</v>
      </c>
      <c r="N10" s="20">
        <f>AUXILIAR!E5</f>
        <v>109</v>
      </c>
      <c r="O10" s="21">
        <f>N10/M10</f>
        <v>0.18890814558058924</v>
      </c>
    </row>
    <row r="11" spans="3:27" ht="15.75" x14ac:dyDescent="0.25">
      <c r="M11" s="24" t="s">
        <v>2350</v>
      </c>
      <c r="N11" s="24" t="s">
        <v>2355</v>
      </c>
      <c r="O11" s="24" t="s">
        <v>2353</v>
      </c>
    </row>
    <row r="12" spans="3:27" ht="28.5" x14ac:dyDescent="0.45">
      <c r="M12" s="20">
        <f>AUXILIAR!D6</f>
        <v>314</v>
      </c>
      <c r="N12" s="20">
        <f>AUXILIAR!E6</f>
        <v>233</v>
      </c>
      <c r="O12" s="21">
        <f>N12/M12</f>
        <v>0.7420382165605095</v>
      </c>
    </row>
    <row r="22" spans="14:14" x14ac:dyDescent="0.25">
      <c r="N22" t="s">
        <v>2364</v>
      </c>
    </row>
    <row r="35" spans="3:3" x14ac:dyDescent="0.25">
      <c r="C35" t="s">
        <v>2342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PORTADA</vt:lpstr>
      <vt:lpstr>README</vt:lpstr>
      <vt:lpstr>DATASET_ORIGINAL</vt:lpstr>
      <vt:lpstr>DATASET</vt:lpstr>
      <vt:lpstr>DATASET_CLEAN</vt:lpstr>
      <vt:lpstr>Preguntas y Respuestas</vt:lpstr>
      <vt:lpstr>AUXILIAR</vt:lpstr>
      <vt:lpstr>Chequeo_Fare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mati</dc:creator>
  <cp:lastModifiedBy>Matias Lieggi</cp:lastModifiedBy>
  <dcterms:created xsi:type="dcterms:W3CDTF">2026-02-12T23:37:36Z</dcterms:created>
  <dcterms:modified xsi:type="dcterms:W3CDTF">2026-08-04T22:51:01Z</dcterms:modified>
</cp:coreProperties>
</file>